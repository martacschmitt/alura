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7 - Criação de macros e automatização de tarefas\"/>
    </mc:Choice>
  </mc:AlternateContent>
  <xr:revisionPtr revIDLastSave="0" documentId="13_ncr:1_{247B3313-EE73-4F08-86EE-5EF3A33C6533}" xr6:coauthVersionLast="44" xr6:coauthVersionMax="45" xr10:uidLastSave="{00000000-0000-0000-0000-000000000000}"/>
  <bookViews>
    <workbookView xWindow="-120" yWindow="-120" windowWidth="290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7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<sst xmlns="http://schemas.openxmlformats.org/spreadsheetml/2006/main" count="425" uniqueCount="59">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</sst>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Utilitário Pequeno</c:v>
                </c:pt>
              </c:strCache>
            </c:strRef>
          </c:cat>
          <c:val>
            <c:numRef>
              <c:f>'Valor por Veículo'!$B$4:$B$7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2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7-48D4-A0A5-F1D55355E2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36584512"/>
        <c:axId val="2082997696"/>
      </c:barChart>
      <c:catAx>
        <c:axId val="193658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997696"/>
        <c:crosses val="autoZero"/>
        <c:auto val="1"/>
        <c:lblAlgn val="ctr"/>
        <c:lblOffset val="100"/>
        <c:noMultiLvlLbl val="0"/>
      </c:catAx>
      <c:valAx>
        <c:axId val="2082997696"/>
        <c:scaling>
          <c:orientation val="minMax"/>
        </c:scaling>
        <c:delete val="1"/>
        <c:axPos val="b"/>
        <c:numFmt formatCode="_-&quot;$&quot;\ * #.##000_-;\-&quot;$&quot;\ * #.##000_-;_-&quot;$&quot;\ * &quot;-&quot;??_-;_-@_-" sourceLinked="1"/>
        <c:majorTickMark val="none"/>
        <c:minorTickMark val="none"/>
        <c:tickLblPos val="nextTo"/>
        <c:crossAx val="19365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0.20860737839694304"/>
              <c:y val="-0.2045576906392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636-4D86-B049-FD5D29B7A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636-4D86-B049-FD5D29B7A2E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E636-4D86-B049-FD5D29B7A2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Utilitário Pequeno</c:v>
                </c:pt>
              </c:strCache>
            </c:strRef>
          </c:cat>
          <c:val>
            <c:numRef>
              <c:f>'Valor por Veículo'!$B$4:$B$7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2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36-4D86-B049-FD5D29B7A2E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123825</xdr:rowOff>
        </xdr:from>
        <xdr:to>
          <xdr:col>0</xdr:col>
          <xdr:colOff>476250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0</xdr:row>
          <xdr:rowOff>123825</xdr:rowOff>
        </xdr:from>
        <xdr:to>
          <xdr:col>18</xdr:col>
          <xdr:colOff>533400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114300</xdr:colOff>
          <xdr:row>0</xdr:row>
          <xdr:rowOff>123825</xdr:rowOff>
        </xdr:from>
        <xdr:to>
          <xdr:col>36</xdr:col>
          <xdr:colOff>523875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20108</xdr:colOff>
      <xdr:row>2</xdr:row>
      <xdr:rowOff>5819</xdr:rowOff>
    </xdr:from>
    <xdr:to>
      <xdr:col>25</xdr:col>
      <xdr:colOff>592666</xdr:colOff>
      <xdr:row>19</xdr:row>
      <xdr:rowOff>179917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9524</xdr:colOff>
      <xdr:row>2</xdr:row>
      <xdr:rowOff>5819</xdr:rowOff>
    </xdr:from>
    <xdr:to>
      <xdr:col>34</xdr:col>
      <xdr:colOff>592667</xdr:colOff>
      <xdr:row>19</xdr:row>
      <xdr:rowOff>169334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28575</xdr:rowOff>
        </xdr:from>
        <xdr:to>
          <xdr:col>0</xdr:col>
          <xdr:colOff>1590675</xdr:colOff>
          <xdr:row>2</xdr:row>
          <xdr:rowOff>257175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28575</xdr:rowOff>
        </xdr:from>
        <xdr:to>
          <xdr:col>2</xdr:col>
          <xdr:colOff>561975</xdr:colOff>
          <xdr:row>2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75.806534143521" createdVersion="6" refreshedVersion="6" minRefreshableVersion="3" recordCount="31" xr:uid="{A9BA687A-6C30-4F3E-A009-97930FD87FCC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4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450"/>
    </cacheField>
    <cacheField name="Tipo de Veículo" numFmtId="0">
      <sharedItems containsBlank="1" count="4">
        <s v="Caminhão Baú"/>
        <s v="Utilitário Pequeno"/>
        <m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05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1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1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1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1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1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1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CE258-072C-4F0F-A97A-65D0AB4DBF25}" name="Tabela dinâ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x="2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grandRow="1"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S1" sqref="S1:S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6" t="s">
        <v>53</v>
      </c>
      <c r="B1" s="48" t="s">
        <v>46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  <c r="S1" s="26" t="s">
        <v>54</v>
      </c>
      <c r="T1" s="29" t="s">
        <v>46</v>
      </c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1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5" t="str">
        <f>IF(I16&lt;'Indicadores Base'!A2,"Média de peso abaixo do normal","")</f>
        <v/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27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27"/>
      <c r="T4" s="35"/>
      <c r="U4" s="36"/>
      <c r="V4" s="36"/>
      <c r="W4" s="36"/>
      <c r="X4" s="36"/>
      <c r="Y4" s="36"/>
      <c r="Z4" s="37"/>
      <c r="AA4" s="41">
        <f>GETPIVOTDATA("Soma de Peso (Kg)",'Tabelas Dinamicas'!$D$10)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25657.207243807243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27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27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27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27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27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27"/>
      <c r="T10" s="35"/>
      <c r="U10" s="36"/>
      <c r="V10" s="36"/>
      <c r="W10" s="36"/>
      <c r="X10" s="36"/>
      <c r="Y10" s="36"/>
      <c r="Z10" s="37"/>
      <c r="AA10" s="41">
        <f>GETPIVOTDATA("Contagem de Destino",'Tabelas Dinamicas'!$D$10)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27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27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27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27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27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27"/>
      <c r="T16" s="35"/>
      <c r="U16" s="36"/>
      <c r="V16" s="36"/>
      <c r="W16" s="36"/>
      <c r="X16" s="36"/>
      <c r="Y16" s="36"/>
      <c r="Z16" s="37"/>
      <c r="AA16" s="41">
        <f>AA4/AA10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27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27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27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28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123825</xdr:rowOff>
                  </from>
                  <to>
                    <xdr:col>18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123825</xdr:rowOff>
                  </from>
                  <to>
                    <xdr:col>36</xdr:col>
                    <xdr:colOff>523875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DE19-2AFE-4CBA-B8D4-6D8C3739AB53}">
  <sheetPr codeName="Planilha5"/>
  <dimension ref="A1:M35"/>
  <sheetViews>
    <sheetView workbookViewId="0">
      <selection activeCell="C10" sqref="C10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9.25" customHeight="1" thickBot="1" x14ac:dyDescent="0.3">
      <c r="A2" s="19"/>
      <c r="B2" s="20"/>
      <c r="C2" s="20"/>
      <c r="D2" s="20"/>
      <c r="E2" s="20"/>
      <c r="F2" s="20"/>
      <c r="G2" s="20"/>
      <c r="H2" s="20" t="s">
        <v>58</v>
      </c>
      <c r="I2" s="20"/>
      <c r="J2" s="20"/>
      <c r="K2" s="20"/>
      <c r="L2" s="20"/>
      <c r="M2" s="21"/>
    </row>
    <row r="3" spans="1:13" ht="24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A9" t="s">
        <v>17</v>
      </c>
      <c r="B9" s="5">
        <v>43556</v>
      </c>
      <c r="C9" t="s">
        <v>18</v>
      </c>
      <c r="D9" s="3">
        <v>916.12500000000011</v>
      </c>
      <c r="E9" t="s">
        <v>39</v>
      </c>
      <c r="F9" s="4">
        <v>25</v>
      </c>
      <c r="G9" t="s">
        <v>22</v>
      </c>
      <c r="H9" s="4" t="s">
        <v>27</v>
      </c>
      <c r="I9" s="5">
        <v>43560</v>
      </c>
      <c r="J9" s="4" t="s">
        <v>24</v>
      </c>
      <c r="K9" s="4" t="s">
        <v>27</v>
      </c>
      <c r="L9" s="5">
        <v>43560</v>
      </c>
      <c r="M9" s="4" t="s">
        <v>24</v>
      </c>
    </row>
    <row r="10" spans="1:13" x14ac:dyDescent="0.25">
      <c r="A10" t="s">
        <v>17</v>
      </c>
      <c r="B10" s="5">
        <v>43592</v>
      </c>
      <c r="C10" t="s">
        <v>18</v>
      </c>
      <c r="D10" s="3">
        <v>854.4</v>
      </c>
      <c r="E10" t="s">
        <v>39</v>
      </c>
      <c r="F10" s="4">
        <v>30</v>
      </c>
      <c r="G10" t="s">
        <v>22</v>
      </c>
      <c r="H10" s="4" t="s">
        <v>27</v>
      </c>
      <c r="I10" s="5">
        <v>43595</v>
      </c>
      <c r="J10" s="4" t="s">
        <v>24</v>
      </c>
      <c r="K10" s="4" t="s">
        <v>27</v>
      </c>
      <c r="L10" s="5">
        <v>43595</v>
      </c>
      <c r="M10" s="4" t="s">
        <v>24</v>
      </c>
    </row>
    <row r="11" spans="1:13" x14ac:dyDescent="0.25">
      <c r="A11" t="s">
        <v>17</v>
      </c>
      <c r="B11" s="5">
        <v>43605</v>
      </c>
      <c r="C11" t="s">
        <v>18</v>
      </c>
      <c r="D11" s="3">
        <v>884.2156521739131</v>
      </c>
      <c r="E11" t="s">
        <v>39</v>
      </c>
      <c r="F11" s="4">
        <v>28</v>
      </c>
      <c r="G11" t="s">
        <v>22</v>
      </c>
      <c r="H11" s="4" t="s">
        <v>27</v>
      </c>
      <c r="I11" s="5">
        <v>43607</v>
      </c>
      <c r="J11" s="4" t="s">
        <v>24</v>
      </c>
      <c r="K11" s="4" t="s">
        <v>27</v>
      </c>
      <c r="L11" s="5">
        <v>43607</v>
      </c>
      <c r="M11" s="4" t="s">
        <v>24</v>
      </c>
    </row>
    <row r="12" spans="1:13" x14ac:dyDescent="0.25">
      <c r="A12" t="s">
        <v>17</v>
      </c>
      <c r="B12" s="5">
        <v>43799</v>
      </c>
      <c r="C12" t="s">
        <v>18</v>
      </c>
      <c r="D12" s="3">
        <v>645.88571428571424</v>
      </c>
      <c r="E12" t="s">
        <v>39</v>
      </c>
      <c r="F12" s="4">
        <v>20</v>
      </c>
      <c r="G12" t="s">
        <v>22</v>
      </c>
      <c r="H12" s="4" t="s">
        <v>27</v>
      </c>
      <c r="I12" s="5">
        <v>43804</v>
      </c>
      <c r="J12" s="4" t="s">
        <v>24</v>
      </c>
      <c r="K12" s="4" t="s">
        <v>27</v>
      </c>
      <c r="L12" s="5">
        <v>43804</v>
      </c>
      <c r="M12" s="4" t="s">
        <v>24</v>
      </c>
    </row>
    <row r="13" spans="1:13" x14ac:dyDescent="0.25">
      <c r="A13" t="s">
        <v>17</v>
      </c>
      <c r="B13" s="5">
        <v>43806</v>
      </c>
      <c r="C13" t="s">
        <v>19</v>
      </c>
      <c r="D13" s="3">
        <v>614.77714285714285</v>
      </c>
      <c r="E13" t="s">
        <v>39</v>
      </c>
      <c r="F13" s="4">
        <v>18</v>
      </c>
      <c r="G13" t="s">
        <v>22</v>
      </c>
      <c r="H13" s="4" t="s">
        <v>27</v>
      </c>
      <c r="I13" s="5">
        <v>43808</v>
      </c>
      <c r="J13" s="4" t="s">
        <v>52</v>
      </c>
      <c r="K13" s="4" t="s">
        <v>27</v>
      </c>
      <c r="L13" s="5">
        <v>43808</v>
      </c>
      <c r="M13" s="4" t="s">
        <v>52</v>
      </c>
    </row>
    <row r="14" spans="1:13" x14ac:dyDescent="0.25">
      <c r="A14" t="s">
        <v>17</v>
      </c>
      <c r="B14" s="5">
        <v>43840</v>
      </c>
      <c r="C14" t="s">
        <v>19</v>
      </c>
      <c r="D14" s="3">
        <v>174.56268221574345</v>
      </c>
      <c r="E14" t="s">
        <v>39</v>
      </c>
      <c r="F14" s="4">
        <v>25</v>
      </c>
      <c r="G14" t="s">
        <v>22</v>
      </c>
      <c r="H14" s="4" t="s">
        <v>27</v>
      </c>
      <c r="I14" s="5">
        <v>43842</v>
      </c>
      <c r="J14" s="4" t="s">
        <v>26</v>
      </c>
      <c r="K14" s="4" t="s">
        <v>27</v>
      </c>
      <c r="L14" s="5">
        <v>43842</v>
      </c>
      <c r="M14" s="4" t="s">
        <v>26</v>
      </c>
    </row>
    <row r="15" spans="1:13" x14ac:dyDescent="0.25">
      <c r="A15" t="s">
        <v>17</v>
      </c>
      <c r="B15" s="5">
        <v>43852</v>
      </c>
      <c r="C15" t="s">
        <v>19</v>
      </c>
      <c r="D15" s="3">
        <v>251.37026239067058</v>
      </c>
      <c r="E15" t="s">
        <v>39</v>
      </c>
      <c r="F15" s="4">
        <v>36</v>
      </c>
      <c r="G15" t="s">
        <v>22</v>
      </c>
      <c r="H15" s="4" t="s">
        <v>27</v>
      </c>
      <c r="I15" s="5">
        <v>43854</v>
      </c>
      <c r="J15" s="4" t="s">
        <v>26</v>
      </c>
      <c r="K15" s="4" t="s">
        <v>27</v>
      </c>
      <c r="L15" s="5">
        <v>43854</v>
      </c>
      <c r="M15" s="4" t="s">
        <v>26</v>
      </c>
    </row>
    <row r="16" spans="1:13" x14ac:dyDescent="0.25">
      <c r="A16" t="s">
        <v>17</v>
      </c>
      <c r="B16" s="5">
        <v>43852</v>
      </c>
      <c r="C16" t="s">
        <v>19</v>
      </c>
      <c r="D16" s="3">
        <v>251.37026239067058</v>
      </c>
      <c r="E16" t="s">
        <v>39</v>
      </c>
      <c r="F16" s="4">
        <v>100</v>
      </c>
      <c r="G16" t="s">
        <v>22</v>
      </c>
      <c r="H16" s="4" t="s">
        <v>27</v>
      </c>
      <c r="I16" s="5">
        <v>43854</v>
      </c>
      <c r="J16" s="4" t="s">
        <v>26</v>
      </c>
      <c r="K16" s="4" t="s">
        <v>27</v>
      </c>
      <c r="L16" s="5">
        <v>43854</v>
      </c>
      <c r="M16" s="4" t="s">
        <v>26</v>
      </c>
    </row>
    <row r="17" spans="1:13" x14ac:dyDescent="0.25">
      <c r="A17" t="s">
        <v>17</v>
      </c>
      <c r="B17" s="5">
        <v>43852</v>
      </c>
      <c r="C17" t="s">
        <v>19</v>
      </c>
      <c r="D17" s="3">
        <v>251.37026239067058</v>
      </c>
      <c r="E17" t="s">
        <v>39</v>
      </c>
      <c r="F17" s="4">
        <v>100</v>
      </c>
      <c r="G17" t="s">
        <v>22</v>
      </c>
      <c r="H17" s="4" t="s">
        <v>27</v>
      </c>
      <c r="I17" s="5">
        <v>43854</v>
      </c>
      <c r="J17" s="4" t="s">
        <v>26</v>
      </c>
      <c r="K17" s="4" t="s">
        <v>27</v>
      </c>
      <c r="L17" s="5">
        <v>43854</v>
      </c>
      <c r="M17" s="4" t="s">
        <v>26</v>
      </c>
    </row>
    <row r="18" spans="1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1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1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1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1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1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1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1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1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1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190500</xdr:colOff>
                    <xdr:row>2</xdr:row>
                    <xdr:rowOff>28575</xdr:rowOff>
                  </from>
                  <to>
                    <xdr:col>0</xdr:col>
                    <xdr:colOff>1590675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57150</xdr:colOff>
                    <xdr:row>2</xdr:row>
                    <xdr:rowOff>28575</xdr:rowOff>
                  </from>
                  <to>
                    <xdr:col>2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CBF-0D75-4CB1-90FF-3538B9C9F398}">
  <sheetPr codeName="Planilha6"/>
  <dimension ref="A3:B7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23" t="s">
        <v>40</v>
      </c>
      <c r="B3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57</v>
      </c>
      <c r="B5" s="25"/>
    </row>
    <row r="6" spans="1:2" x14ac:dyDescent="0.25">
      <c r="A6" s="24" t="s">
        <v>22</v>
      </c>
      <c r="B6" s="25">
        <v>4844.0769787045238</v>
      </c>
    </row>
    <row r="7" spans="1:2" x14ac:dyDescent="0.25">
      <c r="A7" s="24" t="s">
        <v>42</v>
      </c>
      <c r="B7" s="25">
        <v>10160.356048471966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2021-06-28T22:22:10Z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
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trlProps/ctrlProp4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essoal\Alura\Excel\Curso 7 - Criação de macros e automatização de tarefas\"/>
    </mc:Choice>
  </mc:AlternateContent>
  <xr:revisionPtr revIDLastSave="0" documentId="13_ncr:1_{BAAF54E3-5201-43D9-A231-8B38D72414C9}" xr6:coauthVersionLast="44" xr6:coauthVersionMax="45" xr10:uidLastSave="{00000000-0000-0000-0000-000000000000}"/>
  <bookViews>
    <workbookView xWindow="-120" yWindow="-120" windowWidth="29040" windowHeight="15840" activeTab="4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Base Filtrada" sheetId="17" r:id="rId5"/>
    <sheet name="Valor por Veículo" sheetId="18" r:id="rId6"/>
  </sheets>
  <definedNames>
    <definedName name="_xlnm._FilterDatabase" localSheetId="3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3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<sst xmlns="http://schemas.openxmlformats.org/spreadsheetml/2006/main" count="425" uniqueCount="58">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</sst>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3" borderId="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</cellXfs>
  <cellStyles count="2">
    <cellStyle name="Moeda" xfId="1" builtinId="4"/>
    <cellStyle name="Normal" xfId="0" builtinId="0"/>
  </cellStyles>
  <dxfs count="35"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52</xdr:col>
      <xdr:colOff>174625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2E0CBFF-84ED-4943-8735-56C7719BC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3A98B95D-E4DB-4188-9620-1200F6F3E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B7FC2C23-33AD-4911-8DE4-7FAE0B601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A83CE791-2619-4E30-B43D-AE24BA321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706280B0-6AF0-4BDA-B71B-9AE7E1601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E5E75ACA-86C7-4087-AA37-56C280A97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6F7C2D31-2A4A-4772-B48B-CE3938DB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94191</xdr:colOff>
          <xdr:row>0</xdr:row>
          <xdr:rowOff>123825</xdr:rowOff>
        </xdr:from>
        <xdr:to>
          <xdr:col>0</xdr:col>
          <xdr:colOff>475191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5A2DFC-4387-4246-9B93-D3B400081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148167</xdr:colOff>
          <xdr:row>0</xdr:row>
          <xdr:rowOff>122766</xdr:rowOff>
        </xdr:from>
        <xdr:to>
          <xdr:col>18</xdr:col>
          <xdr:colOff>529167</xdr:colOff>
          <xdr:row>1</xdr:row>
          <xdr:rowOff>158749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B1566D9-1EAA-484E-B93A-ACD8104A1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113242</xdr:colOff>
          <xdr:row>0</xdr:row>
          <xdr:rowOff>119592</xdr:rowOff>
        </xdr:from>
        <xdr:to>
          <xdr:col>36</xdr:col>
          <xdr:colOff>522817</xdr:colOff>
          <xdr:row>1</xdr:row>
          <xdr:rowOff>148167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6420594-619F-4325-8F46-2A6E7BB30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EC25B143-4FAD-4FC3-8EB4-9E5A85569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DB3C4667-C034-44E2-BF74-A3CD5E15EB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28575</xdr:rowOff>
        </xdr:from>
        <xdr:to>
          <xdr:col>0</xdr:col>
          <xdr:colOff>1590675</xdr:colOff>
          <xdr:row>2</xdr:row>
          <xdr:rowOff>257175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46F7630-8D78-4D9C-B3A9-8DC88BA20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69.770906481484" createdVersion="6" refreshedVersion="6" minRefreshableVersion="3" recordCount="31" xr:uid="{A9BA687A-6C30-4F3E-A009-97930FD87FCC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4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74.56268221574345" maxValue="1883.7209302325582"/>
    </cacheField>
    <cacheField name="Carga" numFmtId="0">
      <sharedItems containsBlank="1"/>
    </cacheField>
    <cacheField name="Peso (Kg)" numFmtId="0">
      <sharedItems containsString="0" containsBlank="1" containsNumber="1" containsInteger="1" minValue="18" maxValue="450"/>
    </cacheField>
    <cacheField name="Tipo de Veículo" numFmtId="0">
      <sharedItems containsBlank="1" count="4">
        <s v="Caminhão Baú"/>
        <s v="Utilitário Pequeno"/>
        <m/>
        <s v="Caminhão Frigorífic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4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4-05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Eletrônicos Magazine Suíça"/>
    <d v="2019-09-06T00:00:00"/>
    <s v="Encerrado"/>
    <n v="1800"/>
    <s v="Linha Branca"/>
    <n v="430"/>
    <x v="0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0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0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1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1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1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1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1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1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1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1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1"/>
    <s v="SP"/>
    <d v="2020-01-24T00:00:00"/>
    <s v="Em Aberto - Atrasada"/>
    <s v="SP"/>
    <d v="2020-01-24T00:00:00"/>
    <s v="Em Aberto - Atrasada"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4" type="button" dataOnly="0" labelOnly="1" outline="0" axis="axisRow" fieldPosition="0"/>
    </format>
    <format dxfId="9">
      <pivotArea dataOnly="0" labelOnly="1" fieldPosition="0">
        <references count="1">
          <reference field="4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4" type="button" dataOnly="0" labelOnly="1" outline="0" axis="axisRow" fieldPosition="0"/>
    </format>
    <format dxfId="3">
      <pivotArea dataOnly="0" labelOnly="1" outline="0" fieldPosition="0">
        <references count="1">
          <reference field="4" count="0"/>
        </references>
      </pivotArea>
    </format>
    <format dxfId="2">
      <pivotArea dataOnly="0" labelOnly="1" grandRow="1" outline="0" fieldPosition="0"/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7" type="button" dataOnly="0" labelOnly="1" outline="0"/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7" type="button" dataOnly="0" labelOnly="1" outline="0"/>
    </format>
    <format dxfId="14">
      <pivotArea dataOnly="0" labelOnly="1" grandRow="1" outline="0" fieldPosition="0"/>
    </format>
    <format dxfId="13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DCE258-072C-4F0F-A97A-65D0AB4DBF25}" name="Tabela dinâmica1" cacheId="3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7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0"/>
        <item x="2"/>
        <item m="1"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Soma de Valor do Contrato" fld="3" baseField="0" baseItem="0"/>
  </dataFields>
  <formats count="1">
    <format dxfId="0">
      <pivotArea collapsedLevelsAreSubtotals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zoomScale="90" zoomScaleNormal="90" workbookViewId="0">
      <selection activeCell="AK1" sqref="AK1:AK2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8" max="44" width="9.140625" customWidth="1"/>
    <col min="45" max="45" width="27.5703125" customWidth="1"/>
    <col min="46" max="53" width="9.140625" customWidth="1"/>
    <col min="54" max="54" width="27.5703125" customWidth="1"/>
  </cols>
  <sheetData>
    <row r="1" spans="1:54" ht="27" thickBot="1" x14ac:dyDescent="0.45">
      <c r="A1" s="37" t="s">
        <v>53</v>
      </c>
      <c r="B1" s="20" t="s">
        <v>46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  <c r="S1" s="37" t="s">
        <v>54</v>
      </c>
      <c r="T1" s="31" t="s">
        <v>46</v>
      </c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3"/>
      <c r="AK1" s="37" t="s">
        <v>55</v>
      </c>
      <c r="AL1" s="31" t="s">
        <v>46</v>
      </c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3"/>
    </row>
    <row r="2" spans="1:54" ht="15" customHeight="1" thickBot="1" x14ac:dyDescent="0.45">
      <c r="A2" s="38"/>
      <c r="B2" s="17" t="str">
        <f>IF(I16&lt;'Indicadores Base'!A2,"Média de peso abaixo do normal","")</f>
        <v/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9"/>
      <c r="S2" s="38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38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38"/>
      <c r="B3" s="23"/>
      <c r="C3" s="24"/>
      <c r="D3" s="24"/>
      <c r="E3" s="24"/>
      <c r="F3" s="24"/>
      <c r="G3" s="24"/>
      <c r="H3" s="25"/>
      <c r="I3" s="14" t="s">
        <v>45</v>
      </c>
      <c r="J3" s="23"/>
      <c r="K3" s="24"/>
      <c r="L3" s="24"/>
      <c r="M3" s="24"/>
      <c r="N3" s="24"/>
      <c r="O3" s="24"/>
      <c r="P3" s="24"/>
      <c r="Q3" s="25"/>
      <c r="R3" s="14" t="s">
        <v>49</v>
      </c>
      <c r="S3" s="38"/>
      <c r="T3" s="34"/>
      <c r="U3" s="35"/>
      <c r="V3" s="35"/>
      <c r="W3" s="35"/>
      <c r="X3" s="35"/>
      <c r="Y3" s="35"/>
      <c r="Z3" s="36"/>
      <c r="AA3" s="10" t="s">
        <v>45</v>
      </c>
      <c r="AB3" s="34"/>
      <c r="AC3" s="35"/>
      <c r="AD3" s="35"/>
      <c r="AE3" s="35"/>
      <c r="AF3" s="35"/>
      <c r="AG3" s="35"/>
      <c r="AH3" s="35"/>
      <c r="AI3" s="36"/>
      <c r="AJ3" s="10" t="s">
        <v>49</v>
      </c>
      <c r="AK3" s="38"/>
      <c r="AL3" s="34"/>
      <c r="AM3" s="35"/>
      <c r="AN3" s="35"/>
      <c r="AO3" s="35"/>
      <c r="AP3" s="35"/>
      <c r="AQ3" s="35"/>
      <c r="AR3" s="36"/>
      <c r="AS3" s="10" t="s">
        <v>45</v>
      </c>
      <c r="AT3" s="34"/>
      <c r="AU3" s="35"/>
      <c r="AV3" s="35"/>
      <c r="AW3" s="35"/>
      <c r="AX3" s="35"/>
      <c r="AY3" s="35"/>
      <c r="AZ3" s="35"/>
      <c r="BA3" s="36"/>
      <c r="BB3" s="10" t="s">
        <v>49</v>
      </c>
    </row>
    <row r="4" spans="1:54" x14ac:dyDescent="0.25">
      <c r="A4" s="38"/>
      <c r="B4" s="23"/>
      <c r="C4" s="24"/>
      <c r="D4" s="24"/>
      <c r="E4" s="24"/>
      <c r="F4" s="24"/>
      <c r="G4" s="24"/>
      <c r="H4" s="25"/>
      <c r="I4" s="15">
        <f>GETPIVOTDATA("Soma de Peso (Kg)",'Tabelas Dinamicas'!$D$10)</f>
        <v>3043</v>
      </c>
      <c r="J4" s="23"/>
      <c r="K4" s="24"/>
      <c r="L4" s="24"/>
      <c r="M4" s="24"/>
      <c r="N4" s="24"/>
      <c r="O4" s="24"/>
      <c r="P4" s="24"/>
      <c r="Q4" s="25"/>
      <c r="R4" s="29">
        <f>GETPIVOTDATA("Valor do Contrato",'Tabelas Dinamicas'!$A$10)</f>
        <v>25657.207243807243</v>
      </c>
      <c r="S4" s="38"/>
      <c r="T4" s="23"/>
      <c r="U4" s="24"/>
      <c r="V4" s="24"/>
      <c r="W4" s="24"/>
      <c r="X4" s="24"/>
      <c r="Y4" s="24"/>
      <c r="Z4" s="25"/>
      <c r="AA4" s="15">
        <f>GETPIVOTDATA("Soma de Peso (Kg)",'Tabelas Dinamicas'!$D$10)</f>
        <v>3043</v>
      </c>
      <c r="AB4" s="23"/>
      <c r="AC4" s="24"/>
      <c r="AD4" s="24"/>
      <c r="AE4" s="24"/>
      <c r="AF4" s="24"/>
      <c r="AG4" s="24"/>
      <c r="AH4" s="24"/>
      <c r="AI4" s="25"/>
      <c r="AJ4" s="29">
        <f>GETPIVOTDATA("Valor do Contrato",'Tabelas Dinamicas'!$A$10)</f>
        <v>25657.207243807243</v>
      </c>
      <c r="AK4" s="38"/>
      <c r="AL4" s="23"/>
      <c r="AM4" s="24"/>
      <c r="AN4" s="24"/>
      <c r="AO4" s="24"/>
      <c r="AP4" s="24"/>
      <c r="AQ4" s="24"/>
      <c r="AR4" s="25"/>
      <c r="AS4" s="15">
        <f>GETPIVOTDATA("Soma de Peso (Kg)",'Tabelas Dinamicas'!$D$10)</f>
        <v>3043</v>
      </c>
      <c r="AT4" s="23"/>
      <c r="AU4" s="24"/>
      <c r="AV4" s="24"/>
      <c r="AW4" s="24"/>
      <c r="AX4" s="24"/>
      <c r="AY4" s="24"/>
      <c r="AZ4" s="24"/>
      <c r="BA4" s="25"/>
      <c r="BB4" s="29">
        <f>GETPIVOTDATA("Valor do Contrato",'Tabelas Dinamicas'!$A$10)</f>
        <v>25657.207243807243</v>
      </c>
    </row>
    <row r="5" spans="1:54" x14ac:dyDescent="0.25">
      <c r="A5" s="38"/>
      <c r="B5" s="23"/>
      <c r="C5" s="24"/>
      <c r="D5" s="24"/>
      <c r="E5" s="24"/>
      <c r="F5" s="24"/>
      <c r="G5" s="24"/>
      <c r="H5" s="25"/>
      <c r="I5" s="15"/>
      <c r="J5" s="23"/>
      <c r="K5" s="24"/>
      <c r="L5" s="24"/>
      <c r="M5" s="24"/>
      <c r="N5" s="24"/>
      <c r="O5" s="24"/>
      <c r="P5" s="24"/>
      <c r="Q5" s="25"/>
      <c r="R5" s="29"/>
      <c r="S5" s="38"/>
      <c r="T5" s="23"/>
      <c r="U5" s="24"/>
      <c r="V5" s="24"/>
      <c r="W5" s="24"/>
      <c r="X5" s="24"/>
      <c r="Y5" s="24"/>
      <c r="Z5" s="25"/>
      <c r="AA5" s="15"/>
      <c r="AB5" s="23"/>
      <c r="AC5" s="24"/>
      <c r="AD5" s="24"/>
      <c r="AE5" s="24"/>
      <c r="AF5" s="24"/>
      <c r="AG5" s="24"/>
      <c r="AH5" s="24"/>
      <c r="AI5" s="25"/>
      <c r="AJ5" s="29"/>
      <c r="AK5" s="38"/>
      <c r="AL5" s="23"/>
      <c r="AM5" s="24"/>
      <c r="AN5" s="24"/>
      <c r="AO5" s="24"/>
      <c r="AP5" s="24"/>
      <c r="AQ5" s="24"/>
      <c r="AR5" s="25"/>
      <c r="AS5" s="15"/>
      <c r="AT5" s="23"/>
      <c r="AU5" s="24"/>
      <c r="AV5" s="24"/>
      <c r="AW5" s="24"/>
      <c r="AX5" s="24"/>
      <c r="AY5" s="24"/>
      <c r="AZ5" s="24"/>
      <c r="BA5" s="25"/>
      <c r="BB5" s="29"/>
    </row>
    <row r="6" spans="1:54" x14ac:dyDescent="0.25">
      <c r="A6" s="38"/>
      <c r="B6" s="23"/>
      <c r="C6" s="24"/>
      <c r="D6" s="24"/>
      <c r="E6" s="24"/>
      <c r="F6" s="24"/>
      <c r="G6" s="24"/>
      <c r="H6" s="25"/>
      <c r="I6" s="15"/>
      <c r="J6" s="23"/>
      <c r="K6" s="24"/>
      <c r="L6" s="24"/>
      <c r="M6" s="24"/>
      <c r="N6" s="24"/>
      <c r="O6" s="24"/>
      <c r="P6" s="24"/>
      <c r="Q6" s="25"/>
      <c r="R6" s="29"/>
      <c r="S6" s="38"/>
      <c r="T6" s="23"/>
      <c r="U6" s="24"/>
      <c r="V6" s="24"/>
      <c r="W6" s="24"/>
      <c r="X6" s="24"/>
      <c r="Y6" s="24"/>
      <c r="Z6" s="25"/>
      <c r="AA6" s="15"/>
      <c r="AB6" s="23"/>
      <c r="AC6" s="24"/>
      <c r="AD6" s="24"/>
      <c r="AE6" s="24"/>
      <c r="AF6" s="24"/>
      <c r="AG6" s="24"/>
      <c r="AH6" s="24"/>
      <c r="AI6" s="25"/>
      <c r="AJ6" s="29"/>
      <c r="AK6" s="38"/>
      <c r="AL6" s="23"/>
      <c r="AM6" s="24"/>
      <c r="AN6" s="24"/>
      <c r="AO6" s="24"/>
      <c r="AP6" s="24"/>
      <c r="AQ6" s="24"/>
      <c r="AR6" s="25"/>
      <c r="AS6" s="15"/>
      <c r="AT6" s="23"/>
      <c r="AU6" s="24"/>
      <c r="AV6" s="24"/>
      <c r="AW6" s="24"/>
      <c r="AX6" s="24"/>
      <c r="AY6" s="24"/>
      <c r="AZ6" s="24"/>
      <c r="BA6" s="25"/>
      <c r="BB6" s="29"/>
    </row>
    <row r="7" spans="1:54" x14ac:dyDescent="0.25">
      <c r="A7" s="38"/>
      <c r="B7" s="23"/>
      <c r="C7" s="24"/>
      <c r="D7" s="24"/>
      <c r="E7" s="24"/>
      <c r="F7" s="24"/>
      <c r="G7" s="24"/>
      <c r="H7" s="25"/>
      <c r="I7" s="15"/>
      <c r="J7" s="23"/>
      <c r="K7" s="24"/>
      <c r="L7" s="24"/>
      <c r="M7" s="24"/>
      <c r="N7" s="24"/>
      <c r="O7" s="24"/>
      <c r="P7" s="24"/>
      <c r="Q7" s="25"/>
      <c r="R7" s="29"/>
      <c r="S7" s="38"/>
      <c r="T7" s="23"/>
      <c r="U7" s="24"/>
      <c r="V7" s="24"/>
      <c r="W7" s="24"/>
      <c r="X7" s="24"/>
      <c r="Y7" s="24"/>
      <c r="Z7" s="25"/>
      <c r="AA7" s="15"/>
      <c r="AB7" s="23"/>
      <c r="AC7" s="24"/>
      <c r="AD7" s="24"/>
      <c r="AE7" s="24"/>
      <c r="AF7" s="24"/>
      <c r="AG7" s="24"/>
      <c r="AH7" s="24"/>
      <c r="AI7" s="25"/>
      <c r="AJ7" s="29"/>
      <c r="AK7" s="38"/>
      <c r="AL7" s="23"/>
      <c r="AM7" s="24"/>
      <c r="AN7" s="24"/>
      <c r="AO7" s="24"/>
      <c r="AP7" s="24"/>
      <c r="AQ7" s="24"/>
      <c r="AR7" s="25"/>
      <c r="AS7" s="15"/>
      <c r="AT7" s="23"/>
      <c r="AU7" s="24"/>
      <c r="AV7" s="24"/>
      <c r="AW7" s="24"/>
      <c r="AX7" s="24"/>
      <c r="AY7" s="24"/>
      <c r="AZ7" s="24"/>
      <c r="BA7" s="25"/>
      <c r="BB7" s="29"/>
    </row>
    <row r="8" spans="1:54" ht="15.75" thickBot="1" x14ac:dyDescent="0.3">
      <c r="A8" s="38"/>
      <c r="B8" s="23"/>
      <c r="C8" s="24"/>
      <c r="D8" s="24"/>
      <c r="E8" s="24"/>
      <c r="F8" s="24"/>
      <c r="G8" s="24"/>
      <c r="H8" s="25"/>
      <c r="I8" s="16"/>
      <c r="J8" s="23"/>
      <c r="K8" s="24"/>
      <c r="L8" s="24"/>
      <c r="M8" s="24"/>
      <c r="N8" s="24"/>
      <c r="O8" s="24"/>
      <c r="P8" s="24"/>
      <c r="Q8" s="25"/>
      <c r="R8" s="30"/>
      <c r="S8" s="38"/>
      <c r="T8" s="23"/>
      <c r="U8" s="24"/>
      <c r="V8" s="24"/>
      <c r="W8" s="24"/>
      <c r="X8" s="24"/>
      <c r="Y8" s="24"/>
      <c r="Z8" s="25"/>
      <c r="AA8" s="16"/>
      <c r="AB8" s="23"/>
      <c r="AC8" s="24"/>
      <c r="AD8" s="24"/>
      <c r="AE8" s="24"/>
      <c r="AF8" s="24"/>
      <c r="AG8" s="24"/>
      <c r="AH8" s="24"/>
      <c r="AI8" s="25"/>
      <c r="AJ8" s="30"/>
      <c r="AK8" s="38"/>
      <c r="AL8" s="23"/>
      <c r="AM8" s="24"/>
      <c r="AN8" s="24"/>
      <c r="AO8" s="24"/>
      <c r="AP8" s="24"/>
      <c r="AQ8" s="24"/>
      <c r="AR8" s="25"/>
      <c r="AS8" s="16"/>
      <c r="AT8" s="23"/>
      <c r="AU8" s="24"/>
      <c r="AV8" s="24"/>
      <c r="AW8" s="24"/>
      <c r="AX8" s="24"/>
      <c r="AY8" s="24"/>
      <c r="AZ8" s="24"/>
      <c r="BA8" s="25"/>
      <c r="BB8" s="30"/>
    </row>
    <row r="9" spans="1:54" x14ac:dyDescent="0.25">
      <c r="A9" s="38"/>
      <c r="B9" s="23"/>
      <c r="C9" s="24"/>
      <c r="D9" s="24"/>
      <c r="E9" s="24"/>
      <c r="F9" s="24"/>
      <c r="G9" s="24"/>
      <c r="H9" s="25"/>
      <c r="I9" s="10" t="s">
        <v>47</v>
      </c>
      <c r="J9" s="23"/>
      <c r="K9" s="24"/>
      <c r="L9" s="24"/>
      <c r="M9" s="24"/>
      <c r="N9" s="24"/>
      <c r="O9" s="24"/>
      <c r="P9" s="24"/>
      <c r="Q9" s="25"/>
      <c r="R9" s="10" t="s">
        <v>50</v>
      </c>
      <c r="S9" s="38"/>
      <c r="T9" s="23"/>
      <c r="U9" s="24"/>
      <c r="V9" s="24"/>
      <c r="W9" s="24"/>
      <c r="X9" s="24"/>
      <c r="Y9" s="24"/>
      <c r="Z9" s="25"/>
      <c r="AA9" s="10" t="s">
        <v>47</v>
      </c>
      <c r="AB9" s="23"/>
      <c r="AC9" s="24"/>
      <c r="AD9" s="24"/>
      <c r="AE9" s="24"/>
      <c r="AF9" s="24"/>
      <c r="AG9" s="24"/>
      <c r="AH9" s="24"/>
      <c r="AI9" s="25"/>
      <c r="AJ9" s="10" t="s">
        <v>50</v>
      </c>
      <c r="AK9" s="38"/>
      <c r="AL9" s="23"/>
      <c r="AM9" s="24"/>
      <c r="AN9" s="24"/>
      <c r="AO9" s="24"/>
      <c r="AP9" s="24"/>
      <c r="AQ9" s="24"/>
      <c r="AR9" s="25"/>
      <c r="AS9" s="10" t="s">
        <v>47</v>
      </c>
      <c r="AT9" s="23"/>
      <c r="AU9" s="24"/>
      <c r="AV9" s="24"/>
      <c r="AW9" s="24"/>
      <c r="AX9" s="24"/>
      <c r="AY9" s="24"/>
      <c r="AZ9" s="24"/>
      <c r="BA9" s="25"/>
      <c r="BB9" s="10" t="s">
        <v>50</v>
      </c>
    </row>
    <row r="10" spans="1:54" x14ac:dyDescent="0.25">
      <c r="A10" s="38"/>
      <c r="B10" s="23"/>
      <c r="C10" s="24"/>
      <c r="D10" s="24"/>
      <c r="E10" s="24"/>
      <c r="F10" s="24"/>
      <c r="G10" s="24"/>
      <c r="H10" s="25"/>
      <c r="I10" s="15">
        <f>GETPIVOTDATA("Contagem de Destino",'Tabelas Dinamicas'!$D$10)</f>
        <v>30</v>
      </c>
      <c r="J10" s="23"/>
      <c r="K10" s="24"/>
      <c r="L10" s="24"/>
      <c r="M10" s="24"/>
      <c r="N10" s="24"/>
      <c r="O10" s="24"/>
      <c r="P10" s="24"/>
      <c r="Q10" s="25"/>
      <c r="R10" s="15">
        <f>COUNTIF(SituacaoPartidas, "Em Aberto - Atrasada")</f>
        <v>10</v>
      </c>
      <c r="S10" s="38"/>
      <c r="T10" s="23"/>
      <c r="U10" s="24"/>
      <c r="V10" s="24"/>
      <c r="W10" s="24"/>
      <c r="X10" s="24"/>
      <c r="Y10" s="24"/>
      <c r="Z10" s="25"/>
      <c r="AA10" s="15">
        <f>GETPIVOTDATA("Contagem de Destino",'Tabelas Dinamicas'!$D$10)</f>
        <v>30</v>
      </c>
      <c r="AB10" s="23"/>
      <c r="AC10" s="24"/>
      <c r="AD10" s="24"/>
      <c r="AE10" s="24"/>
      <c r="AF10" s="24"/>
      <c r="AG10" s="24"/>
      <c r="AH10" s="24"/>
      <c r="AI10" s="25"/>
      <c r="AJ10" s="15">
        <f>COUNTIF(SituacaoPartidas, "Em Aberto - Atrasada")</f>
        <v>10</v>
      </c>
      <c r="AK10" s="38"/>
      <c r="AL10" s="23"/>
      <c r="AM10" s="24"/>
      <c r="AN10" s="24"/>
      <c r="AO10" s="24"/>
      <c r="AP10" s="24"/>
      <c r="AQ10" s="24"/>
      <c r="AR10" s="25"/>
      <c r="AS10" s="15">
        <f>GETPIVOTDATA("Contagem de Destino",'Tabelas Dinamicas'!$D$10)</f>
        <v>30</v>
      </c>
      <c r="AT10" s="23"/>
      <c r="AU10" s="24"/>
      <c r="AV10" s="24"/>
      <c r="AW10" s="24"/>
      <c r="AX10" s="24"/>
      <c r="AY10" s="24"/>
      <c r="AZ10" s="24"/>
      <c r="BA10" s="25"/>
      <c r="BB10" s="15">
        <f>COUNTIF(SituacaoPartidas, "Em Aberto - Atrasada")</f>
        <v>10</v>
      </c>
    </row>
    <row r="11" spans="1:54" x14ac:dyDescent="0.25">
      <c r="A11" s="38"/>
      <c r="B11" s="23"/>
      <c r="C11" s="24"/>
      <c r="D11" s="24"/>
      <c r="E11" s="24"/>
      <c r="F11" s="24"/>
      <c r="G11" s="24"/>
      <c r="H11" s="25"/>
      <c r="I11" s="15"/>
      <c r="J11" s="23"/>
      <c r="K11" s="24"/>
      <c r="L11" s="24"/>
      <c r="M11" s="24"/>
      <c r="N11" s="24"/>
      <c r="O11" s="24"/>
      <c r="P11" s="24"/>
      <c r="Q11" s="25"/>
      <c r="R11" s="15"/>
      <c r="S11" s="38"/>
      <c r="T11" s="23"/>
      <c r="U11" s="24"/>
      <c r="V11" s="24"/>
      <c r="W11" s="24"/>
      <c r="X11" s="24"/>
      <c r="Y11" s="24"/>
      <c r="Z11" s="25"/>
      <c r="AA11" s="15"/>
      <c r="AB11" s="23"/>
      <c r="AC11" s="24"/>
      <c r="AD11" s="24"/>
      <c r="AE11" s="24"/>
      <c r="AF11" s="24"/>
      <c r="AG11" s="24"/>
      <c r="AH11" s="24"/>
      <c r="AI11" s="25"/>
      <c r="AJ11" s="15"/>
      <c r="AK11" s="38"/>
      <c r="AL11" s="23"/>
      <c r="AM11" s="24"/>
      <c r="AN11" s="24"/>
      <c r="AO11" s="24"/>
      <c r="AP11" s="24"/>
      <c r="AQ11" s="24"/>
      <c r="AR11" s="25"/>
      <c r="AS11" s="15"/>
      <c r="AT11" s="23"/>
      <c r="AU11" s="24"/>
      <c r="AV11" s="24"/>
      <c r="AW11" s="24"/>
      <c r="AX11" s="24"/>
      <c r="AY11" s="24"/>
      <c r="AZ11" s="24"/>
      <c r="BA11" s="25"/>
      <c r="BB11" s="15"/>
    </row>
    <row r="12" spans="1:54" x14ac:dyDescent="0.25">
      <c r="A12" s="38"/>
      <c r="B12" s="23"/>
      <c r="C12" s="24"/>
      <c r="D12" s="24"/>
      <c r="E12" s="24"/>
      <c r="F12" s="24"/>
      <c r="G12" s="24"/>
      <c r="H12" s="25"/>
      <c r="I12" s="15"/>
      <c r="J12" s="23"/>
      <c r="K12" s="24"/>
      <c r="L12" s="24"/>
      <c r="M12" s="24"/>
      <c r="N12" s="24"/>
      <c r="O12" s="24"/>
      <c r="P12" s="24"/>
      <c r="Q12" s="25"/>
      <c r="R12" s="15"/>
      <c r="S12" s="38"/>
      <c r="T12" s="23"/>
      <c r="U12" s="24"/>
      <c r="V12" s="24"/>
      <c r="W12" s="24"/>
      <c r="X12" s="24"/>
      <c r="Y12" s="24"/>
      <c r="Z12" s="25"/>
      <c r="AA12" s="15"/>
      <c r="AB12" s="23"/>
      <c r="AC12" s="24"/>
      <c r="AD12" s="24"/>
      <c r="AE12" s="24"/>
      <c r="AF12" s="24"/>
      <c r="AG12" s="24"/>
      <c r="AH12" s="24"/>
      <c r="AI12" s="25"/>
      <c r="AJ12" s="15"/>
      <c r="AK12" s="38"/>
      <c r="AL12" s="23"/>
      <c r="AM12" s="24"/>
      <c r="AN12" s="24"/>
      <c r="AO12" s="24"/>
      <c r="AP12" s="24"/>
      <c r="AQ12" s="24"/>
      <c r="AR12" s="25"/>
      <c r="AS12" s="15"/>
      <c r="AT12" s="23"/>
      <c r="AU12" s="24"/>
      <c r="AV12" s="24"/>
      <c r="AW12" s="24"/>
      <c r="AX12" s="24"/>
      <c r="AY12" s="24"/>
      <c r="AZ12" s="24"/>
      <c r="BA12" s="25"/>
      <c r="BB12" s="15"/>
    </row>
    <row r="13" spans="1:54" x14ac:dyDescent="0.25">
      <c r="A13" s="38"/>
      <c r="B13" s="23"/>
      <c r="C13" s="24"/>
      <c r="D13" s="24"/>
      <c r="E13" s="24"/>
      <c r="F13" s="24"/>
      <c r="G13" s="24"/>
      <c r="H13" s="25"/>
      <c r="I13" s="15"/>
      <c r="J13" s="23"/>
      <c r="K13" s="24"/>
      <c r="L13" s="24"/>
      <c r="M13" s="24"/>
      <c r="N13" s="24"/>
      <c r="O13" s="24"/>
      <c r="P13" s="24"/>
      <c r="Q13" s="25"/>
      <c r="R13" s="15"/>
      <c r="S13" s="38"/>
      <c r="T13" s="23"/>
      <c r="U13" s="24"/>
      <c r="V13" s="24"/>
      <c r="W13" s="24"/>
      <c r="X13" s="24"/>
      <c r="Y13" s="24"/>
      <c r="Z13" s="25"/>
      <c r="AA13" s="15"/>
      <c r="AB13" s="23"/>
      <c r="AC13" s="24"/>
      <c r="AD13" s="24"/>
      <c r="AE13" s="24"/>
      <c r="AF13" s="24"/>
      <c r="AG13" s="24"/>
      <c r="AH13" s="24"/>
      <c r="AI13" s="25"/>
      <c r="AJ13" s="15"/>
      <c r="AK13" s="38"/>
      <c r="AL13" s="23"/>
      <c r="AM13" s="24"/>
      <c r="AN13" s="24"/>
      <c r="AO13" s="24"/>
      <c r="AP13" s="24"/>
      <c r="AQ13" s="24"/>
      <c r="AR13" s="25"/>
      <c r="AS13" s="15"/>
      <c r="AT13" s="23"/>
      <c r="AU13" s="24"/>
      <c r="AV13" s="24"/>
      <c r="AW13" s="24"/>
      <c r="AX13" s="24"/>
      <c r="AY13" s="24"/>
      <c r="AZ13" s="24"/>
      <c r="BA13" s="25"/>
      <c r="BB13" s="15"/>
    </row>
    <row r="14" spans="1:54" ht="15.75" thickBot="1" x14ac:dyDescent="0.3">
      <c r="A14" s="38"/>
      <c r="B14" s="23"/>
      <c r="C14" s="24"/>
      <c r="D14" s="24"/>
      <c r="E14" s="24"/>
      <c r="F14" s="24"/>
      <c r="G14" s="24"/>
      <c r="H14" s="25"/>
      <c r="I14" s="16"/>
      <c r="J14" s="23"/>
      <c r="K14" s="24"/>
      <c r="L14" s="24"/>
      <c r="M14" s="24"/>
      <c r="N14" s="24"/>
      <c r="O14" s="24"/>
      <c r="P14" s="24"/>
      <c r="Q14" s="25"/>
      <c r="R14" s="16"/>
      <c r="S14" s="38"/>
      <c r="T14" s="23"/>
      <c r="U14" s="24"/>
      <c r="V14" s="24"/>
      <c r="W14" s="24"/>
      <c r="X14" s="24"/>
      <c r="Y14" s="24"/>
      <c r="Z14" s="25"/>
      <c r="AA14" s="16"/>
      <c r="AB14" s="23"/>
      <c r="AC14" s="24"/>
      <c r="AD14" s="24"/>
      <c r="AE14" s="24"/>
      <c r="AF14" s="24"/>
      <c r="AG14" s="24"/>
      <c r="AH14" s="24"/>
      <c r="AI14" s="25"/>
      <c r="AJ14" s="16"/>
      <c r="AK14" s="38"/>
      <c r="AL14" s="23"/>
      <c r="AM14" s="24"/>
      <c r="AN14" s="24"/>
      <c r="AO14" s="24"/>
      <c r="AP14" s="24"/>
      <c r="AQ14" s="24"/>
      <c r="AR14" s="25"/>
      <c r="AS14" s="16"/>
      <c r="AT14" s="23"/>
      <c r="AU14" s="24"/>
      <c r="AV14" s="24"/>
      <c r="AW14" s="24"/>
      <c r="AX14" s="24"/>
      <c r="AY14" s="24"/>
      <c r="AZ14" s="24"/>
      <c r="BA14" s="25"/>
      <c r="BB14" s="16"/>
    </row>
    <row r="15" spans="1:54" x14ac:dyDescent="0.25">
      <c r="A15" s="38"/>
      <c r="B15" s="23"/>
      <c r="C15" s="24"/>
      <c r="D15" s="24"/>
      <c r="E15" s="24"/>
      <c r="F15" s="24"/>
      <c r="G15" s="24"/>
      <c r="H15" s="25"/>
      <c r="I15" s="10" t="s">
        <v>48</v>
      </c>
      <c r="J15" s="23"/>
      <c r="K15" s="24"/>
      <c r="L15" s="24"/>
      <c r="M15" s="24"/>
      <c r="N15" s="24"/>
      <c r="O15" s="24"/>
      <c r="P15" s="24"/>
      <c r="Q15" s="25"/>
      <c r="R15" s="10" t="s">
        <v>51</v>
      </c>
      <c r="S15" s="38"/>
      <c r="T15" s="23"/>
      <c r="U15" s="24"/>
      <c r="V15" s="24"/>
      <c r="W15" s="24"/>
      <c r="X15" s="24"/>
      <c r="Y15" s="24"/>
      <c r="Z15" s="25"/>
      <c r="AA15" s="10" t="s">
        <v>48</v>
      </c>
      <c r="AB15" s="23"/>
      <c r="AC15" s="24"/>
      <c r="AD15" s="24"/>
      <c r="AE15" s="24"/>
      <c r="AF15" s="24"/>
      <c r="AG15" s="24"/>
      <c r="AH15" s="24"/>
      <c r="AI15" s="25"/>
      <c r="AJ15" s="10" t="s">
        <v>51</v>
      </c>
      <c r="AK15" s="38"/>
      <c r="AL15" s="23"/>
      <c r="AM15" s="24"/>
      <c r="AN15" s="24"/>
      <c r="AO15" s="24"/>
      <c r="AP15" s="24"/>
      <c r="AQ15" s="24"/>
      <c r="AR15" s="25"/>
      <c r="AS15" s="10" t="s">
        <v>48</v>
      </c>
      <c r="AT15" s="23"/>
      <c r="AU15" s="24"/>
      <c r="AV15" s="24"/>
      <c r="AW15" s="24"/>
      <c r="AX15" s="24"/>
      <c r="AY15" s="24"/>
      <c r="AZ15" s="24"/>
      <c r="BA15" s="25"/>
      <c r="BB15" s="10" t="s">
        <v>51</v>
      </c>
    </row>
    <row r="16" spans="1:54" ht="15" customHeight="1" x14ac:dyDescent="0.25">
      <c r="A16" s="38"/>
      <c r="B16" s="23"/>
      <c r="C16" s="24"/>
      <c r="D16" s="24"/>
      <c r="E16" s="24"/>
      <c r="F16" s="24"/>
      <c r="G16" s="24"/>
      <c r="H16" s="25"/>
      <c r="I16" s="15">
        <f>I4/I10</f>
        <v>101.43333333333334</v>
      </c>
      <c r="J16" s="23"/>
      <c r="K16" s="24"/>
      <c r="L16" s="24"/>
      <c r="M16" s="24"/>
      <c r="N16" s="24"/>
      <c r="O16" s="24"/>
      <c r="P16" s="24"/>
      <c r="Q16" s="25"/>
      <c r="R16" s="15">
        <f>COUNTIF(SituacaoChegadas, "Em aberto*")</f>
        <v>11</v>
      </c>
      <c r="S16" s="38"/>
      <c r="T16" s="23"/>
      <c r="U16" s="24"/>
      <c r="V16" s="24"/>
      <c r="W16" s="24"/>
      <c r="X16" s="24"/>
      <c r="Y16" s="24"/>
      <c r="Z16" s="25"/>
      <c r="AA16" s="15">
        <f>AA4/AA10</f>
        <v>101.43333333333334</v>
      </c>
      <c r="AB16" s="23"/>
      <c r="AC16" s="24"/>
      <c r="AD16" s="24"/>
      <c r="AE16" s="24"/>
      <c r="AF16" s="24"/>
      <c r="AG16" s="24"/>
      <c r="AH16" s="24"/>
      <c r="AI16" s="25"/>
      <c r="AJ16" s="15">
        <f>COUNTIF(SituacaoChegadas, "Em aberto*")</f>
        <v>11</v>
      </c>
      <c r="AK16" s="38"/>
      <c r="AL16" s="23"/>
      <c r="AM16" s="24"/>
      <c r="AN16" s="24"/>
      <c r="AO16" s="24"/>
      <c r="AP16" s="24"/>
      <c r="AQ16" s="24"/>
      <c r="AR16" s="25"/>
      <c r="AS16" s="15">
        <f>AS4/AS10</f>
        <v>101.43333333333334</v>
      </c>
      <c r="AT16" s="23"/>
      <c r="AU16" s="24"/>
      <c r="AV16" s="24"/>
      <c r="AW16" s="24"/>
      <c r="AX16" s="24"/>
      <c r="AY16" s="24"/>
      <c r="AZ16" s="24"/>
      <c r="BA16" s="25"/>
      <c r="BB16" s="15">
        <f>COUNTIF(SituacaoChegadas, "Em aberto*")</f>
        <v>11</v>
      </c>
    </row>
    <row r="17" spans="1:54" x14ac:dyDescent="0.25">
      <c r="A17" s="38"/>
      <c r="B17" s="23"/>
      <c r="C17" s="24"/>
      <c r="D17" s="24"/>
      <c r="E17" s="24"/>
      <c r="F17" s="24"/>
      <c r="G17" s="24"/>
      <c r="H17" s="25"/>
      <c r="I17" s="15"/>
      <c r="J17" s="23"/>
      <c r="K17" s="24"/>
      <c r="L17" s="24"/>
      <c r="M17" s="24"/>
      <c r="N17" s="24"/>
      <c r="O17" s="24"/>
      <c r="P17" s="24"/>
      <c r="Q17" s="25"/>
      <c r="R17" s="15"/>
      <c r="S17" s="38"/>
      <c r="T17" s="23"/>
      <c r="U17" s="24"/>
      <c r="V17" s="24"/>
      <c r="W17" s="24"/>
      <c r="X17" s="24"/>
      <c r="Y17" s="24"/>
      <c r="Z17" s="25"/>
      <c r="AA17" s="15"/>
      <c r="AB17" s="23"/>
      <c r="AC17" s="24"/>
      <c r="AD17" s="24"/>
      <c r="AE17" s="24"/>
      <c r="AF17" s="24"/>
      <c r="AG17" s="24"/>
      <c r="AH17" s="24"/>
      <c r="AI17" s="25"/>
      <c r="AJ17" s="15"/>
      <c r="AK17" s="38"/>
      <c r="AL17" s="23"/>
      <c r="AM17" s="24"/>
      <c r="AN17" s="24"/>
      <c r="AO17" s="24"/>
      <c r="AP17" s="24"/>
      <c r="AQ17" s="24"/>
      <c r="AR17" s="25"/>
      <c r="AS17" s="15"/>
      <c r="AT17" s="23"/>
      <c r="AU17" s="24"/>
      <c r="AV17" s="24"/>
      <c r="AW17" s="24"/>
      <c r="AX17" s="24"/>
      <c r="AY17" s="24"/>
      <c r="AZ17" s="24"/>
      <c r="BA17" s="25"/>
      <c r="BB17" s="15"/>
    </row>
    <row r="18" spans="1:54" x14ac:dyDescent="0.25">
      <c r="A18" s="38"/>
      <c r="B18" s="23"/>
      <c r="C18" s="24"/>
      <c r="D18" s="24"/>
      <c r="E18" s="24"/>
      <c r="F18" s="24"/>
      <c r="G18" s="24"/>
      <c r="H18" s="25"/>
      <c r="I18" s="15"/>
      <c r="J18" s="23"/>
      <c r="K18" s="24"/>
      <c r="L18" s="24"/>
      <c r="M18" s="24"/>
      <c r="N18" s="24"/>
      <c r="O18" s="24"/>
      <c r="P18" s="24"/>
      <c r="Q18" s="25"/>
      <c r="R18" s="15"/>
      <c r="S18" s="38"/>
      <c r="T18" s="23"/>
      <c r="U18" s="24"/>
      <c r="V18" s="24"/>
      <c r="W18" s="24"/>
      <c r="X18" s="24"/>
      <c r="Y18" s="24"/>
      <c r="Z18" s="25"/>
      <c r="AA18" s="15"/>
      <c r="AB18" s="23"/>
      <c r="AC18" s="24"/>
      <c r="AD18" s="24"/>
      <c r="AE18" s="24"/>
      <c r="AF18" s="24"/>
      <c r="AG18" s="24"/>
      <c r="AH18" s="24"/>
      <c r="AI18" s="25"/>
      <c r="AJ18" s="15"/>
      <c r="AK18" s="38"/>
      <c r="AL18" s="23"/>
      <c r="AM18" s="24"/>
      <c r="AN18" s="24"/>
      <c r="AO18" s="24"/>
      <c r="AP18" s="24"/>
      <c r="AQ18" s="24"/>
      <c r="AR18" s="25"/>
      <c r="AS18" s="15"/>
      <c r="AT18" s="23"/>
      <c r="AU18" s="24"/>
      <c r="AV18" s="24"/>
      <c r="AW18" s="24"/>
      <c r="AX18" s="24"/>
      <c r="AY18" s="24"/>
      <c r="AZ18" s="24"/>
      <c r="BA18" s="25"/>
      <c r="BB18" s="15"/>
    </row>
    <row r="19" spans="1:54" x14ac:dyDescent="0.25">
      <c r="A19" s="38"/>
      <c r="B19" s="23"/>
      <c r="C19" s="24"/>
      <c r="D19" s="24"/>
      <c r="E19" s="24"/>
      <c r="F19" s="24"/>
      <c r="G19" s="24"/>
      <c r="H19" s="25"/>
      <c r="I19" s="15"/>
      <c r="J19" s="23"/>
      <c r="K19" s="24"/>
      <c r="L19" s="24"/>
      <c r="M19" s="24"/>
      <c r="N19" s="24"/>
      <c r="O19" s="24"/>
      <c r="P19" s="24"/>
      <c r="Q19" s="25"/>
      <c r="R19" s="15"/>
      <c r="S19" s="38"/>
      <c r="T19" s="23"/>
      <c r="U19" s="24"/>
      <c r="V19" s="24"/>
      <c r="W19" s="24"/>
      <c r="X19" s="24"/>
      <c r="Y19" s="24"/>
      <c r="Z19" s="25"/>
      <c r="AA19" s="15"/>
      <c r="AB19" s="23"/>
      <c r="AC19" s="24"/>
      <c r="AD19" s="24"/>
      <c r="AE19" s="24"/>
      <c r="AF19" s="24"/>
      <c r="AG19" s="24"/>
      <c r="AH19" s="24"/>
      <c r="AI19" s="25"/>
      <c r="AJ19" s="15"/>
      <c r="AK19" s="38"/>
      <c r="AL19" s="23"/>
      <c r="AM19" s="24"/>
      <c r="AN19" s="24"/>
      <c r="AO19" s="24"/>
      <c r="AP19" s="24"/>
      <c r="AQ19" s="24"/>
      <c r="AR19" s="25"/>
      <c r="AS19" s="15"/>
      <c r="AT19" s="23"/>
      <c r="AU19" s="24"/>
      <c r="AV19" s="24"/>
      <c r="AW19" s="24"/>
      <c r="AX19" s="24"/>
      <c r="AY19" s="24"/>
      <c r="AZ19" s="24"/>
      <c r="BA19" s="25"/>
      <c r="BB19" s="15"/>
    </row>
    <row r="20" spans="1:54" ht="15.75" thickBot="1" x14ac:dyDescent="0.3">
      <c r="A20" s="39"/>
      <c r="B20" s="26"/>
      <c r="C20" s="27"/>
      <c r="D20" s="27"/>
      <c r="E20" s="27"/>
      <c r="F20" s="27"/>
      <c r="G20" s="27"/>
      <c r="H20" s="28"/>
      <c r="I20" s="16"/>
      <c r="J20" s="26"/>
      <c r="K20" s="27"/>
      <c r="L20" s="27"/>
      <c r="M20" s="27"/>
      <c r="N20" s="27"/>
      <c r="O20" s="27"/>
      <c r="P20" s="27"/>
      <c r="Q20" s="28"/>
      <c r="R20" s="16"/>
      <c r="S20" s="39"/>
      <c r="T20" s="26"/>
      <c r="U20" s="27"/>
      <c r="V20" s="27"/>
      <c r="W20" s="27"/>
      <c r="X20" s="27"/>
      <c r="Y20" s="27"/>
      <c r="Z20" s="28"/>
      <c r="AA20" s="16"/>
      <c r="AB20" s="26"/>
      <c r="AC20" s="27"/>
      <c r="AD20" s="27"/>
      <c r="AE20" s="27"/>
      <c r="AF20" s="27"/>
      <c r="AG20" s="27"/>
      <c r="AH20" s="27"/>
      <c r="AI20" s="28"/>
      <c r="AJ20" s="16"/>
      <c r="AK20" s="39"/>
      <c r="AL20" s="26"/>
      <c r="AM20" s="27"/>
      <c r="AN20" s="27"/>
      <c r="AO20" s="27"/>
      <c r="AP20" s="27"/>
      <c r="AQ20" s="27"/>
      <c r="AR20" s="28"/>
      <c r="AS20" s="16"/>
      <c r="AT20" s="26"/>
      <c r="AU20" s="27"/>
      <c r="AV20" s="27"/>
      <c r="AW20" s="27"/>
      <c r="AX20" s="27"/>
      <c r="AY20" s="27"/>
      <c r="AZ20" s="27"/>
      <c r="BA20" s="28"/>
      <c r="BB20" s="16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4" priority="14">
      <formula>$R$10=$R$16</formula>
    </cfRule>
    <cfRule type="expression" dxfId="33" priority="15">
      <formula>$R$10&gt;=($R$16/2)</formula>
    </cfRule>
  </conditionalFormatting>
  <conditionalFormatting sqref="AJ10:AJ14">
    <cfRule type="expression" dxfId="32" priority="4">
      <formula>$R$10=$R$16</formula>
    </cfRule>
    <cfRule type="expression" dxfId="31" priority="5">
      <formula>$R$10&gt;=($R$16/2)</formula>
    </cfRule>
  </conditionalFormatting>
  <conditionalFormatting sqref="BB10:BB14">
    <cfRule type="expression" dxfId="30" priority="2">
      <formula>$R$10=$R$16</formula>
    </cfRule>
    <cfRule type="expression" dxfId="29" priority="3">
      <formula>$R$10&gt;=($R$16/2)</formula>
    </cfRule>
  </conditionalFormatting>
  <conditionalFormatting sqref="B2:R2">
    <cfRule type="containsText" dxfId="28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95250</xdr:colOff>
                    <xdr:row>0</xdr:row>
                    <xdr:rowOff>123825</xdr:rowOff>
                  </from>
                  <to>
                    <xdr:col>0</xdr:col>
                    <xdr:colOff>476250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152400</xdr:colOff>
                    <xdr:row>0</xdr:row>
                    <xdr:rowOff>123825</xdr:rowOff>
                  </from>
                  <to>
                    <xdr:col>18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114300</xdr:colOff>
                    <xdr:row>0</xdr:row>
                    <xdr:rowOff>123825</xdr:rowOff>
                  </from>
                  <to>
                    <xdr:col>36</xdr:col>
                    <xdr:colOff>523875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B12" sqref="B12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sqref="A1:M1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BDE19-2AFE-4CBA-B8D4-6D8C3739AB53}">
  <sheetPr codeName="Planilha5"/>
  <dimension ref="A1:M35"/>
  <sheetViews>
    <sheetView tabSelected="1" workbookViewId="0">
      <selection activeCell="H3" sqref="H3"/>
    </sheetView>
  </sheetViews>
  <sheetFormatPr defaultRowHeight="15" x14ac:dyDescent="0.25"/>
  <cols>
    <col min="1" max="1" width="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9.42578125" bestFit="1" customWidth="1"/>
    <col min="8" max="8" width="7.5703125" bestFit="1" customWidth="1"/>
    <col min="9" max="9" width="12.85546875" bestFit="1" customWidth="1"/>
    <col min="10" max="10" width="19.85546875" bestFit="1" customWidth="1"/>
    <col min="11" max="11" width="7.85546875" bestFit="1" customWidth="1"/>
    <col min="12" max="12" width="15.85546875" bestFit="1" customWidth="1"/>
    <col min="13" max="13" width="19.85546875" bestFit="1" customWidth="1"/>
  </cols>
  <sheetData>
    <row r="1" spans="1:13" x14ac:dyDescent="0.25">
      <c r="A1" s="40" t="s">
        <v>0</v>
      </c>
      <c r="B1" s="41" t="s">
        <v>2</v>
      </c>
      <c r="C1" s="41" t="s">
        <v>3</v>
      </c>
      <c r="D1" s="42" t="s">
        <v>13</v>
      </c>
      <c r="E1" s="41" t="s">
        <v>1</v>
      </c>
      <c r="F1" s="41" t="s">
        <v>21</v>
      </c>
      <c r="G1" s="41" t="s">
        <v>6</v>
      </c>
      <c r="H1" s="41" t="s">
        <v>7</v>
      </c>
      <c r="I1" s="41" t="s">
        <v>8</v>
      </c>
      <c r="J1" s="41" t="s">
        <v>12</v>
      </c>
      <c r="K1" s="41" t="s">
        <v>9</v>
      </c>
      <c r="L1" s="41" t="s">
        <v>10</v>
      </c>
      <c r="M1" s="43" t="s">
        <v>11</v>
      </c>
    </row>
    <row r="2" spans="1:13" ht="29.25" customHeight="1" thickBot="1" x14ac:dyDescent="0.3">
      <c r="A2" s="44"/>
      <c r="B2" s="45"/>
      <c r="C2" s="45"/>
      <c r="D2" s="45"/>
      <c r="E2" s="45"/>
      <c r="F2" s="45"/>
      <c r="G2" s="45"/>
      <c r="H2" s="45" t="s">
        <v>27</v>
      </c>
      <c r="I2" s="45"/>
      <c r="J2" s="45"/>
      <c r="K2" s="45"/>
      <c r="L2" s="45"/>
      <c r="M2" s="46"/>
    </row>
    <row r="3" spans="1:13" ht="24" customHeigh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16</v>
      </c>
      <c r="B6" s="5">
        <v>43714</v>
      </c>
      <c r="C6" t="s">
        <v>18</v>
      </c>
      <c r="D6" s="3">
        <v>1800</v>
      </c>
      <c r="E6" t="s">
        <v>35</v>
      </c>
      <c r="F6" s="4">
        <v>430</v>
      </c>
      <c r="G6" t="s">
        <v>36</v>
      </c>
      <c r="H6" s="4" t="s">
        <v>27</v>
      </c>
      <c r="I6" s="5">
        <v>43715</v>
      </c>
      <c r="J6" s="4" t="s">
        <v>24</v>
      </c>
      <c r="K6" s="4" t="s">
        <v>27</v>
      </c>
      <c r="L6" s="5">
        <v>43715</v>
      </c>
      <c r="M6" s="4" t="s">
        <v>24</v>
      </c>
    </row>
    <row r="7" spans="1:13" x14ac:dyDescent="0.25">
      <c r="A7" t="s">
        <v>16</v>
      </c>
      <c r="B7" s="5">
        <v>43753</v>
      </c>
      <c r="C7" t="s">
        <v>18</v>
      </c>
      <c r="D7" s="3">
        <v>1883.7209302325582</v>
      </c>
      <c r="E7" t="s">
        <v>35</v>
      </c>
      <c r="F7" s="4">
        <v>450</v>
      </c>
      <c r="G7" t="s">
        <v>36</v>
      </c>
      <c r="H7" s="4" t="s">
        <v>27</v>
      </c>
      <c r="I7" s="5">
        <v>43754</v>
      </c>
      <c r="J7" s="4" t="s">
        <v>24</v>
      </c>
      <c r="K7" s="4" t="s">
        <v>27</v>
      </c>
      <c r="L7" s="5">
        <v>43754</v>
      </c>
      <c r="M7" s="4" t="s">
        <v>24</v>
      </c>
    </row>
    <row r="8" spans="1:13" x14ac:dyDescent="0.25">
      <c r="A8" t="s">
        <v>16</v>
      </c>
      <c r="B8" s="5">
        <v>43819</v>
      </c>
      <c r="C8" t="s">
        <v>19</v>
      </c>
      <c r="D8" s="3">
        <v>1632.5581395348838</v>
      </c>
      <c r="E8" t="s">
        <v>35</v>
      </c>
      <c r="F8" s="4">
        <v>390</v>
      </c>
      <c r="G8" t="s">
        <v>36</v>
      </c>
      <c r="H8" s="4" t="s">
        <v>27</v>
      </c>
      <c r="I8" s="5">
        <v>43821</v>
      </c>
      <c r="J8" s="4" t="s">
        <v>26</v>
      </c>
      <c r="K8" s="4" t="s">
        <v>27</v>
      </c>
      <c r="L8" s="5">
        <v>43821</v>
      </c>
      <c r="M8" s="4" t="s">
        <v>26</v>
      </c>
    </row>
    <row r="9" spans="1:13" x14ac:dyDescent="0.25">
      <c r="A9" t="s">
        <v>17</v>
      </c>
      <c r="B9" s="5">
        <v>43556</v>
      </c>
      <c r="C9" t="s">
        <v>18</v>
      </c>
      <c r="D9" s="3">
        <v>916.12500000000011</v>
      </c>
      <c r="E9" t="s">
        <v>39</v>
      </c>
      <c r="F9" s="4">
        <v>25</v>
      </c>
      <c r="G9" t="s">
        <v>22</v>
      </c>
      <c r="H9" s="4" t="s">
        <v>27</v>
      </c>
      <c r="I9" s="5">
        <v>43560</v>
      </c>
      <c r="J9" s="4" t="s">
        <v>24</v>
      </c>
      <c r="K9" s="4" t="s">
        <v>27</v>
      </c>
      <c r="L9" s="5">
        <v>43560</v>
      </c>
      <c r="M9" s="4" t="s">
        <v>24</v>
      </c>
    </row>
    <row r="10" spans="1:13" x14ac:dyDescent="0.25">
      <c r="A10" t="s">
        <v>17</v>
      </c>
      <c r="B10" s="5">
        <v>43592</v>
      </c>
      <c r="C10" t="s">
        <v>18</v>
      </c>
      <c r="D10" s="3">
        <v>854.4</v>
      </c>
      <c r="E10" t="s">
        <v>39</v>
      </c>
      <c r="F10" s="4">
        <v>30</v>
      </c>
      <c r="G10" t="s">
        <v>22</v>
      </c>
      <c r="H10" s="4" t="s">
        <v>27</v>
      </c>
      <c r="I10" s="5">
        <v>43595</v>
      </c>
      <c r="J10" s="4" t="s">
        <v>24</v>
      </c>
      <c r="K10" s="4" t="s">
        <v>27</v>
      </c>
      <c r="L10" s="5">
        <v>43595</v>
      </c>
      <c r="M10" s="4" t="s">
        <v>24</v>
      </c>
    </row>
    <row r="11" spans="1:13" x14ac:dyDescent="0.25">
      <c r="A11" t="s">
        <v>17</v>
      </c>
      <c r="B11" s="5">
        <v>43605</v>
      </c>
      <c r="C11" t="s">
        <v>18</v>
      </c>
      <c r="D11" s="3">
        <v>884.2156521739131</v>
      </c>
      <c r="E11" t="s">
        <v>39</v>
      </c>
      <c r="F11" s="4">
        <v>28</v>
      </c>
      <c r="G11" t="s">
        <v>22</v>
      </c>
      <c r="H11" s="4" t="s">
        <v>27</v>
      </c>
      <c r="I11" s="5">
        <v>43607</v>
      </c>
      <c r="J11" s="4" t="s">
        <v>24</v>
      </c>
      <c r="K11" s="4" t="s">
        <v>27</v>
      </c>
      <c r="L11" s="5">
        <v>43607</v>
      </c>
      <c r="M11" s="4" t="s">
        <v>24</v>
      </c>
    </row>
    <row r="12" spans="1:13" x14ac:dyDescent="0.25">
      <c r="A12" t="s">
        <v>17</v>
      </c>
      <c r="B12" s="5">
        <v>43799</v>
      </c>
      <c r="C12" t="s">
        <v>18</v>
      </c>
      <c r="D12" s="3">
        <v>645.88571428571424</v>
      </c>
      <c r="E12" t="s">
        <v>39</v>
      </c>
      <c r="F12" s="4">
        <v>20</v>
      </c>
      <c r="G12" t="s">
        <v>22</v>
      </c>
      <c r="H12" s="4" t="s">
        <v>27</v>
      </c>
      <c r="I12" s="5">
        <v>43804</v>
      </c>
      <c r="J12" s="4" t="s">
        <v>24</v>
      </c>
      <c r="K12" s="4" t="s">
        <v>27</v>
      </c>
      <c r="L12" s="5">
        <v>43804</v>
      </c>
      <c r="M12" s="4" t="s">
        <v>24</v>
      </c>
    </row>
    <row r="13" spans="1:13" x14ac:dyDescent="0.25">
      <c r="A13" t="s">
        <v>17</v>
      </c>
      <c r="B13" s="5">
        <v>43806</v>
      </c>
      <c r="C13" t="s">
        <v>19</v>
      </c>
      <c r="D13" s="3">
        <v>614.77714285714285</v>
      </c>
      <c r="E13" t="s">
        <v>39</v>
      </c>
      <c r="F13" s="4">
        <v>18</v>
      </c>
      <c r="G13" t="s">
        <v>22</v>
      </c>
      <c r="H13" s="4" t="s">
        <v>27</v>
      </c>
      <c r="I13" s="5">
        <v>43808</v>
      </c>
      <c r="J13" s="4" t="s">
        <v>52</v>
      </c>
      <c r="K13" s="4" t="s">
        <v>27</v>
      </c>
      <c r="L13" s="5">
        <v>43808</v>
      </c>
      <c r="M13" s="4" t="s">
        <v>52</v>
      </c>
    </row>
    <row r="14" spans="1:13" x14ac:dyDescent="0.25">
      <c r="A14" t="s">
        <v>17</v>
      </c>
      <c r="B14" s="5">
        <v>43840</v>
      </c>
      <c r="C14" t="s">
        <v>19</v>
      </c>
      <c r="D14" s="3">
        <v>174.56268221574345</v>
      </c>
      <c r="E14" t="s">
        <v>39</v>
      </c>
      <c r="F14" s="4">
        <v>25</v>
      </c>
      <c r="G14" t="s">
        <v>22</v>
      </c>
      <c r="H14" s="4" t="s">
        <v>27</v>
      </c>
      <c r="I14" s="5">
        <v>43842</v>
      </c>
      <c r="J14" s="4" t="s">
        <v>26</v>
      </c>
      <c r="K14" s="4" t="s">
        <v>27</v>
      </c>
      <c r="L14" s="5">
        <v>43842</v>
      </c>
      <c r="M14" s="4" t="s">
        <v>26</v>
      </c>
    </row>
    <row r="15" spans="1:13" x14ac:dyDescent="0.25">
      <c r="A15" t="s">
        <v>17</v>
      </c>
      <c r="B15" s="5">
        <v>43852</v>
      </c>
      <c r="C15" t="s">
        <v>19</v>
      </c>
      <c r="D15" s="3">
        <v>251.37026239067058</v>
      </c>
      <c r="E15" t="s">
        <v>39</v>
      </c>
      <c r="F15" s="4">
        <v>36</v>
      </c>
      <c r="G15" t="s">
        <v>22</v>
      </c>
      <c r="H15" s="4" t="s">
        <v>27</v>
      </c>
      <c r="I15" s="5">
        <v>43854</v>
      </c>
      <c r="J15" s="4" t="s">
        <v>26</v>
      </c>
      <c r="K15" s="4" t="s">
        <v>27</v>
      </c>
      <c r="L15" s="5">
        <v>43854</v>
      </c>
      <c r="M15" s="4" t="s">
        <v>26</v>
      </c>
    </row>
    <row r="16" spans="1:13" x14ac:dyDescent="0.25">
      <c r="A16" t="s">
        <v>17</v>
      </c>
      <c r="B16" s="5">
        <v>43852</v>
      </c>
      <c r="C16" t="s">
        <v>19</v>
      </c>
      <c r="D16" s="3">
        <v>251.37026239067058</v>
      </c>
      <c r="E16" t="s">
        <v>39</v>
      </c>
      <c r="F16" s="4">
        <v>100</v>
      </c>
      <c r="G16" t="s">
        <v>22</v>
      </c>
      <c r="H16" s="4" t="s">
        <v>27</v>
      </c>
      <c r="I16" s="5">
        <v>43854</v>
      </c>
      <c r="J16" s="4" t="s">
        <v>26</v>
      </c>
      <c r="K16" s="4" t="s">
        <v>27</v>
      </c>
      <c r="L16" s="5">
        <v>43854</v>
      </c>
      <c r="M16" s="4" t="s">
        <v>26</v>
      </c>
    </row>
    <row r="17" spans="1:13" x14ac:dyDescent="0.25">
      <c r="A17" t="s">
        <v>17</v>
      </c>
      <c r="B17" s="5">
        <v>43852</v>
      </c>
      <c r="C17" t="s">
        <v>19</v>
      </c>
      <c r="D17" s="3">
        <v>251.37026239067058</v>
      </c>
      <c r="E17" t="s">
        <v>39</v>
      </c>
      <c r="F17" s="4">
        <v>100</v>
      </c>
      <c r="G17" t="s">
        <v>22</v>
      </c>
      <c r="H17" s="4" t="s">
        <v>27</v>
      </c>
      <c r="I17" s="5">
        <v>43854</v>
      </c>
      <c r="J17" s="4" t="s">
        <v>26</v>
      </c>
      <c r="K17" s="4" t="s">
        <v>27</v>
      </c>
      <c r="L17" s="5">
        <v>43854</v>
      </c>
      <c r="M17" s="4" t="s">
        <v>26</v>
      </c>
    </row>
    <row r="18" spans="1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1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1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1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1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1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1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1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1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1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1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1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1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1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1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190500</xdr:colOff>
                    <xdr:row>2</xdr:row>
                    <xdr:rowOff>28575</xdr:rowOff>
                  </from>
                  <to>
                    <xdr:col>0</xdr:col>
                    <xdr:colOff>1590675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CBF-0D75-4CB1-90FF-3538B9C9F398}">
  <sheetPr codeName="Planilha6"/>
  <dimension ref="A3:B7"/>
  <sheetViews>
    <sheetView workbookViewId="0">
      <selection activeCell="H13" sqref="H13"/>
    </sheetView>
  </sheetViews>
  <sheetFormatPr defaultRowHeight="15" x14ac:dyDescent="0.25"/>
  <cols>
    <col min="1" max="1" width="18" bestFit="1" customWidth="1"/>
    <col min="2" max="2" width="25" bestFit="1" customWidth="1"/>
  </cols>
  <sheetData>
    <row r="3" spans="1:2" x14ac:dyDescent="0.25">
      <c r="A3" s="48" t="s">
        <v>40</v>
      </c>
      <c r="B3" t="s">
        <v>41</v>
      </c>
    </row>
    <row r="4" spans="1:2" x14ac:dyDescent="0.25">
      <c r="A4" s="49" t="s">
        <v>36</v>
      </c>
      <c r="B4" s="51">
        <v>5316.2790697674418</v>
      </c>
    </row>
    <row r="5" spans="1:2" x14ac:dyDescent="0.25">
      <c r="A5" s="49" t="s">
        <v>57</v>
      </c>
      <c r="B5" s="51"/>
    </row>
    <row r="6" spans="1:2" x14ac:dyDescent="0.25">
      <c r="A6" s="49" t="s">
        <v>22</v>
      </c>
      <c r="B6" s="51">
        <v>4844.0769787045238</v>
      </c>
    </row>
    <row r="7" spans="1:2" x14ac:dyDescent="0.25">
      <c r="A7" s="49" t="s">
        <v>42</v>
      </c>
      <c r="B7" s="50">
        <v>10160.356048471966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Base Filtrada</vt:lpstr>
      <vt:lpstr>Valor por Veículo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Marta.Cristina</cp:lastModifiedBy>
  <dcterms:created xsi:type="dcterms:W3CDTF">2020-01-28T18:38:11Z</dcterms:created>
  <dcterms:modified xsi:type="dcterms:W3CDTF">2021-06-22T21:32:01Z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
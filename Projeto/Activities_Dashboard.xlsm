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Pessoal\Alura\Excel\Projeto\"/>
    </mc:Choice>
  </mc:AlternateContent>
  <xr:revisionPtr revIDLastSave="0" documentId="13_ncr:1_{50285403-BBFD-4AAF-B023-7DEA1D289965}" xr6:coauthVersionLast="44" xr6:coauthVersionMax="44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Atividades" sheetId="1" state="hidden" r:id="rId1"/>
    <sheet name="Dashboard" sheetId="5" r:id="rId2"/>
    <sheet name="Atividades Filtradas" sheetId="4" r:id="rId3"/>
    <sheet name="Tempo por ano" sheetId="16" r:id="rId4"/>
    <sheet name="Distância por ano" sheetId="15" r:id="rId5"/>
    <sheet name="Calorias por ano" sheetId="14" r:id="rId6"/>
    <sheet name="FC média por ano" sheetId="13" r:id="rId7"/>
    <sheet name="Atividades por ano" sheetId="11" r:id="rId8"/>
    <sheet name="Contagem de atividades" sheetId="6" r:id="rId9"/>
    <sheet name="Distância por atividade" sheetId="7" r:id="rId10"/>
    <sheet name="Calorias por atividade" sheetId="8" r:id="rId11"/>
    <sheet name="Tempo por atividade" sheetId="9" r:id="rId12"/>
    <sheet name="FC média por atividade" sheetId="10" r:id="rId13"/>
  </sheets>
  <definedNames>
    <definedName name="_xlnm._FilterDatabase" localSheetId="0" hidden="1">Atividades!$A$1:$AJ$241</definedName>
    <definedName name="Activities" localSheetId="0">Atividades!$A$1:$AJ$241</definedName>
    <definedName name="_xlnm.Extract" localSheetId="2">'Atividades Filtradas'!$A$5:$AJ$5</definedName>
    <definedName name="_xlnm.Criteria" localSheetId="2">'Atividades Filtradas'!$A$1:$AJ$2</definedName>
  </definedNames>
  <calcPr calcId="181029"/>
  <pivotCaches>
    <pivotCache cacheId="323" r:id="rId14"/>
    <pivotCache cacheId="341" r:id="rId15"/>
    <pivotCache cacheId="344" r:id="rId16"/>
    <pivotCache cacheId="347" r:id="rId17"/>
    <pivotCache cacheId="350" r:id="rId18"/>
    <pivotCache cacheId="353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18" i="5" l="1"/>
  <c r="M18" i="5"/>
  <c r="G18" i="5"/>
  <c r="A18" i="5"/>
  <c r="T11" i="5"/>
  <c r="M11" i="5"/>
  <c r="G11" i="5"/>
  <c r="A11" i="5"/>
  <c r="T4" i="5"/>
  <c r="M4" i="5"/>
  <c r="G4" i="5"/>
  <c r="A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65FF50-9236-4D45-A5A9-7763705D4ECB}" name="Activities" type="6" refreshedVersion="6" background="1" saveData="1">
    <textPr codePage="65001" sourceFile="C:\Pessoal\Alura\Excel\Projeto\Activities.csv" decimal="," thousands="." comma="1">
      <textFields count="3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<sst xmlns="http://schemas.openxmlformats.org/spreadsheetml/2006/main" count="5238" uniqueCount="288">
  <si>
    <t>Tipo de atividade</t>
  </si>
  <si>
    <t>Data</t>
  </si>
  <si>
    <t>Favorito</t>
  </si>
  <si>
    <t>Título</t>
  </si>
  <si>
    <t>Distância</t>
  </si>
  <si>
    <t>Calorias</t>
  </si>
  <si>
    <t>Tempo</t>
  </si>
  <si>
    <t>FC Média</t>
  </si>
  <si>
    <t>FC máxima</t>
  </si>
  <si>
    <t>Training Effect Aeróbico</t>
  </si>
  <si>
    <t>Cadência de corrida média</t>
  </si>
  <si>
    <t>Cadência de corrida máxima</t>
  </si>
  <si>
    <t>Velocidade média</t>
  </si>
  <si>
    <t>Velocidade máxima</t>
  </si>
  <si>
    <t>Ganho de elevação</t>
  </si>
  <si>
    <t>Perda da elevação</t>
  </si>
  <si>
    <t>Comprimento médio da passada</t>
  </si>
  <si>
    <t>Proporção de média vertical</t>
  </si>
  <si>
    <t>Oscilação vertical média</t>
  </si>
  <si>
    <t>Training Stress Score®</t>
  </si>
  <si>
    <t>Granularidade</t>
  </si>
  <si>
    <t>Fluxo</t>
  </si>
  <si>
    <t>Total de repetições</t>
  </si>
  <si>
    <t>Total de conjuntos</t>
  </si>
  <si>
    <t>Tempo de escalada</t>
  </si>
  <si>
    <t>Tempo no fundo</t>
  </si>
  <si>
    <t>Temp mínima</t>
  </si>
  <si>
    <t>Intervalo de superfície</t>
  </si>
  <si>
    <t>Descompressão</t>
  </si>
  <si>
    <t>Tempo da melhor volta</t>
  </si>
  <si>
    <t>Número de voltas</t>
  </si>
  <si>
    <t>Temp máxima</t>
  </si>
  <si>
    <t>Tempo em movimento</t>
  </si>
  <si>
    <t>Duração</t>
  </si>
  <si>
    <t>Elevação mínima</t>
  </si>
  <si>
    <t>Elevação máxima</t>
  </si>
  <si>
    <t>Treino de força</t>
  </si>
  <si>
    <t>false</t>
  </si>
  <si>
    <t>Força</t>
  </si>
  <si>
    <t>--</t>
  </si>
  <si>
    <t>Não</t>
  </si>
  <si>
    <t>36:12.03</t>
  </si>
  <si>
    <t>Ciclismo</t>
  </si>
  <si>
    <t>Blumenau Ciclismo</t>
  </si>
  <si>
    <t>12:25.05</t>
  </si>
  <si>
    <t>Corrida</t>
  </si>
  <si>
    <t>Pomerode Corrida</t>
  </si>
  <si>
    <t>00:30.41</t>
  </si>
  <si>
    <t>37:38.93</t>
  </si>
  <si>
    <t>Blumenau Corrida</t>
  </si>
  <si>
    <t>00:01.43</t>
  </si>
  <si>
    <t>00:03.65</t>
  </si>
  <si>
    <t>53:48.75</t>
  </si>
  <si>
    <t>Blumenau - 10k - 90 a 95%</t>
  </si>
  <si>
    <t>00:05.04</t>
  </si>
  <si>
    <t>00:36.10</t>
  </si>
  <si>
    <t>49:58.81</t>
  </si>
  <si>
    <t>Corrida em esteira</t>
  </si>
  <si>
    <t>8k - 95 a 100%</t>
  </si>
  <si>
    <t>00:02.87</t>
  </si>
  <si>
    <t>51:15.65</t>
  </si>
  <si>
    <t>6 x 1km com intervalo 3min parad</t>
  </si>
  <si>
    <t>00:02.70</t>
  </si>
  <si>
    <t>49:19.86</t>
  </si>
  <si>
    <t>05:45.15</t>
  </si>
  <si>
    <t>52:38.80</t>
  </si>
  <si>
    <t>10k - 90 a 95%</t>
  </si>
  <si>
    <t>00:01.37</t>
  </si>
  <si>
    <t>Blumenau - 4 x 1km forte com 500m leve</t>
  </si>
  <si>
    <t>00:04.61</t>
  </si>
  <si>
    <t>53:03.70</t>
  </si>
  <si>
    <t>03:50.01</t>
  </si>
  <si>
    <t>8k - 90 a 95%</t>
  </si>
  <si>
    <t>00:07.70</t>
  </si>
  <si>
    <t>10 x 300m moderado/forte com 100</t>
  </si>
  <si>
    <t>00:03.37</t>
  </si>
  <si>
    <t>02:23.79</t>
  </si>
  <si>
    <t>01:03:07.04</t>
  </si>
  <si>
    <t>00:04.95</t>
  </si>
  <si>
    <t>6 x 500m com intervalo 2min para</t>
  </si>
  <si>
    <t>58:07.55</t>
  </si>
  <si>
    <t>04:05.35</t>
  </si>
  <si>
    <t>Blumenau - 10 x 400 - intervalo 1 minuto</t>
  </si>
  <si>
    <t>00:04.31</t>
  </si>
  <si>
    <t>00:06.79</t>
  </si>
  <si>
    <t>57:43.69</t>
  </si>
  <si>
    <t>00:02.42</t>
  </si>
  <si>
    <t>01:00:09.53</t>
  </si>
  <si>
    <t>00:01.41</t>
  </si>
  <si>
    <t>00:56.73</t>
  </si>
  <si>
    <t>02:59.52</t>
  </si>
  <si>
    <t>01:30.82</t>
  </si>
  <si>
    <t>00:02.00</t>
  </si>
  <si>
    <t>00:54.30</t>
  </si>
  <si>
    <t>00:00.63</t>
  </si>
  <si>
    <t>06:00.32</t>
  </si>
  <si>
    <t>02:40.24</t>
  </si>
  <si>
    <t>00:59.48</t>
  </si>
  <si>
    <t>00:02.74</t>
  </si>
  <si>
    <t>00:02.84</t>
  </si>
  <si>
    <t>00:02.73</t>
  </si>
  <si>
    <t>02:19.44</t>
  </si>
  <si>
    <t>00:01.16</t>
  </si>
  <si>
    <t>Blumenau - Run Workout</t>
  </si>
  <si>
    <t>00:04.80</t>
  </si>
  <si>
    <t>00:08.53</t>
  </si>
  <si>
    <t>Blumenau - 15 x 400 - intervalo 1 minuto caminhando</t>
  </si>
  <si>
    <t>00:01.31</t>
  </si>
  <si>
    <t>Blumenau - 4 x 2km com intervalo 3min caminhando</t>
  </si>
  <si>
    <t>03:00.00</t>
  </si>
  <si>
    <t>Blumenau - 12 x 300m moderado/forte com 100m leve</t>
  </si>
  <si>
    <t>00:45.62</t>
  </si>
  <si>
    <t>02:03.27</t>
  </si>
  <si>
    <t>Blumenau - Progressivo - leve p/ forte</t>
  </si>
  <si>
    <t>00:03.92</t>
  </si>
  <si>
    <t>03:26.45</t>
  </si>
  <si>
    <t>Blumenau - 6 x 2:30 - 2:30 com 2km aquec e 2km desaquec</t>
  </si>
  <si>
    <t>02:30.00</t>
  </si>
  <si>
    <t>00:04.70</t>
  </si>
  <si>
    <t>02:10.21</t>
  </si>
  <si>
    <t>00:02.66</t>
  </si>
  <si>
    <t>Blumenau - 10 X 1'30 subida"</t>
  </si>
  <si>
    <t>Blumenau - 2 x 5km com intervalo 5min caminhando</t>
  </si>
  <si>
    <t>03:18.82</t>
  </si>
  <si>
    <t>Blumenau - 3 x 2km com intervalo 3min caminhando</t>
  </si>
  <si>
    <t>Ilhota Corrida</t>
  </si>
  <si>
    <t>05:16.08</t>
  </si>
  <si>
    <t>00:05.93</t>
  </si>
  <si>
    <t>00:03.16</t>
  </si>
  <si>
    <t>Blumenau - 4 x 1km com intervalo 3min caminhando</t>
  </si>
  <si>
    <t>03:00.45</t>
  </si>
  <si>
    <t>06:57.48</t>
  </si>
  <si>
    <t>00:02.67</t>
  </si>
  <si>
    <t>20:26.31</t>
  </si>
  <si>
    <t>00:03.29</t>
  </si>
  <si>
    <t>Gaspar Corrida</t>
  </si>
  <si>
    <t>04:47.11</t>
  </si>
  <si>
    <t>07:55.08</t>
  </si>
  <si>
    <t>Blumenau - Teste de 5km</t>
  </si>
  <si>
    <t>00:20.00</t>
  </si>
  <si>
    <t>Blumenau - Teste de 1km SUBIDA</t>
  </si>
  <si>
    <t>Blumenau - Teste de 1km</t>
  </si>
  <si>
    <t>05:47.76</t>
  </si>
  <si>
    <t>00:05.40</t>
  </si>
  <si>
    <t>00:02.05</t>
  </si>
  <si>
    <t>00:02.35</t>
  </si>
  <si>
    <t>00:04.68</t>
  </si>
  <si>
    <t>01:00.00</t>
  </si>
  <si>
    <t>00:07.04</t>
  </si>
  <si>
    <t>Blumenau - 8 x 500m com intervalo 2min caminhando</t>
  </si>
  <si>
    <t>02:00.00</t>
  </si>
  <si>
    <t>00:05.71</t>
  </si>
  <si>
    <t>03:07.57</t>
  </si>
  <si>
    <t>12:23.58</t>
  </si>
  <si>
    <t>04:00.00</t>
  </si>
  <si>
    <t>04:33.26</t>
  </si>
  <si>
    <t>00:05.52</t>
  </si>
  <si>
    <t>01:21.53</t>
  </si>
  <si>
    <t>00:01.88</t>
  </si>
  <si>
    <t>00:02.80</t>
  </si>
  <si>
    <t>Blumenau - 2 x 5km progressivo</t>
  </si>
  <si>
    <t>00:03.08</t>
  </si>
  <si>
    <t>00:01.65</t>
  </si>
  <si>
    <t>8 x 800m com intervalo 2min caminhando</t>
  </si>
  <si>
    <t>00:06.03</t>
  </si>
  <si>
    <t>00:12.12</t>
  </si>
  <si>
    <t>Blumenau - 10 x 200m SUBIDA</t>
  </si>
  <si>
    <t>01:06.85</t>
  </si>
  <si>
    <t>00:02.86</t>
  </si>
  <si>
    <t>00:03.85</t>
  </si>
  <si>
    <t>00:02.58</t>
  </si>
  <si>
    <t>2 x 3km com intervalo 3min caminhando</t>
  </si>
  <si>
    <t>00:50.52</t>
  </si>
  <si>
    <t>03:30.65</t>
  </si>
  <si>
    <t>6 x 1km com intervalo 3min parado</t>
  </si>
  <si>
    <t>00:01.54</t>
  </si>
  <si>
    <t>00:03.02</t>
  </si>
  <si>
    <t>00:02.06</t>
  </si>
  <si>
    <t>Blumenau - 8 x 600m com intervalo 2min caminhando</t>
  </si>
  <si>
    <t>00:01.42</t>
  </si>
  <si>
    <t>03:27.49</t>
  </si>
  <si>
    <t>00:02.88</t>
  </si>
  <si>
    <t>00:03.76</t>
  </si>
  <si>
    <t>00:02.98</t>
  </si>
  <si>
    <t>Blumenau - 10 x 1min Moderado/Forte - 2min leve</t>
  </si>
  <si>
    <t>00:07.58</t>
  </si>
  <si>
    <t>00:09.28</t>
  </si>
  <si>
    <t>00:03.91</t>
  </si>
  <si>
    <t>00:09.83</t>
  </si>
  <si>
    <t>00:02.36</t>
  </si>
  <si>
    <t>00:01.79</t>
  </si>
  <si>
    <t>00:33.33</t>
  </si>
  <si>
    <t>8 x 400m com intervalo 2min caminhando</t>
  </si>
  <si>
    <t>00:02.94</t>
  </si>
  <si>
    <t>00:03.94</t>
  </si>
  <si>
    <t>Blumenau - Progressivo 3 etapas</t>
  </si>
  <si>
    <t>00:03.43</t>
  </si>
  <si>
    <t>4 x 1km com intervalo 3min caminhando</t>
  </si>
  <si>
    <t>00:02.53</t>
  </si>
  <si>
    <t>00:01.62</t>
  </si>
  <si>
    <t>Blumenau - 6 x 500m com intervalo 2min parado</t>
  </si>
  <si>
    <t>00:01.95</t>
  </si>
  <si>
    <t>00:21.46</t>
  </si>
  <si>
    <t>00:04.51</t>
  </si>
  <si>
    <t>5 x 500m com intervalo 2min caminhando</t>
  </si>
  <si>
    <t>00:04.47</t>
  </si>
  <si>
    <t>00:04.11</t>
  </si>
  <si>
    <t>5 x 400m com intervalo 2min caminhando</t>
  </si>
  <si>
    <t>00:02.34</t>
  </si>
  <si>
    <t>00:03.34</t>
  </si>
  <si>
    <t>00:05.08</t>
  </si>
  <si>
    <t>03:00.08</t>
  </si>
  <si>
    <t>00:02.91</t>
  </si>
  <si>
    <t>00:03.33</t>
  </si>
  <si>
    <t>00:03.54</t>
  </si>
  <si>
    <t>02:59.17</t>
  </si>
  <si>
    <t>03:14.96</t>
  </si>
  <si>
    <t>00:03.15</t>
  </si>
  <si>
    <t>00:02.78</t>
  </si>
  <si>
    <t>Run Workout</t>
  </si>
  <si>
    <t>00:03.23</t>
  </si>
  <si>
    <t>07:00.73</t>
  </si>
  <si>
    <t>00:04.06</t>
  </si>
  <si>
    <t>00:04.85</t>
  </si>
  <si>
    <t>00:02.55</t>
  </si>
  <si>
    <t>00:01.60</t>
  </si>
  <si>
    <t>10:01.20</t>
  </si>
  <si>
    <t>05:30.44</t>
  </si>
  <si>
    <t>05:55.26</t>
  </si>
  <si>
    <t>01:30.00</t>
  </si>
  <si>
    <t>00:00.00</t>
  </si>
  <si>
    <t>Musculação</t>
  </si>
  <si>
    <t>00:10.37</t>
  </si>
  <si>
    <t>00:55.56</t>
  </si>
  <si>
    <t>01:23.65</t>
  </si>
  <si>
    <t>02:57.84</t>
  </si>
  <si>
    <t>01:39.89</t>
  </si>
  <si>
    <t>00:05.33</t>
  </si>
  <si>
    <t>01:00.28</t>
  </si>
  <si>
    <t>02:36.71</t>
  </si>
  <si>
    <t>05:47.12</t>
  </si>
  <si>
    <t>00:08.21</t>
  </si>
  <si>
    <t>01:09.44</t>
  </si>
  <si>
    <t>03:59.79</t>
  </si>
  <si>
    <t>Musculação" em casa"</t>
  </si>
  <si>
    <t>02:01.44</t>
  </si>
  <si>
    <t>02:49.21</t>
  </si>
  <si>
    <t>05:40.48</t>
  </si>
  <si>
    <t>00:02.13</t>
  </si>
  <si>
    <t>00:37.96</t>
  </si>
  <si>
    <t>00:58.40</t>
  </si>
  <si>
    <t>00:36.84</t>
  </si>
  <si>
    <t>01:04.36</t>
  </si>
  <si>
    <t>00:44.84</t>
  </si>
  <si>
    <t>00:58.36</t>
  </si>
  <si>
    <t>00:00.85</t>
  </si>
  <si>
    <t>01:00.45</t>
  </si>
  <si>
    <t>01:29.64</t>
  </si>
  <si>
    <t>Blumenau Correr</t>
  </si>
  <si>
    <t>00:02.29</t>
  </si>
  <si>
    <t>00:53.56</t>
  </si>
  <si>
    <t>02:02.08</t>
  </si>
  <si>
    <t>00:00.77</t>
  </si>
  <si>
    <t>Correr</t>
  </si>
  <si>
    <t>00:00.81</t>
  </si>
  <si>
    <t>01:41.76</t>
  </si>
  <si>
    <t>00:06.54</t>
  </si>
  <si>
    <t>01:43.26</t>
  </si>
  <si>
    <t>00:34.37</t>
  </si>
  <si>
    <t>Atividades</t>
  </si>
  <si>
    <t>Distância (Km)</t>
  </si>
  <si>
    <t>Frequência Cardíaca</t>
  </si>
  <si>
    <t>TOTAIS</t>
  </si>
  <si>
    <t>MÉDIAS</t>
  </si>
  <si>
    <t>MÁXIMAS</t>
  </si>
  <si>
    <t>Contagem de Tipo de atividade</t>
  </si>
  <si>
    <t>Soma de Distância</t>
  </si>
  <si>
    <t>Soma de Calorias</t>
  </si>
  <si>
    <t>Soma de Tempo</t>
  </si>
  <si>
    <t>Média de FC Média</t>
  </si>
  <si>
    <t>GRÁFICOS POR ATIVIDADE</t>
  </si>
  <si>
    <t>GRÁFICOS POR ANO</t>
  </si>
  <si>
    <t>Anos</t>
  </si>
  <si>
    <t>2020</t>
  </si>
  <si>
    <t>2021</t>
  </si>
  <si>
    <t>2019</t>
  </si>
  <si>
    <t>Rótulos de Linha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</si>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</sst>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2" formatCode="h:mm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22" fontId="0" fillId="0" borderId="0" xfId="0" applyNumberFormat="1"/>
    <xf numFmtId="21" fontId="0" fillId="0" borderId="0" xfId="0" applyNumberFormat="1"/>
    <xf numFmtId="46" fontId="0" fillId="0" borderId="0" xfId="0" applyNumberFormat="1"/>
    <xf numFmtId="20" fontId="0" fillId="0" borderId="0" xfId="0" applyNumberFormat="1"/>
    <xf numFmtId="3" fontId="0" fillId="0" borderId="0" xfId="0" applyNumberFormat="1"/>
    <xf numFmtId="47" fontId="0" fillId="0" borderId="0" xfId="0" applyNumberFormat="1"/>
    <xf numFmtId="0" fontId="1" fillId="0" borderId="0" xfId="0" applyFont="1"/>
    <xf numFmtId="0" fontId="0" fillId="2" borderId="0" xfId="0" applyFill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0" fillId="0" borderId="2" xfId="0" applyBorder="1" applyAlignment="1">
      <alignment horizontal="center"/>
    </xf>
    <xf numFmtId="0" fontId="3" fillId="3" borderId="13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46" fontId="3" fillId="3" borderId="14" xfId="0" applyNumberFormat="1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21" fontId="3" fillId="7" borderId="14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19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2" fontId="3" fillId="9" borderId="13" xfId="0" applyNumberFormat="1" applyFont="1" applyFill="1" applyBorder="1" applyAlignment="1">
      <alignment horizontal="center" vertical="center"/>
    </xf>
    <xf numFmtId="2" fontId="3" fillId="9" borderId="14" xfId="0" applyNumberFormat="1" applyFont="1" applyFill="1" applyBorder="1" applyAlignment="1">
      <alignment horizontal="center" vertical="center"/>
    </xf>
    <xf numFmtId="21" fontId="3" fillId="9" borderId="14" xfId="0" applyNumberFormat="1" applyFont="1" applyFill="1" applyBorder="1" applyAlignment="1">
      <alignment horizontal="center" vertical="center"/>
    </xf>
    <xf numFmtId="0" fontId="3" fillId="9" borderId="14" xfId="0" applyFont="1" applyFill="1" applyBorder="1" applyAlignment="1">
      <alignment horizontal="center" vertical="center"/>
    </xf>
    <xf numFmtId="2" fontId="3" fillId="9" borderId="15" xfId="0" applyNumberFormat="1" applyFont="1" applyFill="1" applyBorder="1" applyAlignment="1">
      <alignment horizontal="center" vertical="center"/>
    </xf>
    <xf numFmtId="2" fontId="3" fillId="9" borderId="16" xfId="0" applyNumberFormat="1" applyFont="1" applyFill="1" applyBorder="1" applyAlignment="1">
      <alignment horizontal="center" vertical="center"/>
    </xf>
    <xf numFmtId="2" fontId="3" fillId="9" borderId="7" xfId="0" applyNumberFormat="1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2" fontId="3" fillId="9" borderId="17" xfId="0" applyNumberFormat="1" applyFont="1" applyFill="1" applyBorder="1" applyAlignment="1">
      <alignment horizontal="center" vertical="center"/>
    </xf>
    <xf numFmtId="2" fontId="3" fillId="9" borderId="18" xfId="0" applyNumberFormat="1" applyFont="1" applyFill="1" applyBorder="1" applyAlignment="1">
      <alignment horizontal="center" vertical="center"/>
    </xf>
    <xf numFmtId="2" fontId="3" fillId="9" borderId="19" xfId="0" applyNumberFormat="1" applyFont="1" applyFill="1" applyBorder="1" applyAlignment="1">
      <alignment horizontal="center" vertical="center"/>
    </xf>
    <xf numFmtId="0" fontId="3" fillId="9" borderId="19" xfId="0" applyFont="1" applyFill="1" applyBorder="1" applyAlignment="1">
      <alignment horizontal="center" vertical="center"/>
    </xf>
    <xf numFmtId="2" fontId="3" fillId="9" borderId="20" xfId="0" applyNumberFormat="1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7" borderId="17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pivotButton="1"/>
    <xf numFmtId="0" fontId="0" fillId="0" borderId="0" xfId="0" applyNumberFormat="1"/>
    <xf numFmtId="172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[Activities_Dashboard.xlsm]Contagem de atividades!Tabela dinâmica9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Contagem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'Contagem de atividades'!$B$1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'Contagem de atividades'!$A$2:$A$5</c:f>
              <c:strCache>
                <c:ptCount val="4"/>
                <c:pt idx="0">
                  <c:v>Ciclismo</c:v>
                </c:pt>
                <c:pt idx="1">
                  <c:v>Corrida</c:v>
                </c:pt>
                <c:pt idx="2">
                  <c:v>Corrida em esteira</c:v>
                </c:pt>
                <c:pt idx="3">
                  <c:v>Treino de força</c:v>
                </c:pt>
              </c:strCache>
            </c:strRef>
          </c:cat>
          <c:val>
            <c:numRef>
              <c:f>'Contagem de atividades'!$B$2:$B$5</c:f>
              <c:numCache>
                <c:formatCode>General</c:formatCode>
                <c:ptCount val="4"/>
                <c:pt idx="0">
                  <c:v>2</c:v>
                </c:pt>
                <c:pt idx="1">
                  <c:v>208</c:v>
                </c:pt>
                <c:pt idx="2">
                  <c:v>12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B-4629-93C3-AF8D837F1D5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412023471"/>
        <c:axId val="1483453967"/>
      </c:barChart>
      <c:catAx>
        <c:axId val="14120234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3453967"/>
        <c:crosses val="autoZero"/>
        <c:auto val="1"/>
        <c:lblAlgn val="ctr"/>
        <c:lblOffset val="100"/>
        <c:noMultiLvlLbl val="0"/>
      </c:catAx>
      <c:valAx>
        <c:axId val="14834539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023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[Activities_Dashboard.xlsm]Distância por atividade!Tabela dinâmica16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/>
              <a:t>Soma de Distância</a:t>
            </a:r>
          </a:p>
        </c:rich>
      </c:tx>
      <c:layout>
        <c:manualLayout>
          <c:xMode val="edge"/>
          <c:yMode val="edge"/>
          <c:x val="0.35776254825416987"/>
          <c:y val="7.1350289967578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4.5147897235970701E-2"/>
              <c:y val="-3.0544919358965516E-3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3.9837322285355053E-2"/>
              <c:y val="-6.1754523751782692E-3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'Distância por atividade'!$B$1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1EC-445E-9DA3-BEB191E4576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71EC-445E-9DA3-BEB191E4576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>
                <c:manualLayout>
                  <c:x val="4.5147897235970701E-2"/>
                  <c:y val="-3.0544919358965516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1EC-445E-9DA3-BEB191E4576C}"/>
                </c:ext>
              </c:extLst>
            </c:dLbl>
            <c:dLbl>
              <c:idx val="2"/>
              <c:layout>
                <c:manualLayout>
                  <c:x val="-3.9837322285355053E-2"/>
                  <c:y val="-6.1754523751782692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EC-445E-9DA3-BEB191E4576C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'Distância por atividade'!$A$2:$A$5</c:f>
              <c:strCache>
                <c:ptCount val="4"/>
                <c:pt idx="0">
                  <c:v>Ciclismo</c:v>
                </c:pt>
                <c:pt idx="1">
                  <c:v>Corrida</c:v>
                </c:pt>
                <c:pt idx="2">
                  <c:v>Corrida em esteira</c:v>
                </c:pt>
                <c:pt idx="3">
                  <c:v>Treino de força</c:v>
                </c:pt>
              </c:strCache>
            </c:strRef>
          </c:cat>
          <c:val>
            <c:numRef>
              <c:f>'Distância por atividade'!$B$2:$B$5</c:f>
              <c:numCache>
                <c:formatCode>General</c:formatCode>
                <c:ptCount val="4"/>
                <c:pt idx="0">
                  <c:v>29.57</c:v>
                </c:pt>
                <c:pt idx="1">
                  <c:v>1459.3400000000001</c:v>
                </c:pt>
                <c:pt idx="2">
                  <c:v>64.55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45E-9DA3-BEB191E4576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[Activities_Dashboard.xlsm]Calorias por atividade!Tabela dinâmica21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/>
              <a:t>Soma de Calorias</a:t>
            </a:r>
          </a:p>
        </c:rich>
      </c:tx>
      <c:layout>
        <c:manualLayout>
          <c:xMode val="edge"/>
          <c:yMode val="edge"/>
          <c:x val="0.37743319477135989"/>
          <c:y val="7.1350289967578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'Calorias por atividade'!$B$1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'Calorias por atividade'!$A$2:$A$5</c:f>
              <c:strCache>
                <c:ptCount val="4"/>
                <c:pt idx="0">
                  <c:v>Ciclismo</c:v>
                </c:pt>
                <c:pt idx="1">
                  <c:v>Corrida</c:v>
                </c:pt>
                <c:pt idx="2">
                  <c:v>Corrida em esteira</c:v>
                </c:pt>
                <c:pt idx="3">
                  <c:v>Treino de força</c:v>
                </c:pt>
              </c:strCache>
            </c:strRef>
          </c:cat>
          <c:val>
            <c:numRef>
              <c:f>'Calorias por atividade'!$B$2:$B$5</c:f>
              <c:numCache>
                <c:formatCode>General</c:formatCode>
                <c:ptCount val="4"/>
                <c:pt idx="0">
                  <c:v>1190</c:v>
                </c:pt>
                <c:pt idx="1">
                  <c:v>108554</c:v>
                </c:pt>
                <c:pt idx="2">
                  <c:v>7000</c:v>
                </c:pt>
                <c:pt idx="3">
                  <c:v>4891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97-49D4-B665-3665E0A14E7F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[Activities_Dashboard.xlsm]Tempo por atividade!Tabela dinâmica26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/>
              <a:t>Soma de Tempo</a:t>
            </a:r>
          </a:p>
        </c:rich>
      </c:tx>
      <c:layout>
        <c:manualLayout>
          <c:xMode val="edge"/>
          <c:yMode val="edge"/>
          <c:x val="0.38515731785009677"/>
          <c:y val="7.1350289967578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'Tempo por atividade'!$B$1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854-46ED-8944-A5F1BF9D0C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854-46ED-8944-A5F1BF9D0C0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854-46ED-8944-A5F1BF9D0C0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854-46ED-8944-A5F1BF9D0C0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'Tempo por atividade'!$A$2:$A$5</c:f>
              <c:strCache>
                <c:ptCount val="4"/>
                <c:pt idx="0">
                  <c:v>Ciclismo</c:v>
                </c:pt>
                <c:pt idx="1">
                  <c:v>Corrida</c:v>
                </c:pt>
                <c:pt idx="2">
                  <c:v>Corrida em esteira</c:v>
                </c:pt>
                <c:pt idx="3">
                  <c:v>Treino de força</c:v>
                </c:pt>
              </c:strCache>
            </c:strRef>
          </c:cat>
          <c:val>
            <c:numRef>
              <c:f>'Tempo por atividade'!$B$2:$B$5</c:f>
              <c:numCache>
                <c:formatCode>h:mm;@</c:formatCode>
                <c:ptCount val="4"/>
                <c:pt idx="0">
                  <c:v>0.11715277777777777</c:v>
                </c:pt>
                <c:pt idx="1">
                  <c:v>6.9681828703703701</c:v>
                </c:pt>
                <c:pt idx="2">
                  <c:v>0.42593749999999997</c:v>
                </c:pt>
                <c:pt idx="3">
                  <c:v>0.65814814814814815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54-46ED-8944-A5F1BF9D0C0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[Activities_Dashboard.xlsm]FC média por atividade!Tabela dinâmica31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800" b="1" i="0" u="none" strike="noStrike" kern="1200" spc="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+mn-lt"/>
                <a:ea typeface="+mn-ea"/>
                <a:cs typeface="+mn-cs"/>
              </a:rPr>
              <a:t>FC Média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800" b="1" i="0" u="none" strike="noStrike" kern="1200" spc="0" baseline="0">
              <a:solidFill>
                <a:sysClr val="windowText" lastClr="000000">
                  <a:lumMod val="75000"/>
                  <a:lumOff val="2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'FC média por atividade'!$B$1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'FC média por atividade'!$A$2:$A$5</c:f>
              <c:strCache>
                <c:ptCount val="4"/>
                <c:pt idx="0">
                  <c:v>Ciclismo</c:v>
                </c:pt>
                <c:pt idx="1">
                  <c:v>Corrida</c:v>
                </c:pt>
                <c:pt idx="2">
                  <c:v>Corrida em esteira</c:v>
                </c:pt>
                <c:pt idx="3">
                  <c:v>Treino de força</c:v>
                </c:pt>
              </c:strCache>
            </c:strRef>
          </c:cat>
          <c:val>
            <c:numRef>
              <c:f>'FC média por atividade'!$B$2:$B$5</c:f>
              <c:numCache>
                <c:formatCode>General</c:formatCode>
                <c:ptCount val="4"/>
                <c:pt idx="0">
                  <c:v>141.5</c:v>
                </c:pt>
                <c:pt idx="1">
                  <c:v>163.47706422018348</c:v>
                </c:pt>
                <c:pt idx="2">
                  <c:v>159.66666666666666</c:v>
                </c:pt>
                <c:pt idx="3">
                  <c:v>114.55555555555556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51-4BB0-BB54-73EDA149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3341359"/>
        <c:axId val="1483454383"/>
      </c:lineChart>
      <c:catAx>
        <c:axId val="152334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3454383"/>
        <c:crosses val="autoZero"/>
        <c:auto val="1"/>
        <c:lblAlgn val="ctr"/>
        <c:lblOffset val="100"/>
        <c:noMultiLvlLbl val="0"/>
      </c:catAx>
      <c:valAx>
        <c:axId val="148345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3341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3">
            <a:lumMod val="0"/>
            <a:lumOff val="100000"/>
            <a:alpha val="98000"/>
          </a:schemeClr>
        </a:gs>
        <a:gs pos="35000">
          <a:schemeClr val="accent3">
            <a:lumMod val="0"/>
            <a:lumOff val="100000"/>
          </a:schemeClr>
        </a:gs>
        <a:gs pos="100000">
          <a:schemeClr val="accent3">
            <a:lumMod val="100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[Activities_Dashboard.xlsm]Atividades por ano!Tabela dinâmica36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Contagem de atividade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'Atividades por ano'!$B$1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'Atividades por ano'!$A$2:$A$4</c:f>
              <c:strCach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strCache>
            </c:strRef>
          </c:cat>
          <c:val>
            <c:numRef>
              <c:f>'Atividades por ano'!$B$2:$B$4</c:f>
              <c:numCache>
                <c:formatCode>General</c:formatCode>
                <c:ptCount val="3"/>
                <c:pt idx="0">
                  <c:v>12</c:v>
                </c:pt>
                <c:pt idx="1">
                  <c:v>148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7-4BEB-88B9-8EB3B697CB5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32524143"/>
        <c:axId val="1483480175"/>
      </c:barChart>
      <c:catAx>
        <c:axId val="15325241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3480175"/>
        <c:crosses val="autoZero"/>
        <c:auto val="1"/>
        <c:lblAlgn val="ctr"/>
        <c:lblOffset val="100"/>
        <c:noMultiLvlLbl val="0"/>
      </c:catAx>
      <c:valAx>
        <c:axId val="148348017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2524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[Activities_Dashboard.xlsm]FC média por ano!Tabela dinâmica40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spc="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spc="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+mn-lt"/>
                <a:ea typeface="+mn-ea"/>
                <a:cs typeface="+mn-cs"/>
              </a:rPr>
              <a:t>FC Média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spc="0" baseline="0">
              <a:solidFill>
                <a:sysClr val="windowText" lastClr="000000">
                  <a:lumMod val="75000"/>
                  <a:lumOff val="2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'FC média por ano'!$B$1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'FC média por ano'!$A$2:$A$5</c:f>
              <c:strCach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strCache>
            </c:strRef>
          </c:cat>
          <c:val>
            <c:numRef>
              <c:f>'FC média por ano'!$B$2:$B$5</c:f>
              <c:numCache>
                <c:formatCode>General</c:formatCode>
                <c:ptCount val="3"/>
                <c:pt idx="0">
                  <c:v>#N/A</c:v>
                </c:pt>
                <c:pt idx="1">
                  <c:v>157.2741935483871</c:v>
                </c:pt>
                <c:pt idx="2">
                  <c:v>156.0632911392405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CD-4993-A577-9CA5B1FB9B0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5477231"/>
        <c:axId val="1483448143"/>
      </c:lineChart>
      <c:catAx>
        <c:axId val="148547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3448143"/>
        <c:crosses val="autoZero"/>
        <c:auto val="1"/>
        <c:lblAlgn val="ctr"/>
        <c:lblOffset val="100"/>
        <c:noMultiLvlLbl val="0"/>
      </c:catAx>
      <c:valAx>
        <c:axId val="1483448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547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3">
            <a:lumMod val="0"/>
            <a:lumOff val="100000"/>
            <a:alpha val="98000"/>
          </a:schemeClr>
        </a:gs>
        <a:gs pos="35000">
          <a:schemeClr val="accent3">
            <a:lumMod val="0"/>
            <a:lumOff val="100000"/>
          </a:schemeClr>
        </a:gs>
        <a:gs pos="100000">
          <a:schemeClr val="accent3">
            <a:lumMod val="100000"/>
          </a:schemeClr>
        </a:gs>
      </a:gsLst>
      <a:path path="circle">
        <a:fillToRect l="50000" t="-80000" r="50000" b="180000"/>
      </a:path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[Activities_Dashboard.xlsm]Calorias por ano!Tabela dinâmica43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Soma de calorias</a:t>
            </a:r>
          </a:p>
        </c:rich>
      </c:tx>
      <c:layout>
        <c:manualLayout>
          <c:xMode val="edge"/>
          <c:yMode val="edge"/>
          <c:x val="0.34130299157631477"/>
          <c:y val="7.63799873852977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</c:pivotFmts>
    <c:plotArea>
      <c:layout/>
      <c:pieChart>
        <c:varyColors val="1"/>
        <c:ser>
          <c:idx val="0"/>
          <c:order val="0"/>
          <c:tx>
            <c:strRef>
              <c:f>'Calorias por ano'!$B$1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73A-43E3-801C-C254C43CBA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73A-43E3-801C-C254C43CBA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73A-43E3-801C-C254C43CBA3B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'Calorias por ano'!$A$2:$A$5</c:f>
              <c:strCach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strCache>
            </c:strRef>
          </c:cat>
          <c:val>
            <c:numRef>
              <c:f>'Calorias por ano'!$B$2:$B$5</c:f>
              <c:numCache>
                <c:formatCode>General</c:formatCode>
                <c:ptCount val="3"/>
                <c:pt idx="0">
                  <c:v>2245</c:v>
                </c:pt>
                <c:pt idx="1">
                  <c:v>68134</c:v>
                </c:pt>
                <c:pt idx="2">
                  <c:v>51256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3E3-801C-C254C43CBA3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[Activities_Dashboard.xlsm]Distância por ano!Tabela dinâmica44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Soma de Distância</a:t>
            </a:r>
          </a:p>
        </c:rich>
      </c:tx>
      <c:layout>
        <c:manualLayout>
          <c:xMode val="edge"/>
          <c:yMode val="edge"/>
          <c:x val="0.35280293303219223"/>
          <c:y val="0.102219780666951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'Distância por ano'!$B$1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CAA-4385-9792-32AC7CD4192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CAA-4385-9792-32AC7CD419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CAA-4385-9792-32AC7CD41926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'Distância por ano'!$A$2:$A$5</c:f>
              <c:strCach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strCache>
            </c:strRef>
          </c:cat>
          <c:val>
            <c:numRef>
              <c:f>'Distância por ano'!$B$2:$B$5</c:f>
              <c:numCache>
                <c:formatCode>General</c:formatCode>
                <c:ptCount val="3"/>
                <c:pt idx="0">
                  <c:v>35.289999999999992</c:v>
                </c:pt>
                <c:pt idx="1">
                  <c:v>850.03999999999962</c:v>
                </c:pt>
                <c:pt idx="2">
                  <c:v>668.12999999999977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AA-4385-9792-32AC7CD4192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[Activities_Dashboard.xlsm]Tempo por ano!Tabela dinâmica45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Soma de Tempo</a:t>
            </a:r>
          </a:p>
        </c:rich>
      </c:tx>
      <c:layout>
        <c:manualLayout>
          <c:xMode val="edge"/>
          <c:yMode val="edge"/>
          <c:x val="0.38515720499972467"/>
          <c:y val="8.6715904697959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'Tempo por ano'!$B$1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8CC-4D7C-96C5-9485B2CECA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8CC-4D7C-96C5-9485B2CECA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8CC-4D7C-96C5-9485B2CECA19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'Tempo por ano'!$A$2:$A$5</c:f>
              <c:strCach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strCache>
            </c:strRef>
          </c:cat>
          <c:val>
            <c:numRef>
              <c:f>'Tempo por ano'!$B$2:$B$5</c:f>
              <c:numCache>
                <c:formatCode>h:mm;@</c:formatCode>
                <c:ptCount val="3"/>
                <c:pt idx="0">
                  <c:v>0.17719907407407404</c:v>
                </c:pt>
                <c:pt idx="1">
                  <c:v>4.3707870370370374</c:v>
                </c:pt>
                <c:pt idx="2">
                  <c:v>3.6214351851851845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CC-4D7C-96C5-9485B2CECA1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14287</xdr:rowOff>
    </xdr:from>
    <xdr:to>
      <xdr:col>12</xdr:col>
      <xdr:colOff>590550</xdr:colOff>
      <xdr:row>41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16D48BA-A1F1-4BE5-A44B-6C5F5DB3D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19049</xdr:colOff>
      <xdr:row>42</xdr:row>
      <xdr:rowOff>14287</xdr:rowOff>
    </xdr:from>
    <xdr:to>
      <xdr:col>16</xdr:col>
      <xdr:colOff>590550</xdr:colOff>
      <xdr:row>54</xdr:row>
      <xdr:rowOff>180975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FF0F3748-0E9B-4B78-A3BE-41BF2F0278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42</xdr:row>
      <xdr:rowOff>14287</xdr:rowOff>
    </xdr:from>
    <xdr:to>
      <xdr:col>8</xdr:col>
      <xdr:colOff>590549</xdr:colOff>
      <xdr:row>54</xdr:row>
      <xdr:rowOff>180975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D7AC0097-F37E-494C-8DDB-3B3C055BA0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19049</xdr:colOff>
      <xdr:row>42</xdr:row>
      <xdr:rowOff>14287</xdr:rowOff>
    </xdr:from>
    <xdr:to>
      <xdr:col>25</xdr:col>
      <xdr:colOff>590550</xdr:colOff>
      <xdr:row>54</xdr:row>
      <xdr:rowOff>180975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15E0BAD7-56CC-42C8-8876-99936D8625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9524</xdr:colOff>
      <xdr:row>23</xdr:row>
      <xdr:rowOff>14287</xdr:rowOff>
    </xdr:from>
    <xdr:to>
      <xdr:col>25</xdr:col>
      <xdr:colOff>590549</xdr:colOff>
      <xdr:row>41</xdr:row>
      <xdr:rowOff>180975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60189B6-ACFB-409F-A058-28DA8626B8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</xdr:colOff>
      <xdr:row>57</xdr:row>
      <xdr:rowOff>14286</xdr:rowOff>
    </xdr:from>
    <xdr:to>
      <xdr:col>12</xdr:col>
      <xdr:colOff>581025</xdr:colOff>
      <xdr:row>75</xdr:row>
      <xdr:rowOff>180975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201CA8B5-7016-4878-B147-E87701E2B6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9524</xdr:colOff>
      <xdr:row>57</xdr:row>
      <xdr:rowOff>9525</xdr:rowOff>
    </xdr:from>
    <xdr:to>
      <xdr:col>25</xdr:col>
      <xdr:colOff>590549</xdr:colOff>
      <xdr:row>75</xdr:row>
      <xdr:rowOff>180975</xdr:rowOff>
    </xdr:to>
    <xdr:graphicFrame macro="">
      <xdr:nvGraphicFramePr>
        <xdr:cNvPr id="8" name="Gráfico 1">
          <a:extLst>
            <a:ext uri="{FF2B5EF4-FFF2-40B4-BE49-F238E27FC236}">
              <a16:creationId xmlns:a16="http://schemas.microsoft.com/office/drawing/2014/main" id="{4C86B523-F546-4B14-892B-FDFAE0A99D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9525</xdr:colOff>
      <xdr:row>76</xdr:row>
      <xdr:rowOff>9525</xdr:rowOff>
    </xdr:from>
    <xdr:to>
      <xdr:col>8</xdr:col>
      <xdr:colOff>590550</xdr:colOff>
      <xdr:row>88</xdr:row>
      <xdr:rowOff>180975</xdr:rowOff>
    </xdr:to>
    <xdr:graphicFrame macro="">
      <xdr:nvGraphicFramePr>
        <xdr:cNvPr id="9" name="Gráfico 1">
          <a:extLst>
            <a:ext uri="{FF2B5EF4-FFF2-40B4-BE49-F238E27FC236}">
              <a16:creationId xmlns:a16="http://schemas.microsoft.com/office/drawing/2014/main" id="{7DF2E918-6531-45C8-83F3-2A1035B81A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9524</xdr:colOff>
      <xdr:row>76</xdr:row>
      <xdr:rowOff>9525</xdr:rowOff>
    </xdr:from>
    <xdr:to>
      <xdr:col>16</xdr:col>
      <xdr:colOff>590549</xdr:colOff>
      <xdr:row>88</xdr:row>
      <xdr:rowOff>180975</xdr:rowOff>
    </xdr:to>
    <xdr:graphicFrame macro="">
      <xdr:nvGraphicFramePr>
        <xdr:cNvPr id="10" name="Gráfico 1">
          <a:extLst>
            <a:ext uri="{FF2B5EF4-FFF2-40B4-BE49-F238E27FC236}">
              <a16:creationId xmlns:a16="http://schemas.microsoft.com/office/drawing/2014/main" id="{DBC54451-0E9C-4B27-BF62-AFDF2859F5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19050</xdr:colOff>
      <xdr:row>76</xdr:row>
      <xdr:rowOff>9525</xdr:rowOff>
    </xdr:from>
    <xdr:to>
      <xdr:col>25</xdr:col>
      <xdr:colOff>590550</xdr:colOff>
      <xdr:row>88</xdr:row>
      <xdr:rowOff>180975</xdr:rowOff>
    </xdr:to>
    <xdr:graphicFrame macro="">
      <xdr:nvGraphicFramePr>
        <xdr:cNvPr id="11" name="Gráfico 1">
          <a:extLst>
            <a:ext uri="{FF2B5EF4-FFF2-40B4-BE49-F238E27FC236}">
              <a16:creationId xmlns:a16="http://schemas.microsoft.com/office/drawing/2014/main" id="{49106F3E-245C-46A6-94D7-B7D569E138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76200</xdr:rowOff>
        </xdr:from>
        <xdr:to>
          <xdr:col>0</xdr:col>
          <xdr:colOff>409575</xdr:colOff>
          <xdr:row>1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86AC908-0155-4A8C-9761-D77A173C61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7</xdr:row>
          <xdr:rowOff>57150</xdr:rowOff>
        </xdr:from>
        <xdr:to>
          <xdr:col>0</xdr:col>
          <xdr:colOff>419100</xdr:colOff>
          <xdr:row>8</xdr:row>
          <xdr:rowOff>133350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9D1F47D5-2716-45CD-A8AF-59D06DA96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14</xdr:row>
          <xdr:rowOff>57150</xdr:rowOff>
        </xdr:from>
        <xdr:to>
          <xdr:col>0</xdr:col>
          <xdr:colOff>419100</xdr:colOff>
          <xdr:row>15</xdr:row>
          <xdr:rowOff>133350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D13562EE-DBC1-4780-ADFF-310A9E526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21</xdr:row>
          <xdr:rowOff>66675</xdr:rowOff>
        </xdr:from>
        <xdr:to>
          <xdr:col>0</xdr:col>
          <xdr:colOff>419101</xdr:colOff>
          <xdr:row>22</xdr:row>
          <xdr:rowOff>142875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10C0F248-6810-4530-A4B0-A8C626A79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55</xdr:row>
          <xdr:rowOff>66676</xdr:rowOff>
        </xdr:from>
        <xdr:to>
          <xdr:col>0</xdr:col>
          <xdr:colOff>409575</xdr:colOff>
          <xdr:row>56</xdr:row>
          <xdr:rowOff>142876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80C4C16-434B-4E68-B358-BFCF1D35D0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1085850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E9DBC945-63C3-464E-B2AF-BFA9AD3DE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.Cristina" refreshedDate="44397.627578935186" createdVersion="6" refreshedVersion="6" minRefreshableVersion="3" recordCount="240" xr:uid="{7A0E767D-9CD5-4135-8C69-7252A20DA2B0}">
  <cacheSource type="worksheet">
    <worksheetSource ref="A5:AJ245" sheet="Atividades Filtradas"/>
  </cacheSource>
  <cacheFields count="38">
    <cacheField name="Tipo de atividade" numFmtId="0">
      <sharedItems/>
    </cacheField>
    <cacheField name="Data" numFmtId="22">
      <sharedItems containsSemiMixedTypes="0" containsNonDate="0" containsDate="1" containsString="0" minDate="2019-11-05T17:47:59" maxDate="2021-07-19T06:49:42" count="240">
        <d v="2021-07-19T06:49:42"/>
        <d v="2021-07-18T08:38:18"/>
        <d v="2021-07-17T07:12:56"/>
        <d v="2021-07-13T06:56:10"/>
        <d v="2021-07-12T06:40:44"/>
        <d v="2021-07-10T07:48:19"/>
        <d v="2021-07-09T07:01:28"/>
        <d v="2021-07-08T17:49:32"/>
        <d v="2021-07-03T08:08:16"/>
        <d v="2021-07-02T07:02:14"/>
        <d v="2021-07-01T18:17:01"/>
        <d v="2021-06-30T07:01:20"/>
        <d v="2021-06-29T17:25:46"/>
        <d v="2021-06-28T07:02:15"/>
        <d v="2021-06-27T09:01:30"/>
        <d v="2021-06-25T07:05:29"/>
        <d v="2021-06-24T18:03:30"/>
        <d v="2021-06-22T06:51:27"/>
        <d v="2021-06-21T06:55:09"/>
        <d v="2021-06-20T09:20:41"/>
        <d v="2021-06-17T17:57:56"/>
        <d v="2021-06-15T18:11:22"/>
        <d v="2021-06-13T08:46:56"/>
        <d v="2021-06-11T06:48:51"/>
        <d v="2021-06-10T18:33:53"/>
        <d v="2021-06-08T18:07:33"/>
        <d v="2021-06-07T06:43:42"/>
        <d v="2021-06-06T08:52:54"/>
        <d v="2021-06-03T07:25:17"/>
        <d v="2021-06-01T06:21:28"/>
        <d v="2021-05-31T06:44:06"/>
        <d v="2021-05-30T08:30:06"/>
        <d v="2021-05-28T06:46:37"/>
        <d v="2021-05-27T06:23:46"/>
        <d v="2021-05-25T17:46:46"/>
        <d v="2021-05-20T06:25:31"/>
        <d v="2021-05-15T07:42:16"/>
        <d v="2021-05-13T17:33:02"/>
        <d v="2021-05-08T07:35:22"/>
        <d v="2021-05-06T06:48:38"/>
        <d v="2021-05-04T17:46:36"/>
        <d v="2021-04-29T18:01:38"/>
        <d v="2021-04-27T06:47:04"/>
        <d v="2021-04-24T07:32:10"/>
        <d v="2021-04-20T06:35:48"/>
        <d v="2021-04-17T07:15:56"/>
        <d v="2021-04-13T19:10:35"/>
        <d v="2021-04-13T18:17:18"/>
        <d v="2021-04-10T07:20:00"/>
        <d v="2021-04-08T17:39:09"/>
        <d v="2021-04-06T17:51:05"/>
        <d v="2021-04-02T07:00:18"/>
        <d v="2021-03-30T17:41:01"/>
        <d v="2021-03-27T07:13:10"/>
        <d v="2021-03-23T17:41:33"/>
        <d v="2021-03-21T08:03:17"/>
        <d v="2021-03-18T06:15:35"/>
        <d v="2021-03-16T06:06:17"/>
        <d v="2021-03-07T07:54:09"/>
        <d v="2021-03-04T06:30:41"/>
        <d v="2021-03-02T06:30:54"/>
        <d v="2021-02-25T06:33:07"/>
        <d v="2021-02-23T06:26:33"/>
        <d v="2021-02-21T06:36:56"/>
        <d v="2021-02-20T07:14:03"/>
        <d v="2021-02-18T06:37:03"/>
        <d v="2021-02-16T18:01:02"/>
        <d v="2021-02-14T08:18:42"/>
        <d v="2021-02-11T06:38:53"/>
        <d v="2021-02-09T06:29:20"/>
        <d v="2021-02-06T07:20:28"/>
        <d v="2021-02-02T06:34:54"/>
        <d v="2021-01-30T07:09:55"/>
        <d v="2021-01-28T06:33:35"/>
        <d v="2021-01-26T06:33:32"/>
        <d v="2021-01-23T07:17:01"/>
        <d v="2021-01-19T06:34:00"/>
        <d v="2021-01-16T07:10:16"/>
        <d v="2021-01-14T06:37:16"/>
        <d v="2021-01-12T07:08:13"/>
        <d v="2020-12-31T10:06:13"/>
        <d v="2020-12-26T06:53:23"/>
        <d v="2020-12-22T06:37:37"/>
        <d v="2020-12-20T20:48:46"/>
        <d v="2020-12-17T06:37:53"/>
        <d v="2020-12-15T06:28:31"/>
        <d v="2020-12-13T07:22:58"/>
        <d v="2020-12-10T06:43:18"/>
        <d v="2020-12-08T06:34:04"/>
        <d v="2020-12-05T07:09:03"/>
        <d v="2020-12-01T18:34:24"/>
        <d v="2020-11-28T06:10:16"/>
        <d v="2020-11-26T06:26:45"/>
        <d v="2020-11-24T06:51:15"/>
        <d v="2020-11-21T07:31:30"/>
        <d v="2020-11-19T06:58:23"/>
        <d v="2020-11-17T06:39:41"/>
        <d v="2020-11-15T07:56:58"/>
        <d v="2020-11-12T18:45:39"/>
        <d v="2020-11-10T06:36:49"/>
        <d v="2020-11-07T07:35:14"/>
        <d v="2020-11-05T06:39:04"/>
        <d v="2020-10-31T07:40:01"/>
        <d v="2020-10-29T06:43:47"/>
        <d v="2020-10-27T19:11:01"/>
        <d v="2020-10-24T07:58:44"/>
        <d v="2020-10-22T18:09:48"/>
        <d v="2020-10-20T06:33:32"/>
        <d v="2020-10-18T08:25:22"/>
        <d v="2020-10-15T06:38:53"/>
        <d v="2020-10-13T06:55:16"/>
        <d v="2020-10-10T07:16:20"/>
        <d v="2020-10-06T06:44:21"/>
        <d v="2020-10-04T09:13:23"/>
        <d v="2020-10-01T06:44:56"/>
        <d v="2020-09-29T06:40:27"/>
        <d v="2020-09-27T07:52:59"/>
        <d v="2020-09-24T07:09:25"/>
        <d v="2020-09-22T07:12:19"/>
        <d v="2020-09-22T07:05:21"/>
        <d v="2020-09-20T08:21:23"/>
        <d v="2020-09-17T07:09:10"/>
        <d v="2020-09-15T07:05:19"/>
        <d v="2020-09-10T07:08:57"/>
        <d v="2020-09-08T07:02:57"/>
        <d v="2020-09-06T08:36:41"/>
        <d v="2020-09-03T07:09:45"/>
        <d v="2020-09-01T07:12:23"/>
        <d v="2020-08-29T07:59:57"/>
        <d v="2020-08-27T07:10:51"/>
        <d v="2020-08-25T07:15:46"/>
        <d v="2020-08-22T09:33:13"/>
        <d v="2020-08-20T07:08:44"/>
        <d v="2020-08-18T07:07:53"/>
        <d v="2020-08-15T09:13:51"/>
        <d v="2020-08-13T17:37:19"/>
        <d v="2020-08-11T07:09:15"/>
        <d v="2020-08-08T07:17:47"/>
        <d v="2020-08-06T07:15:12"/>
        <d v="2020-08-04T07:18:02"/>
        <d v="2020-08-02T08:46:30"/>
        <d v="2020-07-28T07:17:22"/>
        <d v="2020-07-26T08:56:06"/>
        <d v="2020-07-23T18:24:30"/>
        <d v="2020-07-21T06:59:19"/>
        <d v="2020-07-18T08:25:23"/>
        <d v="2020-07-16T18:20:29"/>
        <d v="2020-07-14T06:57:06"/>
        <d v="2020-07-11T08:17:04"/>
        <d v="2020-07-09T07:01:05"/>
        <d v="2020-07-07T07:12:25"/>
        <d v="2020-06-24T19:11:00"/>
        <d v="2020-06-22T06:55:17"/>
        <d v="2020-06-10T06:58:12"/>
        <d v="2020-06-08T07:11:00"/>
        <d v="2020-06-03T06:58:10"/>
        <d v="2020-06-01T17:38:45"/>
        <d v="2020-05-29T17:54:44"/>
        <d v="2020-05-27T06:56:19"/>
        <d v="2020-05-25T07:11:42"/>
        <d v="2020-05-25T07:06:09"/>
        <d v="2020-05-25T06:52:36"/>
        <d v="2020-05-22T16:20:09"/>
        <d v="2020-05-20T17:22:39"/>
        <d v="2020-05-17T08:35:35"/>
        <d v="2020-05-15T18:08:07"/>
        <d v="2020-05-13T18:59:10"/>
        <d v="2020-05-12T06:55:30"/>
        <d v="2020-05-11T06:59:45"/>
        <d v="2020-05-10T08:56:49"/>
        <d v="2020-05-08T06:49:48"/>
        <d v="2020-05-07T18:41:01"/>
        <d v="2020-05-06T06:41:37"/>
        <d v="2020-05-05T06:31:09"/>
        <d v="2020-05-04T17:35:48"/>
        <d v="2020-05-03T08:45:24"/>
        <d v="2020-05-01T08:21:11"/>
        <d v="2020-04-30T18:43:03"/>
        <d v="2020-04-29T06:31:42"/>
        <d v="2020-04-28T06:29:00"/>
        <d v="2020-04-27T06:30:05"/>
        <d v="2020-04-25T07:36:09"/>
        <d v="2020-04-24T17:27:20"/>
        <d v="2020-04-23T06:30:02"/>
        <d v="2020-04-22T06:30:38"/>
        <d v="2020-04-20T06:59:59"/>
        <d v="2020-04-18T07:17:43"/>
        <d v="2020-04-17T06:50:24"/>
        <d v="2020-04-16T06:30:58"/>
        <d v="2020-04-15T06:57:11"/>
        <d v="2020-04-14T07:28:53"/>
        <d v="2020-04-13T06:45:27"/>
        <d v="2020-04-11T08:28:23"/>
        <d v="2020-04-08T07:46:34"/>
        <d v="2020-04-06T08:28:29"/>
        <d v="2020-03-14T06:54:48"/>
        <d v="2020-03-09T19:05:22"/>
        <d v="2020-03-04T19:09:53"/>
        <d v="2020-03-02T19:08:10"/>
        <d v="2020-02-29T06:48:19"/>
        <d v="2020-02-26T19:13:49"/>
        <d v="2020-02-24T19:11:49"/>
        <d v="2020-02-24T18:51:28"/>
        <d v="2020-02-24T18:35:14"/>
        <d v="2020-02-21T13:08:18"/>
        <d v="2020-02-19T19:08:03"/>
        <d v="2020-02-15T06:59:00"/>
        <d v="2020-02-12T19:16:23"/>
        <d v="2020-02-10T19:10:00"/>
        <d v="2020-02-09T07:46:49"/>
        <d v="2020-02-05T19:09:03"/>
        <d v="2020-02-02T07:56:37"/>
        <d v="2020-01-29T19:04:28"/>
        <d v="2020-01-27T19:36:10"/>
        <d v="2020-01-27T19:28:14"/>
        <d v="2020-01-27T19:19:49"/>
        <d v="2020-01-22T19:05:33"/>
        <d v="2020-01-20T19:05:50"/>
        <d v="2020-01-18T07:26:32"/>
        <d v="2020-01-15T19:43:08"/>
        <d v="2020-01-15T19:05:45"/>
        <d v="2020-01-13T19:13:36"/>
        <d v="2020-01-13T19:05:33"/>
        <d v="2020-01-11T07:30:46"/>
        <d v="2020-01-11T06:50:57"/>
        <d v="2020-01-11T06:41:08"/>
        <d v="2020-01-06T19:17:39"/>
        <d v="2020-01-06T19:11:51"/>
        <d v="2019-12-02T18:16:17"/>
        <d v="2019-11-20T20:08:06"/>
        <d v="2019-11-13T20:11:10"/>
        <d v="2019-11-12T22:06:05"/>
        <d v="2019-11-11T20:13:32"/>
        <d v="2019-11-08T19:33:01"/>
        <d v="2019-11-08T19:16:29"/>
        <d v="2019-11-08T19:06:10"/>
        <d v="2019-11-06T18:03:39"/>
        <d v="2019-11-06T18:01:54"/>
        <d v="2019-11-06T17:53:13"/>
        <d v="2019-11-05T17:47:59"/>
      </sharedItems>
      <fieldGroup par="37" base="1">
        <rangePr groupBy="months" startDate="2019-11-05T17:47:59" endDate="2021-07-19T06:49:42"/>
        <groupItems count="14">
          <s v="&lt;05/11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9/07/2021"/>
        </groupItems>
      </fieldGroup>
    </cacheField>
    <cacheField name="Favorito" numFmtId="0">
      <sharedItems/>
    </cacheField>
    <cacheField name="Título" numFmtId="0">
      <sharedItems/>
    </cacheField>
    <cacheField name="Distância" numFmtId="0">
      <sharedItems containsSemiMixedTypes="0" containsString="0" containsNumber="1" minValue="0" maxValue="22.01"/>
    </cacheField>
    <cacheField name="Calorias" numFmtId="0">
      <sharedItems containsMixedTypes="1" containsNumber="1" containsInteger="1" minValue="14" maxValue="1528"/>
    </cacheField>
    <cacheField name="Tempo" numFmtId="0">
      <sharedItems containsSemiMixedTypes="0" containsNonDate="0" containsDate="1" containsString="0" minDate="1899-12-30T00:00:06" maxDate="1899-12-30T03:42:39"/>
    </cacheField>
    <cacheField name="FC Média" numFmtId="0">
      <sharedItems containsMixedTypes="1" containsNumber="1" containsInteger="1" minValue="66" maxValue="180"/>
    </cacheField>
    <cacheField name="FC máxima" numFmtId="0">
      <sharedItems containsMixedTypes="1" containsNumber="1" containsInteger="1" minValue="70" maxValue="229"/>
    </cacheField>
    <cacheField name="Training Effect Aeróbico" numFmtId="0">
      <sharedItems containsMixedTypes="1" containsNumber="1" minValue="1" maxValue="5"/>
    </cacheField>
    <cacheField name="Cadência de corrida média" numFmtId="0">
      <sharedItems containsMixedTypes="1" containsNumber="1" containsInteger="1" minValue="54" maxValue="173"/>
    </cacheField>
    <cacheField name="Cadência de corrida máxima" numFmtId="0">
      <sharedItems containsMixedTypes="1" containsNumber="1" containsInteger="1" minValue="118" maxValue="249"/>
    </cacheField>
    <cacheField name="Velocidade média" numFmtId="0">
      <sharedItems containsDate="1" containsMixedTypes="1" minDate="1899-12-30T04:07:00" maxDate="1899-12-30T12:39:00"/>
    </cacheField>
    <cacheField name="Velocidade máxima" numFmtId="0">
      <sharedItems containsDate="1" containsMixedTypes="1" minDate="1900-01-06T09:57:04" maxDate="1899-12-30T00:00:00"/>
    </cacheField>
    <cacheField name="Ganho de elevação" numFmtId="0">
      <sharedItems containsMixedTypes="1" containsNumber="1" containsInteger="1" minValue="1" maxValue="870"/>
    </cacheField>
    <cacheField name="Perda da elevação" numFmtId="0">
      <sharedItems containsMixedTypes="1" containsNumber="1" containsInteger="1" minValue="1" maxValue="861"/>
    </cacheField>
    <cacheField name="Comprimento médio da passada" numFmtId="0">
      <sharedItems containsSemiMixedTypes="0" containsString="0" containsNumber="1" minValue="0" maxValue="1.59"/>
    </cacheField>
    <cacheField name="Proporção de média vertical" numFmtId="0">
      <sharedItems containsSemiMixedTypes="0" containsString="0" containsNumber="1" containsInteger="1" minValue="0" maxValue="0"/>
    </cacheField>
    <cacheField name="Oscilação vertical média" numFmtId="0">
      <sharedItems containsSemiMixedTypes="0" containsString="0" containsNumber="1" containsInteger="1" minValue="0" maxValue="0"/>
    </cacheField>
    <cacheField name="Training Stress Score®" numFmtId="0">
      <sharedItems containsSemiMixedTypes="0" containsString="0" containsNumber="1" containsInteger="1" minValue="0" maxValue="0"/>
    </cacheField>
    <cacheField name="Granularidade" numFmtId="0">
      <sharedItems containsSemiMixedTypes="0" containsString="0" containsNumber="1" containsInteger="1" minValue="0" maxValue="0"/>
    </cacheField>
    <cacheField name="Fluxo" numFmtId="0">
      <sharedItems containsSemiMixedTypes="0" containsString="0" containsNumber="1" containsInteger="1" minValue="0" maxValue="0"/>
    </cacheField>
    <cacheField name="Total de repetições" numFmtId="0">
      <sharedItems containsMixedTypes="1" containsNumber="1" containsInteger="1" minValue="157" maxValue="368"/>
    </cacheField>
    <cacheField name="Total de conjuntos" numFmtId="0">
      <sharedItems containsMixedTypes="1" containsNumber="1" containsInteger="1" minValue="20" maxValue="45"/>
    </cacheField>
    <cacheField name="Tempo de escalada" numFmtId="0">
      <sharedItems containsSemiMixedTypes="0" containsNonDate="0" containsDate="1" containsString="0" minDate="1899-12-30T00:00:06" maxDate="1900-01-01T11:57:00"/>
    </cacheField>
    <cacheField name="Tempo no fundo" numFmtId="20">
      <sharedItems containsSemiMixedTypes="0" containsNonDate="0" containsDate="1" containsString="0" minDate="1899-12-30T00:00:00" maxDate="1899-12-31T00:00:00"/>
    </cacheField>
    <cacheField name="Temp mínima" numFmtId="0">
      <sharedItems containsSemiMixedTypes="0" containsString="0" containsNumber="1" containsInteger="1" minValue="0" maxValue="0"/>
    </cacheField>
    <cacheField name="Intervalo de superfície" numFmtId="20">
      <sharedItems containsSemiMixedTypes="0" containsNonDate="0" containsDate="1" containsString="0" minDate="1899-12-30T00:00:00" maxDate="1899-12-31T00:00:00"/>
    </cacheField>
    <cacheField name="Descompressão" numFmtId="0">
      <sharedItems/>
    </cacheField>
    <cacheField name="Tempo da melhor volta" numFmtId="0">
      <sharedItems/>
    </cacheField>
    <cacheField name="Número de voltas" numFmtId="0">
      <sharedItems containsSemiMixedTypes="0" containsString="0" containsNumber="1" containsInteger="1" minValue="1" maxValue="33"/>
    </cacheField>
    <cacheField name="Temp máxima" numFmtId="0">
      <sharedItems containsSemiMixedTypes="0" containsString="0" containsNumber="1" containsInteger="1" minValue="0" maxValue="0"/>
    </cacheField>
    <cacheField name="Tempo em movimento" numFmtId="0">
      <sharedItems containsSemiMixedTypes="0" containsNonDate="0" containsDate="1" containsString="0" minDate="1899-12-30T00:00:00" maxDate="1899-12-30T02:49:22"/>
    </cacheField>
    <cacheField name="Duração" numFmtId="0">
      <sharedItems containsSemiMixedTypes="0" containsNonDate="0" containsDate="1" containsString="0" minDate="1899-12-30T00:00:07" maxDate="1899-12-30T03:42:39"/>
    </cacheField>
    <cacheField name="Elevação mínima" numFmtId="0">
      <sharedItems containsMixedTypes="1" containsNumber="1" containsInteger="1" minValue="-35" maxValue="218"/>
    </cacheField>
    <cacheField name="Elevação máxima" numFmtId="0">
      <sharedItems containsMixedTypes="1" containsNumber="1" containsInteger="1" minValue="13" maxValue="805"/>
    </cacheField>
    <cacheField name="Trimestres" numFmtId="0" databaseField="0">
      <fieldGroup base="1">
        <rangePr groupBy="quarters" startDate="2019-11-05T17:47:59" endDate="2021-07-19T06:49:42"/>
        <groupItems count="6">
          <s v="&lt;05/11/2019"/>
          <s v="Trim1"/>
          <s v="Trim2"/>
          <s v="Trim3"/>
          <s v="Trim4"/>
          <s v="&gt;19/07/2021"/>
        </groupItems>
      </fieldGroup>
    </cacheField>
    <cacheField name="Anos" numFmtId="0" databaseField="0">
      <fieldGroup base="1">
        <rangePr groupBy="years" startDate="2019-11-05T17:47:59" endDate="2021-07-19T06:49:42"/>
        <groupItems count="5">
          <s v="&lt;05/11/2019"/>
          <s v="2019"/>
          <s v="2020"/>
          <s v="2021"/>
          <s v="&gt;19/07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.Cristina" refreshedDate="44397.629538194444" createdVersion="6" refreshedVersion="6" minRefreshableVersion="3" recordCount="240" xr:uid="{40FA0910-2B0A-4553-9852-DFFC5BFD085D}">
  <cacheSource type="worksheet">
    <worksheetSource ref="A5:AJ245" sheet="Atividades Filtradas"/>
  </cacheSource>
  <cacheFields count="36">
    <cacheField name="Tipo de atividade" numFmtId="0">
      <sharedItems containsBlank="1" count="5">
        <s v="Treino de força"/>
        <s v="Ciclismo"/>
        <s v="Corrida"/>
        <s v="Corrida em esteira"/>
        <m u="1"/>
      </sharedItems>
    </cacheField>
    <cacheField name="Data" numFmtId="22">
      <sharedItems containsSemiMixedTypes="0" containsNonDate="0" containsDate="1" containsString="0" minDate="2019-11-05T17:47:59" maxDate="2021-07-19T06:49:42"/>
    </cacheField>
    <cacheField name="Favorito" numFmtId="0">
      <sharedItems/>
    </cacheField>
    <cacheField name="Título" numFmtId="0">
      <sharedItems/>
    </cacheField>
    <cacheField name="Distância" numFmtId="0">
      <sharedItems containsSemiMixedTypes="0" containsString="0" containsNumber="1" minValue="0" maxValue="22.01"/>
    </cacheField>
    <cacheField name="Calorias" numFmtId="0">
      <sharedItems containsMixedTypes="1" containsNumber="1" containsInteger="1" minValue="14" maxValue="1528"/>
    </cacheField>
    <cacheField name="Tempo" numFmtId="0">
      <sharedItems containsSemiMixedTypes="0" containsNonDate="0" containsDate="1" containsString="0" minDate="1899-12-30T00:00:06" maxDate="1899-12-30T03:42:39"/>
    </cacheField>
    <cacheField name="FC Média" numFmtId="0">
      <sharedItems containsMixedTypes="1" containsNumber="1" containsInteger="1" minValue="66" maxValue="180"/>
    </cacheField>
    <cacheField name="FC máxima" numFmtId="0">
      <sharedItems containsMixedTypes="1" containsNumber="1" containsInteger="1" minValue="70" maxValue="229"/>
    </cacheField>
    <cacheField name="Training Effect Aeróbico" numFmtId="0">
      <sharedItems containsMixedTypes="1" containsNumber="1" minValue="1" maxValue="5"/>
    </cacheField>
    <cacheField name="Cadência de corrida média" numFmtId="0">
      <sharedItems containsMixedTypes="1" containsNumber="1" containsInteger="1" minValue="54" maxValue="173"/>
    </cacheField>
    <cacheField name="Cadência de corrida máxima" numFmtId="0">
      <sharedItems containsMixedTypes="1" containsNumber="1" containsInteger="1" minValue="118" maxValue="249"/>
    </cacheField>
    <cacheField name="Velocidade média" numFmtId="0">
      <sharedItems containsDate="1" containsMixedTypes="1" minDate="1899-12-30T04:07:00" maxDate="1899-12-30T12:39:00"/>
    </cacheField>
    <cacheField name="Velocidade máxima" numFmtId="0">
      <sharedItems containsDate="1" containsMixedTypes="1" minDate="1900-01-06T09:57:04" maxDate="1899-12-30T00:00:00"/>
    </cacheField>
    <cacheField name="Ganho de elevação" numFmtId="0">
      <sharedItems containsMixedTypes="1" containsNumber="1" containsInteger="1" minValue="1" maxValue="870"/>
    </cacheField>
    <cacheField name="Perda da elevação" numFmtId="0">
      <sharedItems containsMixedTypes="1" containsNumber="1" containsInteger="1" minValue="1" maxValue="861"/>
    </cacheField>
    <cacheField name="Comprimento médio da passada" numFmtId="0">
      <sharedItems containsSemiMixedTypes="0" containsString="0" containsNumber="1" minValue="0" maxValue="1.59"/>
    </cacheField>
    <cacheField name="Proporção de média vertical" numFmtId="0">
      <sharedItems containsSemiMixedTypes="0" containsString="0" containsNumber="1" containsInteger="1" minValue="0" maxValue="0"/>
    </cacheField>
    <cacheField name="Oscilação vertical média" numFmtId="0">
      <sharedItems containsSemiMixedTypes="0" containsString="0" containsNumber="1" containsInteger="1" minValue="0" maxValue="0"/>
    </cacheField>
    <cacheField name="Training Stress Score®" numFmtId="0">
      <sharedItems containsSemiMixedTypes="0" containsString="0" containsNumber="1" containsInteger="1" minValue="0" maxValue="0"/>
    </cacheField>
    <cacheField name="Granularidade" numFmtId="0">
      <sharedItems containsSemiMixedTypes="0" containsString="0" containsNumber="1" containsInteger="1" minValue="0" maxValue="0"/>
    </cacheField>
    <cacheField name="Fluxo" numFmtId="0">
      <sharedItems containsSemiMixedTypes="0" containsString="0" containsNumber="1" containsInteger="1" minValue="0" maxValue="0"/>
    </cacheField>
    <cacheField name="Total de repetições" numFmtId="0">
      <sharedItems containsMixedTypes="1" containsNumber="1" containsInteger="1" minValue="157" maxValue="368"/>
    </cacheField>
    <cacheField name="Total de conjuntos" numFmtId="0">
      <sharedItems containsMixedTypes="1" containsNumber="1" containsInteger="1" minValue="20" maxValue="45"/>
    </cacheField>
    <cacheField name="Tempo de escalada" numFmtId="0">
      <sharedItems containsSemiMixedTypes="0" containsNonDate="0" containsDate="1" containsString="0" minDate="1899-12-30T00:00:06" maxDate="1900-01-01T11:57:00"/>
    </cacheField>
    <cacheField name="Tempo no fundo" numFmtId="20">
      <sharedItems containsSemiMixedTypes="0" containsNonDate="0" containsDate="1" containsString="0" minDate="1899-12-30T00:00:00" maxDate="1899-12-31T00:00:00"/>
    </cacheField>
    <cacheField name="Temp mínima" numFmtId="0">
      <sharedItems containsSemiMixedTypes="0" containsString="0" containsNumber="1" containsInteger="1" minValue="0" maxValue="0"/>
    </cacheField>
    <cacheField name="Intervalo de superfície" numFmtId="20">
      <sharedItems containsSemiMixedTypes="0" containsNonDate="0" containsDate="1" containsString="0" minDate="1899-12-30T00:00:00" maxDate="1899-12-31T00:00:00"/>
    </cacheField>
    <cacheField name="Descompressão" numFmtId="0">
      <sharedItems/>
    </cacheField>
    <cacheField name="Tempo da melhor volta" numFmtId="0">
      <sharedItems/>
    </cacheField>
    <cacheField name="Número de voltas" numFmtId="0">
      <sharedItems containsSemiMixedTypes="0" containsString="0" containsNumber="1" containsInteger="1" minValue="1" maxValue="33"/>
    </cacheField>
    <cacheField name="Temp máxima" numFmtId="0">
      <sharedItems containsSemiMixedTypes="0" containsString="0" containsNumber="1" containsInteger="1" minValue="0" maxValue="0"/>
    </cacheField>
    <cacheField name="Tempo em movimento" numFmtId="0">
      <sharedItems containsSemiMixedTypes="0" containsNonDate="0" containsDate="1" containsString="0" minDate="1899-12-30T00:00:00" maxDate="1899-12-30T02:49:22"/>
    </cacheField>
    <cacheField name="Duração" numFmtId="0">
      <sharedItems containsSemiMixedTypes="0" containsNonDate="0" containsDate="1" containsString="0" minDate="1899-12-30T00:00:07" maxDate="1899-12-30T03:42:39"/>
    </cacheField>
    <cacheField name="Elevação mínima" numFmtId="0">
      <sharedItems containsMixedTypes="1" containsNumber="1" containsInteger="1" minValue="-35" maxValue="218"/>
    </cacheField>
    <cacheField name="Elevação máxima" numFmtId="0">
      <sharedItems containsMixedTypes="1" containsNumber="1" containsInteger="1" minValue="13" maxValue="8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.Cristina" refreshedDate="44397.629538310182" createdVersion="6" refreshedVersion="6" minRefreshableVersion="3" recordCount="240" xr:uid="{3401EE95-CE99-4419-8A34-EAAB7EF4307F}">
  <cacheSource type="worksheet">
    <worksheetSource ref="A5:AJ245" sheet="Atividades Filtradas"/>
  </cacheSource>
  <cacheFields count="36">
    <cacheField name="Tipo de atividade" numFmtId="0">
      <sharedItems containsBlank="1" count="5">
        <s v="Treino de força"/>
        <s v="Ciclismo"/>
        <s v="Corrida"/>
        <s v="Corrida em esteira"/>
        <m u="1"/>
      </sharedItems>
    </cacheField>
    <cacheField name="Data" numFmtId="22">
      <sharedItems containsSemiMixedTypes="0" containsNonDate="0" containsDate="1" containsString="0" minDate="2019-11-05T17:47:59" maxDate="2021-07-19T06:49:42"/>
    </cacheField>
    <cacheField name="Favorito" numFmtId="0">
      <sharedItems/>
    </cacheField>
    <cacheField name="Título" numFmtId="0">
      <sharedItems/>
    </cacheField>
    <cacheField name="Distância" numFmtId="0">
      <sharedItems containsSemiMixedTypes="0" containsString="0" containsNumber="1" minValue="0" maxValue="22.01"/>
    </cacheField>
    <cacheField name="Calorias" numFmtId="0">
      <sharedItems containsMixedTypes="1" containsNumber="1" containsInteger="1" minValue="14" maxValue="1528"/>
    </cacheField>
    <cacheField name="Tempo" numFmtId="0">
      <sharedItems containsSemiMixedTypes="0" containsNonDate="0" containsDate="1" containsString="0" minDate="1899-12-30T00:00:06" maxDate="1899-12-30T03:42:39"/>
    </cacheField>
    <cacheField name="FC Média" numFmtId="0">
      <sharedItems containsMixedTypes="1" containsNumber="1" containsInteger="1" minValue="66" maxValue="180"/>
    </cacheField>
    <cacheField name="FC máxima" numFmtId="0">
      <sharedItems containsMixedTypes="1" containsNumber="1" containsInteger="1" minValue="70" maxValue="229"/>
    </cacheField>
    <cacheField name="Training Effect Aeróbico" numFmtId="0">
      <sharedItems containsMixedTypes="1" containsNumber="1" minValue="1" maxValue="5"/>
    </cacheField>
    <cacheField name="Cadência de corrida média" numFmtId="0">
      <sharedItems containsMixedTypes="1" containsNumber="1" containsInteger="1" minValue="54" maxValue="173"/>
    </cacheField>
    <cacheField name="Cadência de corrida máxima" numFmtId="0">
      <sharedItems containsMixedTypes="1" containsNumber="1" containsInteger="1" minValue="118" maxValue="249"/>
    </cacheField>
    <cacheField name="Velocidade média" numFmtId="0">
      <sharedItems containsDate="1" containsMixedTypes="1" minDate="1899-12-30T04:07:00" maxDate="1899-12-30T12:39:00"/>
    </cacheField>
    <cacheField name="Velocidade máxima" numFmtId="0">
      <sharedItems containsDate="1" containsMixedTypes="1" minDate="1900-01-06T09:57:04" maxDate="1899-12-30T00:00:00"/>
    </cacheField>
    <cacheField name="Ganho de elevação" numFmtId="0">
      <sharedItems containsMixedTypes="1" containsNumber="1" containsInteger="1" minValue="1" maxValue="870"/>
    </cacheField>
    <cacheField name="Perda da elevação" numFmtId="0">
      <sharedItems containsMixedTypes="1" containsNumber="1" containsInteger="1" minValue="1" maxValue="861"/>
    </cacheField>
    <cacheField name="Comprimento médio da passada" numFmtId="0">
      <sharedItems containsSemiMixedTypes="0" containsString="0" containsNumber="1" minValue="0" maxValue="1.59"/>
    </cacheField>
    <cacheField name="Proporção de média vertical" numFmtId="0">
      <sharedItems containsSemiMixedTypes="0" containsString="0" containsNumber="1" containsInteger="1" minValue="0" maxValue="0"/>
    </cacheField>
    <cacheField name="Oscilação vertical média" numFmtId="0">
      <sharedItems containsSemiMixedTypes="0" containsString="0" containsNumber="1" containsInteger="1" minValue="0" maxValue="0"/>
    </cacheField>
    <cacheField name="Training Stress Score®" numFmtId="0">
      <sharedItems containsSemiMixedTypes="0" containsString="0" containsNumber="1" containsInteger="1" minValue="0" maxValue="0"/>
    </cacheField>
    <cacheField name="Granularidade" numFmtId="0">
      <sharedItems containsSemiMixedTypes="0" containsString="0" containsNumber="1" containsInteger="1" minValue="0" maxValue="0"/>
    </cacheField>
    <cacheField name="Fluxo" numFmtId="0">
      <sharedItems containsSemiMixedTypes="0" containsString="0" containsNumber="1" containsInteger="1" minValue="0" maxValue="0"/>
    </cacheField>
    <cacheField name="Total de repetições" numFmtId="0">
      <sharedItems containsMixedTypes="1" containsNumber="1" containsInteger="1" minValue="157" maxValue="368"/>
    </cacheField>
    <cacheField name="Total de conjuntos" numFmtId="0">
      <sharedItems containsMixedTypes="1" containsNumber="1" containsInteger="1" minValue="20" maxValue="45"/>
    </cacheField>
    <cacheField name="Tempo de escalada" numFmtId="0">
      <sharedItems containsSemiMixedTypes="0" containsNonDate="0" containsDate="1" containsString="0" minDate="1899-12-30T00:00:06" maxDate="1900-01-01T11:57:00"/>
    </cacheField>
    <cacheField name="Tempo no fundo" numFmtId="20">
      <sharedItems containsSemiMixedTypes="0" containsNonDate="0" containsDate="1" containsString="0" minDate="1899-12-30T00:00:00" maxDate="1899-12-31T00:00:00"/>
    </cacheField>
    <cacheField name="Temp mínima" numFmtId="0">
      <sharedItems containsSemiMixedTypes="0" containsString="0" containsNumber="1" containsInteger="1" minValue="0" maxValue="0"/>
    </cacheField>
    <cacheField name="Intervalo de superfície" numFmtId="20">
      <sharedItems containsSemiMixedTypes="0" containsNonDate="0" containsDate="1" containsString="0" minDate="1899-12-30T00:00:00" maxDate="1899-12-31T00:00:00"/>
    </cacheField>
    <cacheField name="Descompressão" numFmtId="0">
      <sharedItems/>
    </cacheField>
    <cacheField name="Tempo da melhor volta" numFmtId="0">
      <sharedItems/>
    </cacheField>
    <cacheField name="Número de voltas" numFmtId="0">
      <sharedItems containsSemiMixedTypes="0" containsString="0" containsNumber="1" containsInteger="1" minValue="1" maxValue="33"/>
    </cacheField>
    <cacheField name="Temp máxima" numFmtId="0">
      <sharedItems containsSemiMixedTypes="0" containsString="0" containsNumber="1" containsInteger="1" minValue="0" maxValue="0"/>
    </cacheField>
    <cacheField name="Tempo em movimento" numFmtId="0">
      <sharedItems containsSemiMixedTypes="0" containsNonDate="0" containsDate="1" containsString="0" minDate="1899-12-30T00:00:00" maxDate="1899-12-30T02:49:22"/>
    </cacheField>
    <cacheField name="Duração" numFmtId="0">
      <sharedItems containsSemiMixedTypes="0" containsNonDate="0" containsDate="1" containsString="0" minDate="1899-12-30T00:00:07" maxDate="1899-12-30T03:42:39"/>
    </cacheField>
    <cacheField name="Elevação mínima" numFmtId="0">
      <sharedItems containsMixedTypes="1" containsNumber="1" containsInteger="1" minValue="-35" maxValue="218"/>
    </cacheField>
    <cacheField name="Elevação máxima" numFmtId="0">
      <sharedItems containsMixedTypes="1" containsNumber="1" containsInteger="1" minValue="13" maxValue="8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.Cristina" refreshedDate="44397.629538541667" createdVersion="6" refreshedVersion="6" minRefreshableVersion="3" recordCount="240" xr:uid="{6BAC4CC0-BEE2-4AA8-9C3C-F74E3CFE0C04}">
  <cacheSource type="worksheet">
    <worksheetSource ref="A5:AJ245" sheet="Atividades Filtradas"/>
  </cacheSource>
  <cacheFields count="36">
    <cacheField name="Tipo de atividade" numFmtId="0">
      <sharedItems containsBlank="1" count="5">
        <s v="Treino de força"/>
        <s v="Ciclismo"/>
        <s v="Corrida"/>
        <s v="Corrida em esteira"/>
        <m u="1"/>
      </sharedItems>
    </cacheField>
    <cacheField name="Data" numFmtId="22">
      <sharedItems containsSemiMixedTypes="0" containsNonDate="0" containsDate="1" containsString="0" minDate="2019-11-05T17:47:59" maxDate="2021-07-19T06:49:42"/>
    </cacheField>
    <cacheField name="Favorito" numFmtId="0">
      <sharedItems/>
    </cacheField>
    <cacheField name="Título" numFmtId="0">
      <sharedItems/>
    </cacheField>
    <cacheField name="Distância" numFmtId="0">
      <sharedItems containsSemiMixedTypes="0" containsString="0" containsNumber="1" minValue="0" maxValue="22.01"/>
    </cacheField>
    <cacheField name="Calorias" numFmtId="0">
      <sharedItems containsMixedTypes="1" containsNumber="1" containsInteger="1" minValue="14" maxValue="1528"/>
    </cacheField>
    <cacheField name="Tempo" numFmtId="0">
      <sharedItems containsSemiMixedTypes="0" containsNonDate="0" containsDate="1" containsString="0" minDate="1899-12-30T00:00:06" maxDate="1899-12-30T03:42:39"/>
    </cacheField>
    <cacheField name="FC Média" numFmtId="0">
      <sharedItems containsMixedTypes="1" containsNumber="1" containsInteger="1" minValue="66" maxValue="180"/>
    </cacheField>
    <cacheField name="FC máxima" numFmtId="0">
      <sharedItems containsMixedTypes="1" containsNumber="1" containsInteger="1" minValue="70" maxValue="229"/>
    </cacheField>
    <cacheField name="Training Effect Aeróbico" numFmtId="0">
      <sharedItems containsMixedTypes="1" containsNumber="1" minValue="1" maxValue="5"/>
    </cacheField>
    <cacheField name="Cadência de corrida média" numFmtId="0">
      <sharedItems containsMixedTypes="1" containsNumber="1" containsInteger="1" minValue="54" maxValue="173"/>
    </cacheField>
    <cacheField name="Cadência de corrida máxima" numFmtId="0">
      <sharedItems containsMixedTypes="1" containsNumber="1" containsInteger="1" minValue="118" maxValue="249"/>
    </cacheField>
    <cacheField name="Velocidade média" numFmtId="0">
      <sharedItems containsDate="1" containsMixedTypes="1" minDate="1899-12-30T04:07:00" maxDate="1899-12-30T12:39:00"/>
    </cacheField>
    <cacheField name="Velocidade máxima" numFmtId="0">
      <sharedItems containsDate="1" containsMixedTypes="1" minDate="1900-01-06T09:57:04" maxDate="1899-12-30T00:00:00"/>
    </cacheField>
    <cacheField name="Ganho de elevação" numFmtId="0">
      <sharedItems containsMixedTypes="1" containsNumber="1" containsInteger="1" minValue="1" maxValue="870"/>
    </cacheField>
    <cacheField name="Perda da elevação" numFmtId="0">
      <sharedItems containsMixedTypes="1" containsNumber="1" containsInteger="1" minValue="1" maxValue="861"/>
    </cacheField>
    <cacheField name="Comprimento médio da passada" numFmtId="0">
      <sharedItems containsSemiMixedTypes="0" containsString="0" containsNumber="1" minValue="0" maxValue="1.59"/>
    </cacheField>
    <cacheField name="Proporção de média vertical" numFmtId="0">
      <sharedItems containsSemiMixedTypes="0" containsString="0" containsNumber="1" containsInteger="1" minValue="0" maxValue="0"/>
    </cacheField>
    <cacheField name="Oscilação vertical média" numFmtId="0">
      <sharedItems containsSemiMixedTypes="0" containsString="0" containsNumber="1" containsInteger="1" minValue="0" maxValue="0"/>
    </cacheField>
    <cacheField name="Training Stress Score®" numFmtId="0">
      <sharedItems containsSemiMixedTypes="0" containsString="0" containsNumber="1" containsInteger="1" minValue="0" maxValue="0"/>
    </cacheField>
    <cacheField name="Granularidade" numFmtId="0">
      <sharedItems containsSemiMixedTypes="0" containsString="0" containsNumber="1" containsInteger="1" minValue="0" maxValue="0"/>
    </cacheField>
    <cacheField name="Fluxo" numFmtId="0">
      <sharedItems containsSemiMixedTypes="0" containsString="0" containsNumber="1" containsInteger="1" minValue="0" maxValue="0"/>
    </cacheField>
    <cacheField name="Total de repetições" numFmtId="0">
      <sharedItems containsMixedTypes="1" containsNumber="1" containsInteger="1" minValue="157" maxValue="368"/>
    </cacheField>
    <cacheField name="Total de conjuntos" numFmtId="0">
      <sharedItems containsMixedTypes="1" containsNumber="1" containsInteger="1" minValue="20" maxValue="45"/>
    </cacheField>
    <cacheField name="Tempo de escalada" numFmtId="0">
      <sharedItems containsSemiMixedTypes="0" containsNonDate="0" containsDate="1" containsString="0" minDate="1899-12-30T00:00:06" maxDate="1900-01-01T11:57:00"/>
    </cacheField>
    <cacheField name="Tempo no fundo" numFmtId="20">
      <sharedItems containsSemiMixedTypes="0" containsNonDate="0" containsDate="1" containsString="0" minDate="1899-12-30T00:00:00" maxDate="1899-12-31T00:00:00"/>
    </cacheField>
    <cacheField name="Temp mínima" numFmtId="0">
      <sharedItems containsSemiMixedTypes="0" containsString="0" containsNumber="1" containsInteger="1" minValue="0" maxValue="0"/>
    </cacheField>
    <cacheField name="Intervalo de superfície" numFmtId="20">
      <sharedItems containsSemiMixedTypes="0" containsNonDate="0" containsDate="1" containsString="0" minDate="1899-12-30T00:00:00" maxDate="1899-12-31T00:00:00"/>
    </cacheField>
    <cacheField name="Descompressão" numFmtId="0">
      <sharedItems/>
    </cacheField>
    <cacheField name="Tempo da melhor volta" numFmtId="0">
      <sharedItems/>
    </cacheField>
    <cacheField name="Número de voltas" numFmtId="0">
      <sharedItems containsSemiMixedTypes="0" containsString="0" containsNumber="1" containsInteger="1" minValue="1" maxValue="33"/>
    </cacheField>
    <cacheField name="Temp máxima" numFmtId="0">
      <sharedItems containsSemiMixedTypes="0" containsString="0" containsNumber="1" containsInteger="1" minValue="0" maxValue="0"/>
    </cacheField>
    <cacheField name="Tempo em movimento" numFmtId="0">
      <sharedItems containsSemiMixedTypes="0" containsNonDate="0" containsDate="1" containsString="0" minDate="1899-12-30T00:00:00" maxDate="1899-12-30T02:49:22"/>
    </cacheField>
    <cacheField name="Duração" numFmtId="0">
      <sharedItems containsSemiMixedTypes="0" containsNonDate="0" containsDate="1" containsString="0" minDate="1899-12-30T00:00:07" maxDate="1899-12-30T03:42:39"/>
    </cacheField>
    <cacheField name="Elevação mínima" numFmtId="0">
      <sharedItems containsMixedTypes="1" containsNumber="1" containsInteger="1" minValue="-35" maxValue="218"/>
    </cacheField>
    <cacheField name="Elevação máxima" numFmtId="0">
      <sharedItems containsMixedTypes="1" containsNumber="1" containsInteger="1" minValue="13" maxValue="8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.Cristina" refreshedDate="44397.629538773152" createdVersion="6" refreshedVersion="6" minRefreshableVersion="3" recordCount="240" xr:uid="{53C77C49-38BA-47C8-9F78-2EB7E62C2670}">
  <cacheSource type="worksheet">
    <worksheetSource ref="A5:AJ245" sheet="Atividades Filtradas"/>
  </cacheSource>
  <cacheFields count="36">
    <cacheField name="Tipo de atividade" numFmtId="0">
      <sharedItems containsBlank="1" count="5">
        <s v="Treino de força"/>
        <s v="Ciclismo"/>
        <s v="Corrida"/>
        <s v="Corrida em esteira"/>
        <m u="1"/>
      </sharedItems>
    </cacheField>
    <cacheField name="Data" numFmtId="22">
      <sharedItems containsSemiMixedTypes="0" containsNonDate="0" containsDate="1" containsString="0" minDate="2019-11-05T17:47:59" maxDate="2021-07-19T06:49:42"/>
    </cacheField>
    <cacheField name="Favorito" numFmtId="0">
      <sharedItems/>
    </cacheField>
    <cacheField name="Título" numFmtId="0">
      <sharedItems/>
    </cacheField>
    <cacheField name="Distância" numFmtId="0">
      <sharedItems containsSemiMixedTypes="0" containsString="0" containsNumber="1" minValue="0" maxValue="22.01"/>
    </cacheField>
    <cacheField name="Calorias" numFmtId="0">
      <sharedItems containsMixedTypes="1" containsNumber="1" containsInteger="1" minValue="14" maxValue="1528"/>
    </cacheField>
    <cacheField name="Tempo" numFmtId="0">
      <sharedItems containsSemiMixedTypes="0" containsNonDate="0" containsDate="1" containsString="0" minDate="1899-12-30T00:00:06" maxDate="1899-12-30T03:42:39"/>
    </cacheField>
    <cacheField name="FC Média" numFmtId="0">
      <sharedItems containsMixedTypes="1" containsNumber="1" containsInteger="1" minValue="66" maxValue="180"/>
    </cacheField>
    <cacheField name="FC máxima" numFmtId="0">
      <sharedItems containsMixedTypes="1" containsNumber="1" containsInteger="1" minValue="70" maxValue="229"/>
    </cacheField>
    <cacheField name="Training Effect Aeróbico" numFmtId="0">
      <sharedItems containsMixedTypes="1" containsNumber="1" minValue="1" maxValue="5"/>
    </cacheField>
    <cacheField name="Cadência de corrida média" numFmtId="0">
      <sharedItems containsMixedTypes="1" containsNumber="1" containsInteger="1" minValue="54" maxValue="173"/>
    </cacheField>
    <cacheField name="Cadência de corrida máxima" numFmtId="0">
      <sharedItems containsMixedTypes="1" containsNumber="1" containsInteger="1" minValue="118" maxValue="249"/>
    </cacheField>
    <cacheField name="Velocidade média" numFmtId="0">
      <sharedItems containsDate="1" containsMixedTypes="1" minDate="1899-12-30T04:07:00" maxDate="1899-12-30T12:39:00"/>
    </cacheField>
    <cacheField name="Velocidade máxima" numFmtId="0">
      <sharedItems containsDate="1" containsMixedTypes="1" minDate="1900-01-06T09:57:04" maxDate="1899-12-30T00:00:00"/>
    </cacheField>
    <cacheField name="Ganho de elevação" numFmtId="0">
      <sharedItems containsMixedTypes="1" containsNumber="1" containsInteger="1" minValue="1" maxValue="870"/>
    </cacheField>
    <cacheField name="Perda da elevação" numFmtId="0">
      <sharedItems containsMixedTypes="1" containsNumber="1" containsInteger="1" minValue="1" maxValue="861"/>
    </cacheField>
    <cacheField name="Comprimento médio da passada" numFmtId="0">
      <sharedItems containsSemiMixedTypes="0" containsString="0" containsNumber="1" minValue="0" maxValue="1.59"/>
    </cacheField>
    <cacheField name="Proporção de média vertical" numFmtId="0">
      <sharedItems containsSemiMixedTypes="0" containsString="0" containsNumber="1" containsInteger="1" minValue="0" maxValue="0"/>
    </cacheField>
    <cacheField name="Oscilação vertical média" numFmtId="0">
      <sharedItems containsSemiMixedTypes="0" containsString="0" containsNumber="1" containsInteger="1" minValue="0" maxValue="0"/>
    </cacheField>
    <cacheField name="Training Stress Score®" numFmtId="0">
      <sharedItems containsSemiMixedTypes="0" containsString="0" containsNumber="1" containsInteger="1" minValue="0" maxValue="0"/>
    </cacheField>
    <cacheField name="Granularidade" numFmtId="0">
      <sharedItems containsSemiMixedTypes="0" containsString="0" containsNumber="1" containsInteger="1" minValue="0" maxValue="0"/>
    </cacheField>
    <cacheField name="Fluxo" numFmtId="0">
      <sharedItems containsSemiMixedTypes="0" containsString="0" containsNumber="1" containsInteger="1" minValue="0" maxValue="0"/>
    </cacheField>
    <cacheField name="Total de repetições" numFmtId="0">
      <sharedItems containsMixedTypes="1" containsNumber="1" containsInteger="1" minValue="157" maxValue="368"/>
    </cacheField>
    <cacheField name="Total de conjuntos" numFmtId="0">
      <sharedItems containsMixedTypes="1" containsNumber="1" containsInteger="1" minValue="20" maxValue="45"/>
    </cacheField>
    <cacheField name="Tempo de escalada" numFmtId="0">
      <sharedItems containsSemiMixedTypes="0" containsNonDate="0" containsDate="1" containsString="0" minDate="1899-12-30T00:00:06" maxDate="1900-01-01T11:57:00"/>
    </cacheField>
    <cacheField name="Tempo no fundo" numFmtId="20">
      <sharedItems containsSemiMixedTypes="0" containsNonDate="0" containsDate="1" containsString="0" minDate="1899-12-30T00:00:00" maxDate="1899-12-31T00:00:00"/>
    </cacheField>
    <cacheField name="Temp mínima" numFmtId="0">
      <sharedItems containsSemiMixedTypes="0" containsString="0" containsNumber="1" containsInteger="1" minValue="0" maxValue="0"/>
    </cacheField>
    <cacheField name="Intervalo de superfície" numFmtId="20">
      <sharedItems containsSemiMixedTypes="0" containsNonDate="0" containsDate="1" containsString="0" minDate="1899-12-30T00:00:00" maxDate="1899-12-31T00:00:00"/>
    </cacheField>
    <cacheField name="Descompressão" numFmtId="0">
      <sharedItems/>
    </cacheField>
    <cacheField name="Tempo da melhor volta" numFmtId="0">
      <sharedItems/>
    </cacheField>
    <cacheField name="Número de voltas" numFmtId="0">
      <sharedItems containsSemiMixedTypes="0" containsString="0" containsNumber="1" containsInteger="1" minValue="1" maxValue="33"/>
    </cacheField>
    <cacheField name="Temp máxima" numFmtId="0">
      <sharedItems containsSemiMixedTypes="0" containsString="0" containsNumber="1" containsInteger="1" minValue="0" maxValue="0"/>
    </cacheField>
    <cacheField name="Tempo em movimento" numFmtId="0">
      <sharedItems containsSemiMixedTypes="0" containsNonDate="0" containsDate="1" containsString="0" minDate="1899-12-30T00:00:00" maxDate="1899-12-30T02:49:22"/>
    </cacheField>
    <cacheField name="Duração" numFmtId="0">
      <sharedItems containsSemiMixedTypes="0" containsNonDate="0" containsDate="1" containsString="0" minDate="1899-12-30T00:00:07" maxDate="1899-12-30T03:42:39"/>
    </cacheField>
    <cacheField name="Elevação mínima" numFmtId="0">
      <sharedItems containsMixedTypes="1" containsNumber="1" containsInteger="1" minValue="-35" maxValue="218"/>
    </cacheField>
    <cacheField name="Elevação máxima" numFmtId="0">
      <sharedItems containsMixedTypes="1" containsNumber="1" containsInteger="1" minValue="13" maxValue="8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.Cristina" refreshedDate="44397.62953888889" createdVersion="6" refreshedVersion="6" minRefreshableVersion="3" recordCount="240" xr:uid="{4A57BDED-11EE-4801-A833-01C55957F3EC}">
  <cacheSource type="worksheet">
    <worksheetSource ref="A5:AJ245" sheet="Atividades Filtradas"/>
  </cacheSource>
  <cacheFields count="36">
    <cacheField name="Tipo de atividade" numFmtId="0">
      <sharedItems containsBlank="1" count="5">
        <s v="Treino de força"/>
        <s v="Ciclismo"/>
        <s v="Corrida"/>
        <s v="Corrida em esteira"/>
        <m u="1"/>
      </sharedItems>
    </cacheField>
    <cacheField name="Data" numFmtId="22">
      <sharedItems containsSemiMixedTypes="0" containsNonDate="0" containsDate="1" containsString="0" minDate="2019-11-05T17:47:59" maxDate="2021-07-19T06:49:42"/>
    </cacheField>
    <cacheField name="Favorito" numFmtId="0">
      <sharedItems/>
    </cacheField>
    <cacheField name="Título" numFmtId="0">
      <sharedItems/>
    </cacheField>
    <cacheField name="Distância" numFmtId="0">
      <sharedItems containsSemiMixedTypes="0" containsString="0" containsNumber="1" minValue="0" maxValue="22.01"/>
    </cacheField>
    <cacheField name="Calorias" numFmtId="0">
      <sharedItems containsMixedTypes="1" containsNumber="1" containsInteger="1" minValue="14" maxValue="1528"/>
    </cacheField>
    <cacheField name="Tempo" numFmtId="0">
      <sharedItems containsSemiMixedTypes="0" containsNonDate="0" containsDate="1" containsString="0" minDate="1899-12-30T00:00:06" maxDate="1899-12-30T03:42:39"/>
    </cacheField>
    <cacheField name="FC Média" numFmtId="0">
      <sharedItems containsMixedTypes="1" containsNumber="1" containsInteger="1" minValue="66" maxValue="180"/>
    </cacheField>
    <cacheField name="FC máxima" numFmtId="0">
      <sharedItems containsMixedTypes="1" containsNumber="1" containsInteger="1" minValue="70" maxValue="229"/>
    </cacheField>
    <cacheField name="Training Effect Aeróbico" numFmtId="0">
      <sharedItems containsMixedTypes="1" containsNumber="1" minValue="1" maxValue="5"/>
    </cacheField>
    <cacheField name="Cadência de corrida média" numFmtId="0">
      <sharedItems containsMixedTypes="1" containsNumber="1" containsInteger="1" minValue="54" maxValue="173"/>
    </cacheField>
    <cacheField name="Cadência de corrida máxima" numFmtId="0">
      <sharedItems containsMixedTypes="1" containsNumber="1" containsInteger="1" minValue="118" maxValue="249"/>
    </cacheField>
    <cacheField name="Velocidade média" numFmtId="0">
      <sharedItems containsDate="1" containsMixedTypes="1" minDate="1899-12-30T04:07:00" maxDate="1899-12-30T12:39:00"/>
    </cacheField>
    <cacheField name="Velocidade máxima" numFmtId="0">
      <sharedItems containsDate="1" containsMixedTypes="1" minDate="1900-01-06T09:57:04" maxDate="1899-12-30T00:00:00"/>
    </cacheField>
    <cacheField name="Ganho de elevação" numFmtId="0">
      <sharedItems containsMixedTypes="1" containsNumber="1" containsInteger="1" minValue="1" maxValue="870"/>
    </cacheField>
    <cacheField name="Perda da elevação" numFmtId="0">
      <sharedItems containsMixedTypes="1" containsNumber="1" containsInteger="1" minValue="1" maxValue="861"/>
    </cacheField>
    <cacheField name="Comprimento médio da passada" numFmtId="0">
      <sharedItems containsSemiMixedTypes="0" containsString="0" containsNumber="1" minValue="0" maxValue="1.59"/>
    </cacheField>
    <cacheField name="Proporção de média vertical" numFmtId="0">
      <sharedItems containsSemiMixedTypes="0" containsString="0" containsNumber="1" containsInteger="1" minValue="0" maxValue="0"/>
    </cacheField>
    <cacheField name="Oscilação vertical média" numFmtId="0">
      <sharedItems containsSemiMixedTypes="0" containsString="0" containsNumber="1" containsInteger="1" minValue="0" maxValue="0"/>
    </cacheField>
    <cacheField name="Training Stress Score®" numFmtId="0">
      <sharedItems containsSemiMixedTypes="0" containsString="0" containsNumber="1" containsInteger="1" minValue="0" maxValue="0"/>
    </cacheField>
    <cacheField name="Granularidade" numFmtId="0">
      <sharedItems containsSemiMixedTypes="0" containsString="0" containsNumber="1" containsInteger="1" minValue="0" maxValue="0"/>
    </cacheField>
    <cacheField name="Fluxo" numFmtId="0">
      <sharedItems containsSemiMixedTypes="0" containsString="0" containsNumber="1" containsInteger="1" minValue="0" maxValue="0"/>
    </cacheField>
    <cacheField name="Total de repetições" numFmtId="0">
      <sharedItems containsMixedTypes="1" containsNumber="1" containsInteger="1" minValue="157" maxValue="368"/>
    </cacheField>
    <cacheField name="Total de conjuntos" numFmtId="0">
      <sharedItems containsMixedTypes="1" containsNumber="1" containsInteger="1" minValue="20" maxValue="45"/>
    </cacheField>
    <cacheField name="Tempo de escalada" numFmtId="0">
      <sharedItems containsSemiMixedTypes="0" containsNonDate="0" containsDate="1" containsString="0" minDate="1899-12-30T00:00:06" maxDate="1900-01-01T11:57:00"/>
    </cacheField>
    <cacheField name="Tempo no fundo" numFmtId="20">
      <sharedItems containsSemiMixedTypes="0" containsNonDate="0" containsDate="1" containsString="0" minDate="1899-12-30T00:00:00" maxDate="1899-12-31T00:00:00"/>
    </cacheField>
    <cacheField name="Temp mínima" numFmtId="0">
      <sharedItems containsSemiMixedTypes="0" containsString="0" containsNumber="1" containsInteger="1" minValue="0" maxValue="0"/>
    </cacheField>
    <cacheField name="Intervalo de superfície" numFmtId="20">
      <sharedItems containsSemiMixedTypes="0" containsNonDate="0" containsDate="1" containsString="0" minDate="1899-12-30T00:00:00" maxDate="1899-12-31T00:00:00"/>
    </cacheField>
    <cacheField name="Descompressão" numFmtId="0">
      <sharedItems/>
    </cacheField>
    <cacheField name="Tempo da melhor volta" numFmtId="0">
      <sharedItems/>
    </cacheField>
    <cacheField name="Número de voltas" numFmtId="0">
      <sharedItems containsSemiMixedTypes="0" containsString="0" containsNumber="1" containsInteger="1" minValue="1" maxValue="33"/>
    </cacheField>
    <cacheField name="Temp máxima" numFmtId="0">
      <sharedItems containsSemiMixedTypes="0" containsString="0" containsNumber="1" containsInteger="1" minValue="0" maxValue="0"/>
    </cacheField>
    <cacheField name="Tempo em movimento" numFmtId="0">
      <sharedItems containsSemiMixedTypes="0" containsNonDate="0" containsDate="1" containsString="0" minDate="1899-12-30T00:00:00" maxDate="1899-12-30T02:49:22"/>
    </cacheField>
    <cacheField name="Duração" numFmtId="0">
      <sharedItems containsSemiMixedTypes="0" containsNonDate="0" containsDate="1" containsString="0" minDate="1899-12-30T00:00:07" maxDate="1899-12-30T03:42:39"/>
    </cacheField>
    <cacheField name="Elevação mínima" numFmtId="0">
      <sharedItems containsMixedTypes="1" containsNumber="1" containsInteger="1" minValue="-35" maxValue="218"/>
    </cacheField>
    <cacheField name="Elevação máxima" numFmtId="0">
      <sharedItems containsMixedTypes="1" containsNumber="1" containsInteger="1" minValue="13" maxValue="8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s v="Treino de força"/>
    <x v="0"/>
    <s v="false"/>
    <s v="Força"/>
    <n v="0"/>
    <n v="170"/>
    <d v="1899-12-30T00:36:12"/>
    <n v="107"/>
    <n v="152"/>
    <n v="1.1000000000000001"/>
    <s v="--"/>
    <s v="--"/>
    <s v="--"/>
    <s v="--"/>
    <s v="--"/>
    <s v="--"/>
    <n v="0"/>
    <n v="0"/>
    <n v="0"/>
    <n v="0"/>
    <n v="0"/>
    <n v="0"/>
    <n v="166"/>
    <n v="20"/>
    <d v="1899-12-31T12:12:00"/>
    <d v="1899-12-30T00:00:00"/>
    <n v="0"/>
    <d v="1899-12-30T00:00:00"/>
    <s v="Não"/>
    <s v="36:12.03"/>
    <n v="1"/>
    <n v="0"/>
    <d v="1899-12-30T00:18:51"/>
    <d v="1899-12-30T00:36:12"/>
    <s v="--"/>
    <s v="--"/>
  </r>
  <r>
    <s v="Ciclismo"/>
    <x v="1"/>
    <s v="false"/>
    <s v="Blumenau Ciclismo"/>
    <n v="18.04"/>
    <n v="636"/>
    <d v="1899-12-30T02:03:44"/>
    <n v="116"/>
    <n v="163"/>
    <n v="2.2000000000000002"/>
    <s v="--"/>
    <s v="--"/>
    <n v="8.6999999999999993"/>
    <n v="24.6"/>
    <n v="142"/>
    <n v="145"/>
    <n v="0"/>
    <n v="0"/>
    <n v="0"/>
    <n v="0"/>
    <n v="0"/>
    <n v="0"/>
    <s v="--"/>
    <s v="--"/>
    <d v="1899-12-30T02:03:44"/>
    <d v="1899-12-30T00:00:00"/>
    <n v="0"/>
    <d v="1899-12-30T00:00:00"/>
    <s v="Não"/>
    <s v="12:25.05"/>
    <n v="4"/>
    <n v="0"/>
    <d v="1899-12-30T01:29:55"/>
    <d v="1899-12-30T02:03:44"/>
    <n v="3"/>
    <n v="41"/>
  </r>
  <r>
    <s v="Corrida"/>
    <x v="2"/>
    <s v="false"/>
    <s v="Pomerode Corrida"/>
    <n v="6.05"/>
    <n v="602"/>
    <d v="1899-12-30T00:49:39"/>
    <n v="176"/>
    <n v="218"/>
    <n v="4.5999999999999996"/>
    <n v="113"/>
    <n v="243"/>
    <d v="1899-12-30T08:13:00"/>
    <d v="1899-12-30T04:08:00"/>
    <n v="293"/>
    <n v="294"/>
    <n v="1.01"/>
    <n v="0"/>
    <n v="0"/>
    <n v="0"/>
    <n v="0"/>
    <n v="0"/>
    <s v="--"/>
    <s v="--"/>
    <d v="1900-01-01T01:39:00"/>
    <d v="1899-12-30T00:00:00"/>
    <n v="0"/>
    <d v="1899-12-30T00:00:00"/>
    <s v="Não"/>
    <s v="00:30.41"/>
    <n v="8"/>
    <n v="0"/>
    <d v="1899-12-30T00:42:10"/>
    <d v="1899-12-30T00:49:39"/>
    <n v="84"/>
    <n v="380"/>
  </r>
  <r>
    <s v="Treino de força"/>
    <x v="3"/>
    <s v="false"/>
    <s v="Força"/>
    <n v="0"/>
    <n v="219"/>
    <d v="1899-12-30T00:37:39"/>
    <n v="117"/>
    <n v="160"/>
    <n v="1.7"/>
    <s v="--"/>
    <s v="--"/>
    <s v="--"/>
    <s v="--"/>
    <s v="--"/>
    <s v="--"/>
    <n v="0"/>
    <n v="0"/>
    <n v="0"/>
    <n v="0"/>
    <n v="0"/>
    <n v="0"/>
    <n v="159"/>
    <n v="20"/>
    <d v="1899-12-31T13:39:00"/>
    <d v="1899-12-30T00:00:00"/>
    <n v="0"/>
    <d v="1899-12-30T00:00:00"/>
    <s v="Não"/>
    <s v="37:38.93"/>
    <n v="1"/>
    <n v="0"/>
    <d v="1899-12-30T00:18:40"/>
    <d v="1899-12-30T00:37:39"/>
    <s v="--"/>
    <s v="--"/>
  </r>
  <r>
    <s v="Corrida"/>
    <x v="4"/>
    <s v="false"/>
    <s v="Blumenau Corrida"/>
    <n v="5.91"/>
    <n v="396"/>
    <d v="1899-12-30T00:40:01"/>
    <n v="153"/>
    <n v="189"/>
    <n v="3.2"/>
    <n v="137"/>
    <n v="181"/>
    <d v="1899-12-30T06:46:00"/>
    <d v="1899-12-30T03:52:00"/>
    <n v="36"/>
    <n v="36"/>
    <n v="1.06"/>
    <n v="0"/>
    <n v="0"/>
    <n v="0"/>
    <n v="0"/>
    <n v="0"/>
    <s v="--"/>
    <s v="--"/>
    <d v="1899-12-31T16:01:00"/>
    <d v="1899-12-30T00:00:00"/>
    <n v="0"/>
    <d v="1899-12-30T00:00:00"/>
    <s v="Não"/>
    <s v="00:01.43"/>
    <n v="8"/>
    <n v="0"/>
    <d v="1899-12-30T00:39:11"/>
    <d v="1899-12-30T00:40:47"/>
    <n v="11"/>
    <n v="21"/>
  </r>
  <r>
    <s v="Corrida"/>
    <x v="5"/>
    <s v="false"/>
    <s v="Blumenau Corrida"/>
    <n v="16.010000000000002"/>
    <n v="1233"/>
    <d v="1899-12-30T01:44:30"/>
    <n v="174"/>
    <n v="206"/>
    <n v="5"/>
    <n v="150"/>
    <n v="247"/>
    <d v="1899-12-30T06:32:00"/>
    <d v="1899-12-30T05:25:00"/>
    <n v="305"/>
    <n v="307"/>
    <n v="1.02"/>
    <n v="0"/>
    <n v="0"/>
    <n v="0"/>
    <n v="0"/>
    <n v="0"/>
    <s v="--"/>
    <s v="--"/>
    <d v="1899-12-30T01:44:30"/>
    <d v="1899-12-30T00:00:00"/>
    <n v="0"/>
    <d v="1899-12-30T00:00:00"/>
    <s v="Não"/>
    <s v="00:03.65"/>
    <n v="17"/>
    <n v="0"/>
    <d v="1899-12-30T01:44:25"/>
    <d v="1899-12-30T01:44:30"/>
    <n v="17"/>
    <n v="125"/>
  </r>
  <r>
    <s v="Treino de força"/>
    <x v="6"/>
    <s v="false"/>
    <s v="Força"/>
    <n v="0"/>
    <n v="333"/>
    <d v="1899-12-30T00:53:49"/>
    <n v="125"/>
    <n v="168"/>
    <n v="2.2000000000000002"/>
    <s v="--"/>
    <s v="--"/>
    <s v="--"/>
    <s v="--"/>
    <s v="--"/>
    <s v="--"/>
    <n v="0"/>
    <n v="0"/>
    <n v="0"/>
    <n v="0"/>
    <n v="0"/>
    <n v="0"/>
    <n v="265"/>
    <n v="24"/>
    <d v="1900-01-01T05:49:00"/>
    <d v="1899-12-30T00:00:00"/>
    <n v="0"/>
    <d v="1899-12-30T00:00:00"/>
    <s v="Não"/>
    <s v="53:48.75"/>
    <n v="1"/>
    <n v="0"/>
    <d v="1899-12-30T00:29:18"/>
    <d v="1899-12-30T00:53:49"/>
    <s v="--"/>
    <s v="--"/>
  </r>
  <r>
    <s v="Corrida"/>
    <x v="7"/>
    <s v="false"/>
    <s v="Blumenau - 10k - 90 a 95%"/>
    <n v="10.01"/>
    <n v="744"/>
    <d v="1899-12-30T01:01:52"/>
    <n v="172"/>
    <n v="188"/>
    <n v="5"/>
    <n v="160"/>
    <n v="168"/>
    <d v="1899-12-30T06:11:00"/>
    <d v="1899-12-30T05:04:00"/>
    <n v="64"/>
    <n v="78"/>
    <n v="1.01"/>
    <n v="0"/>
    <n v="0"/>
    <n v="0"/>
    <n v="0"/>
    <n v="0"/>
    <s v="--"/>
    <s v="--"/>
    <d v="1899-12-30T01:01:52"/>
    <d v="1899-12-30T00:00:00"/>
    <n v="0"/>
    <d v="1899-12-30T00:00:00"/>
    <s v="Não"/>
    <s v="00:05.04"/>
    <n v="11"/>
    <n v="0"/>
    <d v="1899-12-30T01:01:43"/>
    <d v="1899-12-30T01:01:52"/>
    <n v="9"/>
    <n v="49"/>
  </r>
  <r>
    <s v="Corrida"/>
    <x v="8"/>
    <s v="false"/>
    <s v="Blumenau Corrida"/>
    <n v="14.12"/>
    <n v="1047"/>
    <d v="1899-12-30T01:30:02"/>
    <n v="170"/>
    <n v="201"/>
    <n v="5"/>
    <n v="153"/>
    <n v="244"/>
    <d v="1899-12-30T06:23:00"/>
    <d v="1899-12-30T05:32:00"/>
    <n v="175"/>
    <n v="177"/>
    <n v="1.03"/>
    <n v="0"/>
    <n v="0"/>
    <n v="0"/>
    <n v="0"/>
    <n v="0"/>
    <s v="--"/>
    <s v="--"/>
    <d v="1899-12-30T01:30:02"/>
    <d v="1899-12-30T00:00:00"/>
    <n v="0"/>
    <d v="1899-12-30T00:00:00"/>
    <s v="Não"/>
    <s v="00:36.10"/>
    <n v="15"/>
    <n v="0"/>
    <d v="1899-12-30T01:29:59"/>
    <d v="1899-12-30T01:30:02"/>
    <n v="15"/>
    <n v="64"/>
  </r>
  <r>
    <s v="Treino de força"/>
    <x v="9"/>
    <s v="false"/>
    <s v="Força"/>
    <n v="0"/>
    <n v="280"/>
    <d v="1899-12-30T00:49:59"/>
    <n v="119"/>
    <n v="168"/>
    <n v="2.1"/>
    <s v="--"/>
    <s v="--"/>
    <s v="--"/>
    <s v="--"/>
    <s v="--"/>
    <s v="--"/>
    <n v="0"/>
    <n v="0"/>
    <n v="0"/>
    <n v="0"/>
    <n v="0"/>
    <n v="0"/>
    <n v="236"/>
    <n v="24"/>
    <d v="1900-01-01T01:59:00"/>
    <d v="1899-12-30T00:00:00"/>
    <n v="0"/>
    <d v="1899-12-30T00:00:00"/>
    <s v="Não"/>
    <s v="49:58.81"/>
    <n v="1"/>
    <n v="0"/>
    <d v="1899-12-30T00:26:15"/>
    <d v="1899-12-30T00:49:59"/>
    <s v="--"/>
    <s v="--"/>
  </r>
  <r>
    <s v="Corrida em esteira"/>
    <x v="10"/>
    <s v="false"/>
    <s v="8k - 95 a 100%"/>
    <n v="8.01"/>
    <n v="610"/>
    <d v="1899-12-30T00:51:57"/>
    <n v="165"/>
    <n v="176"/>
    <n v="4.3"/>
    <n v="157"/>
    <n v="180"/>
    <d v="1899-12-30T06:29:00"/>
    <d v="1899-12-30T05:31:00"/>
    <s v="--"/>
    <s v="--"/>
    <n v="0.98"/>
    <n v="0"/>
    <n v="0"/>
    <n v="0"/>
    <n v="0"/>
    <n v="0"/>
    <s v="--"/>
    <s v="--"/>
    <d v="1900-01-01T03:57:00"/>
    <d v="1899-12-30T00:00:00"/>
    <n v="0"/>
    <d v="1899-12-30T00:00:00"/>
    <s v="Não"/>
    <s v="00:02.87"/>
    <n v="9"/>
    <n v="0"/>
    <d v="1899-12-30T00:51:31"/>
    <d v="1899-12-30T00:51:57"/>
    <s v="--"/>
    <s v="--"/>
  </r>
  <r>
    <s v="Treino de força"/>
    <x v="11"/>
    <s v="false"/>
    <s v="Força"/>
    <n v="0"/>
    <n v="313"/>
    <d v="1899-12-30T00:51:16"/>
    <n v="124"/>
    <n v="142"/>
    <n v="2"/>
    <s v="--"/>
    <s v="--"/>
    <s v="--"/>
    <s v="--"/>
    <s v="--"/>
    <s v="--"/>
    <n v="0"/>
    <n v="0"/>
    <n v="0"/>
    <n v="0"/>
    <n v="0"/>
    <n v="0"/>
    <n v="173"/>
    <n v="24"/>
    <d v="1900-01-01T03:16:00"/>
    <d v="1899-12-30T00:00:00"/>
    <n v="0"/>
    <d v="1899-12-30T00:00:00"/>
    <s v="Não"/>
    <s v="51:15.65"/>
    <n v="1"/>
    <n v="0"/>
    <d v="1899-12-30T00:26:38"/>
    <d v="1899-12-30T00:51:16"/>
    <s v="--"/>
    <s v="--"/>
  </r>
  <r>
    <s v="Corrida em esteira"/>
    <x v="12"/>
    <s v="false"/>
    <s v="6 x 1km com intervalo 3min parad"/>
    <n v="8.1"/>
    <n v="615"/>
    <d v="1899-12-30T01:04:46"/>
    <n v="151"/>
    <n v="183"/>
    <n v="3.5"/>
    <n v="123"/>
    <n v="210"/>
    <d v="1899-12-30T08:00:00"/>
    <d v="1899-12-30T04:54:00"/>
    <s v="--"/>
    <s v="--"/>
    <n v="0.84"/>
    <n v="0"/>
    <n v="0"/>
    <n v="0"/>
    <n v="0"/>
    <n v="0"/>
    <s v="--"/>
    <s v="--"/>
    <d v="1899-12-30T01:04:46"/>
    <d v="1899-12-30T00:00:00"/>
    <n v="0"/>
    <d v="1899-12-30T00:00:00"/>
    <s v="Não"/>
    <s v="00:02.70"/>
    <n v="15"/>
    <n v="0"/>
    <d v="1899-12-30T00:47:13"/>
    <d v="1899-12-30T01:04:46"/>
    <s v="--"/>
    <s v="--"/>
  </r>
  <r>
    <s v="Treino de força"/>
    <x v="13"/>
    <s v="false"/>
    <s v="Força"/>
    <n v="0"/>
    <n v="313"/>
    <d v="1899-12-30T00:49:20"/>
    <n v="124"/>
    <n v="174"/>
    <n v="2.4"/>
    <s v="--"/>
    <s v="--"/>
    <s v="--"/>
    <s v="--"/>
    <s v="--"/>
    <s v="--"/>
    <n v="0"/>
    <n v="0"/>
    <n v="0"/>
    <n v="0"/>
    <n v="0"/>
    <n v="0"/>
    <n v="266"/>
    <n v="24"/>
    <d v="1900-01-01T01:20:00"/>
    <d v="1899-12-30T00:00:00"/>
    <n v="0"/>
    <d v="1899-12-30T00:00:00"/>
    <s v="Não"/>
    <s v="49:19.86"/>
    <n v="1"/>
    <n v="0"/>
    <d v="1899-12-30T00:25:07"/>
    <d v="1899-12-30T00:49:20"/>
    <s v="--"/>
    <s v="--"/>
  </r>
  <r>
    <s v="Corrida"/>
    <x v="14"/>
    <s v="false"/>
    <s v="Blumenau Corrida"/>
    <n v="13.95"/>
    <n v="1038"/>
    <d v="1899-12-30T01:30:02"/>
    <n v="171"/>
    <n v="201"/>
    <n v="5"/>
    <n v="150"/>
    <n v="241"/>
    <d v="1899-12-30T06:27:00"/>
    <d v="1899-12-30T05:37:00"/>
    <n v="169"/>
    <n v="178"/>
    <n v="1.03"/>
    <n v="0"/>
    <n v="0"/>
    <n v="0"/>
    <n v="0"/>
    <n v="0"/>
    <s v="--"/>
    <s v="--"/>
    <d v="1899-12-30T01:30:02"/>
    <d v="1899-12-30T00:00:00"/>
    <n v="0"/>
    <d v="1899-12-30T00:00:00"/>
    <s v="Não"/>
    <s v="05:45.15"/>
    <n v="14"/>
    <n v="0"/>
    <d v="1899-12-30T01:29:51"/>
    <d v="1899-12-30T01:30:02"/>
    <n v="10"/>
    <n v="57"/>
  </r>
  <r>
    <s v="Treino de força"/>
    <x v="15"/>
    <s v="false"/>
    <s v="Força"/>
    <n v="0"/>
    <n v="319"/>
    <d v="1899-12-30T00:52:39"/>
    <n v="124"/>
    <n v="148"/>
    <n v="2"/>
    <s v="--"/>
    <s v="--"/>
    <s v="--"/>
    <s v="--"/>
    <s v="--"/>
    <s v="--"/>
    <n v="0"/>
    <n v="0"/>
    <n v="0"/>
    <n v="0"/>
    <n v="0"/>
    <n v="0"/>
    <n v="157"/>
    <n v="24"/>
    <d v="1900-01-01T04:39:00"/>
    <d v="1899-12-30T00:00:00"/>
    <n v="0"/>
    <d v="1899-12-30T00:00:00"/>
    <s v="Não"/>
    <s v="52:38.80"/>
    <n v="1"/>
    <n v="0"/>
    <d v="1899-12-30T00:25:11"/>
    <d v="1899-12-30T00:52:39"/>
    <s v="--"/>
    <s v="--"/>
  </r>
  <r>
    <s v="Corrida em esteira"/>
    <x v="16"/>
    <s v="false"/>
    <s v="10k - 90 a 95%"/>
    <n v="10.01"/>
    <n v="704"/>
    <d v="1899-12-30T00:59:41"/>
    <n v="167"/>
    <n v="185"/>
    <n v="4.9000000000000004"/>
    <n v="160"/>
    <n v="176"/>
    <d v="1899-12-30T05:58:00"/>
    <d v="1899-12-30T05:12:00"/>
    <s v="--"/>
    <s v="--"/>
    <n v="1.05"/>
    <n v="0"/>
    <n v="0"/>
    <n v="0"/>
    <n v="0"/>
    <n v="0"/>
    <s v="--"/>
    <s v="--"/>
    <d v="1900-01-01T11:41:00"/>
    <d v="1899-12-30T00:00:00"/>
    <n v="0"/>
    <d v="1899-12-30T00:00:00"/>
    <s v="Não"/>
    <s v="00:01.37"/>
    <n v="11"/>
    <n v="0"/>
    <d v="1899-12-30T00:59:34"/>
    <d v="1899-12-30T00:59:41"/>
    <s v="--"/>
    <s v="--"/>
  </r>
  <r>
    <s v="Corrida"/>
    <x v="17"/>
    <s v="false"/>
    <s v="Blumenau - 4 x 1km forte com 500m leve"/>
    <n v="8.01"/>
    <n v="560"/>
    <d v="1899-12-30T00:48:54"/>
    <n v="166"/>
    <n v="186"/>
    <n v="4.2"/>
    <n v="158"/>
    <n v="170"/>
    <d v="1899-12-30T06:06:00"/>
    <d v="1899-12-30T04:42:00"/>
    <n v="24"/>
    <n v="36"/>
    <n v="1.03"/>
    <n v="0"/>
    <n v="0"/>
    <n v="0"/>
    <n v="0"/>
    <n v="0"/>
    <s v="--"/>
    <s v="--"/>
    <d v="1900-01-01T00:54:00"/>
    <d v="1899-12-30T00:00:00"/>
    <n v="0"/>
    <d v="1899-12-30T00:00:00"/>
    <s v="Não"/>
    <s v="00:04.61"/>
    <n v="11"/>
    <n v="0"/>
    <d v="1899-12-30T00:48:50"/>
    <d v="1899-12-30T00:48:54"/>
    <n v="12"/>
    <n v="28"/>
  </r>
  <r>
    <s v="Treino de força"/>
    <x v="18"/>
    <s v="false"/>
    <s v="Força"/>
    <n v="0"/>
    <n v="296"/>
    <d v="1899-12-30T00:53:04"/>
    <n v="119"/>
    <n v="164"/>
    <n v="2.1"/>
    <s v="--"/>
    <s v="--"/>
    <s v="--"/>
    <s v="--"/>
    <s v="--"/>
    <s v="--"/>
    <n v="0"/>
    <n v="0"/>
    <n v="0"/>
    <n v="0"/>
    <n v="0"/>
    <n v="0"/>
    <n v="321"/>
    <n v="27"/>
    <d v="1900-01-01T05:04:00"/>
    <d v="1899-12-30T00:00:00"/>
    <n v="0"/>
    <d v="1899-12-30T00:00:00"/>
    <s v="Não"/>
    <s v="53:03.70"/>
    <n v="1"/>
    <n v="0"/>
    <d v="1899-12-30T00:26:21"/>
    <d v="1899-12-30T00:53:04"/>
    <s v="--"/>
    <s v="--"/>
  </r>
  <r>
    <s v="Corrida em esteira"/>
    <x v="19"/>
    <s v="false"/>
    <s v="Corrida em esteira"/>
    <n v="6.19"/>
    <n v="470"/>
    <d v="1899-12-30T00:46:02"/>
    <n v="155"/>
    <n v="186"/>
    <n v="3.6"/>
    <n v="142"/>
    <n v="225"/>
    <d v="1899-12-30T07:26:00"/>
    <d v="1899-12-30T04:50:00"/>
    <s v="--"/>
    <s v="--"/>
    <n v="0.93"/>
    <n v="0"/>
    <n v="0"/>
    <n v="0"/>
    <n v="0"/>
    <n v="0"/>
    <s v="--"/>
    <s v="--"/>
    <d v="1899-12-31T22:02:00"/>
    <d v="1899-12-30T00:00:00"/>
    <n v="0"/>
    <d v="1899-12-30T00:00:00"/>
    <s v="Não"/>
    <s v="03:50.01"/>
    <n v="7"/>
    <n v="0"/>
    <d v="1899-12-30T00:43:41"/>
    <d v="1899-12-30T00:46:02"/>
    <s v="--"/>
    <s v="--"/>
  </r>
  <r>
    <s v="Corrida em esteira"/>
    <x v="20"/>
    <s v="false"/>
    <s v="8k - 90 a 95%"/>
    <n v="8.02"/>
    <n v="555"/>
    <d v="1899-12-30T00:49:54"/>
    <n v="159"/>
    <n v="172"/>
    <n v="4.0999999999999996"/>
    <n v="157"/>
    <n v="161"/>
    <d v="1899-12-30T06:13:00"/>
    <d v="1899-12-30T04:59:00"/>
    <s v="--"/>
    <s v="--"/>
    <n v="1.03"/>
    <n v="0"/>
    <n v="0"/>
    <n v="0"/>
    <n v="0"/>
    <n v="0"/>
    <s v="--"/>
    <s v="--"/>
    <d v="1900-01-01T01:54:00"/>
    <d v="1899-12-30T00:00:00"/>
    <n v="0"/>
    <d v="1899-12-30T00:00:00"/>
    <s v="Não"/>
    <s v="00:07.70"/>
    <n v="9"/>
    <n v="0"/>
    <d v="1899-12-30T00:49:53"/>
    <d v="1899-12-30T00:49:54"/>
    <s v="--"/>
    <s v="--"/>
  </r>
  <r>
    <s v="Corrida em esteira"/>
    <x v="21"/>
    <s v="false"/>
    <s v="10 x 300m moderado/forte com 100"/>
    <n v="7.01"/>
    <n v="410"/>
    <d v="1899-12-30T00:42:34"/>
    <n v="147"/>
    <n v="172"/>
    <n v="3.3"/>
    <n v="155"/>
    <n v="161"/>
    <d v="1899-12-30T06:04:00"/>
    <d v="1899-12-30T04:38:00"/>
    <s v="--"/>
    <s v="--"/>
    <n v="1.06"/>
    <n v="0"/>
    <n v="0"/>
    <n v="0"/>
    <n v="0"/>
    <n v="0"/>
    <s v="--"/>
    <s v="--"/>
    <d v="1899-12-31T18:34:00"/>
    <d v="1899-12-30T00:00:00"/>
    <n v="0"/>
    <d v="1899-12-30T00:00:00"/>
    <s v="Não"/>
    <s v="00:03.37"/>
    <n v="24"/>
    <n v="0"/>
    <d v="1899-12-30T00:42:26"/>
    <d v="1899-12-30T00:42:34"/>
    <s v="--"/>
    <s v="--"/>
  </r>
  <r>
    <s v="Corrida"/>
    <x v="22"/>
    <s v="false"/>
    <s v="Blumenau Corrida"/>
    <n v="18.399999999999999"/>
    <n v="1332"/>
    <d v="1899-12-30T02:00:01"/>
    <n v="167"/>
    <n v="192"/>
    <n v="5"/>
    <n v="154"/>
    <n v="244"/>
    <d v="1899-12-30T06:31:00"/>
    <d v="1899-12-30T05:31:00"/>
    <n v="409"/>
    <n v="377"/>
    <n v="1"/>
    <n v="0"/>
    <n v="0"/>
    <n v="0"/>
    <n v="0"/>
    <n v="0"/>
    <s v="--"/>
    <s v="--"/>
    <d v="1899-12-30T02:00:01"/>
    <d v="1899-12-30T00:00:00"/>
    <n v="0"/>
    <d v="1899-12-30T00:00:00"/>
    <s v="Não"/>
    <s v="02:23.79"/>
    <n v="19"/>
    <n v="0"/>
    <d v="1899-12-30T01:59:49"/>
    <d v="1899-12-30T02:00:01"/>
    <n v="17"/>
    <n v="160"/>
  </r>
  <r>
    <s v="Treino de força"/>
    <x v="23"/>
    <s v="false"/>
    <s v="Força"/>
    <n v="0"/>
    <n v="310"/>
    <d v="1899-12-30T01:03:07"/>
    <n v="114"/>
    <n v="146"/>
    <n v="1.4"/>
    <s v="--"/>
    <s v="--"/>
    <s v="--"/>
    <s v="--"/>
    <s v="--"/>
    <s v="--"/>
    <n v="0"/>
    <n v="0"/>
    <n v="0"/>
    <n v="0"/>
    <n v="0"/>
    <n v="0"/>
    <n v="209"/>
    <n v="28"/>
    <d v="1899-12-30T01:03:07"/>
    <d v="1899-12-30T00:00:00"/>
    <n v="0"/>
    <d v="1899-12-30T00:00:00"/>
    <s v="Não"/>
    <s v="01:03:07.04"/>
    <n v="1"/>
    <n v="0"/>
    <d v="1899-12-30T00:28:09"/>
    <d v="1899-12-30T01:03:07"/>
    <s v="--"/>
    <s v="--"/>
  </r>
  <r>
    <s v="Corrida em esteira"/>
    <x v="24"/>
    <s v="false"/>
    <s v="10k - 90 a 95%"/>
    <n v="10.01"/>
    <n v="693"/>
    <d v="1899-12-30T01:01:09"/>
    <n v="165"/>
    <n v="179"/>
    <n v="5"/>
    <n v="158"/>
    <n v="167"/>
    <d v="1899-12-30T06:06:00"/>
    <d v="1899-12-30T04:38:00"/>
    <s v="--"/>
    <s v="--"/>
    <n v="1.04"/>
    <n v="0"/>
    <n v="0"/>
    <n v="0"/>
    <n v="0"/>
    <n v="0"/>
    <s v="--"/>
    <s v="--"/>
    <d v="1899-12-30T01:01:09"/>
    <d v="1899-12-30T00:00:00"/>
    <n v="0"/>
    <d v="1899-12-30T00:00:00"/>
    <s v="Não"/>
    <s v="00:04.95"/>
    <n v="11"/>
    <n v="0"/>
    <d v="1899-12-30T01:00:22"/>
    <d v="1899-12-30T01:01:09"/>
    <s v="--"/>
    <s v="--"/>
  </r>
  <r>
    <s v="Corrida em esteira"/>
    <x v="25"/>
    <s v="false"/>
    <s v="6 x 500m com intervalo 2min para"/>
    <n v="7.2"/>
    <n v="471"/>
    <d v="1899-12-30T00:54:02"/>
    <n v="144"/>
    <n v="184"/>
    <n v="3.1"/>
    <n v="130"/>
    <n v="170"/>
    <d v="1899-12-30T07:30:00"/>
    <d v="1899-12-30T04:26:00"/>
    <s v="--"/>
    <s v="--"/>
    <n v="0.93"/>
    <n v="0"/>
    <n v="0"/>
    <n v="0"/>
    <n v="0"/>
    <n v="0"/>
    <s v="--"/>
    <s v="--"/>
    <d v="1900-01-01T06:02:00"/>
    <d v="1899-12-30T00:00:00"/>
    <n v="0"/>
    <d v="1899-12-30T00:00:00"/>
    <s v="Não"/>
    <s v="00:03.37"/>
    <n v="17"/>
    <n v="0"/>
    <d v="1899-12-30T00:42:51"/>
    <d v="1899-12-30T00:54:02"/>
    <s v="--"/>
    <s v="--"/>
  </r>
  <r>
    <s v="Treino de força"/>
    <x v="26"/>
    <s v="false"/>
    <s v="Força"/>
    <n v="0"/>
    <n v="262"/>
    <d v="1899-12-30T00:58:08"/>
    <n v="110"/>
    <n v="150"/>
    <n v="1.5"/>
    <s v="--"/>
    <s v="--"/>
    <s v="--"/>
    <s v="--"/>
    <s v="--"/>
    <s v="--"/>
    <n v="0"/>
    <n v="0"/>
    <n v="0"/>
    <n v="0"/>
    <n v="0"/>
    <n v="0"/>
    <n v="332"/>
    <n v="28"/>
    <d v="1900-01-01T10:08:00"/>
    <d v="1899-12-30T00:00:00"/>
    <n v="0"/>
    <d v="1899-12-30T00:00:00"/>
    <s v="Não"/>
    <s v="58:07.55"/>
    <n v="1"/>
    <n v="0"/>
    <d v="1899-12-30T00:27:58"/>
    <d v="1899-12-30T00:58:08"/>
    <s v="--"/>
    <s v="--"/>
  </r>
  <r>
    <s v="Corrida"/>
    <x v="27"/>
    <s v="false"/>
    <s v="Blumenau Corrida"/>
    <n v="13.67"/>
    <n v="1054"/>
    <d v="1899-12-30T01:30:01"/>
    <n v="174"/>
    <n v="205"/>
    <n v="5"/>
    <n v="143"/>
    <n v="244"/>
    <d v="1899-12-30T06:35:00"/>
    <d v="1899-12-30T04:15:00"/>
    <n v="327"/>
    <n v="335"/>
    <n v="1.07"/>
    <n v="0"/>
    <n v="0"/>
    <n v="0"/>
    <n v="0"/>
    <n v="0"/>
    <s v="--"/>
    <s v="--"/>
    <d v="1899-12-30T01:30:01"/>
    <d v="1899-12-30T00:00:00"/>
    <n v="0"/>
    <d v="1899-12-30T00:00:00"/>
    <s v="Não"/>
    <s v="04:05.35"/>
    <n v="14"/>
    <n v="0"/>
    <d v="1899-12-30T01:29:48"/>
    <d v="1899-12-30T01:30:01"/>
    <n v="16"/>
    <n v="123"/>
  </r>
  <r>
    <s v="Corrida"/>
    <x v="28"/>
    <s v="false"/>
    <s v="Blumenau - 10 x 400 - intervalo 1 minuto"/>
    <n v="8.65"/>
    <n v="600"/>
    <d v="1899-12-30T00:57:16"/>
    <n v="159"/>
    <n v="183"/>
    <n v="4.5999999999999996"/>
    <n v="146"/>
    <n v="249"/>
    <d v="1899-12-30T06:37:00"/>
    <d v="1899-12-30T03:53:00"/>
    <n v="22"/>
    <n v="33"/>
    <n v="1.03"/>
    <n v="0"/>
    <n v="0"/>
    <n v="0"/>
    <n v="0"/>
    <n v="0"/>
    <s v="--"/>
    <s v="--"/>
    <d v="1900-01-01T09:16:00"/>
    <d v="1899-12-30T00:00:00"/>
    <n v="0"/>
    <d v="1899-12-30T00:00:00"/>
    <s v="Não"/>
    <s v="00:04.31"/>
    <n v="25"/>
    <n v="0"/>
    <d v="1899-12-30T00:53:53"/>
    <d v="1899-12-30T00:57:16"/>
    <n v="7"/>
    <n v="25"/>
  </r>
  <r>
    <s v="Corrida"/>
    <x v="29"/>
    <s v="false"/>
    <s v="Blumenau - 10k - 90 a 95%"/>
    <n v="10.02"/>
    <n v="706"/>
    <d v="1899-12-30T01:01:55"/>
    <n v="168"/>
    <n v="190"/>
    <n v="5"/>
    <n v="156"/>
    <n v="170"/>
    <d v="1899-12-30T06:11:00"/>
    <d v="1899-12-30T05:15:00"/>
    <n v="76"/>
    <n v="76"/>
    <n v="1.04"/>
    <n v="0"/>
    <n v="0"/>
    <n v="0"/>
    <n v="0"/>
    <n v="0"/>
    <s v="--"/>
    <s v="--"/>
    <d v="1899-12-30T01:01:55"/>
    <d v="1899-12-30T00:00:00"/>
    <n v="0"/>
    <d v="1899-12-30T00:00:00"/>
    <s v="Não"/>
    <s v="00:06.79"/>
    <n v="11"/>
    <n v="0"/>
    <d v="1899-12-30T01:01:52"/>
    <d v="1899-12-30T01:01:55"/>
    <n v="12"/>
    <n v="42"/>
  </r>
  <r>
    <s v="Treino de força"/>
    <x v="30"/>
    <s v="false"/>
    <s v="Força"/>
    <n v="0"/>
    <n v="242"/>
    <d v="1899-12-30T00:57:44"/>
    <n v="110"/>
    <n v="157"/>
    <n v="1.6"/>
    <s v="--"/>
    <s v="--"/>
    <s v="--"/>
    <s v="--"/>
    <s v="--"/>
    <s v="--"/>
    <n v="0"/>
    <n v="0"/>
    <n v="0"/>
    <n v="0"/>
    <n v="0"/>
    <n v="0"/>
    <n v="368"/>
    <n v="31"/>
    <d v="1900-01-01T09:44:00"/>
    <d v="1899-12-30T00:00:00"/>
    <n v="0"/>
    <d v="1899-12-30T00:00:00"/>
    <s v="Não"/>
    <s v="57:43.69"/>
    <n v="1"/>
    <n v="0"/>
    <d v="1899-12-30T00:27:05"/>
    <d v="1899-12-30T00:57:54"/>
    <s v="--"/>
    <s v="--"/>
  </r>
  <r>
    <s v="Corrida"/>
    <x v="31"/>
    <s v="false"/>
    <s v="Blumenau Corrida"/>
    <n v="16.010000000000002"/>
    <n v="1056"/>
    <d v="1899-12-30T01:42:50"/>
    <n v="163"/>
    <n v="185"/>
    <n v="5"/>
    <n v="154"/>
    <n v="168"/>
    <d v="1899-12-30T06:25:00"/>
    <d v="1899-12-30T05:22:00"/>
    <n v="273"/>
    <n v="282"/>
    <n v="1.01"/>
    <n v="0"/>
    <n v="0"/>
    <n v="0"/>
    <n v="0"/>
    <n v="0"/>
    <s v="--"/>
    <s v="--"/>
    <d v="1899-12-30T01:42:50"/>
    <d v="1899-12-30T00:00:00"/>
    <n v="0"/>
    <d v="1899-12-30T00:00:00"/>
    <s v="Não"/>
    <s v="00:02.42"/>
    <n v="17"/>
    <n v="0"/>
    <d v="1899-12-30T01:42:46"/>
    <d v="1899-12-30T01:42:50"/>
    <n v="17"/>
    <n v="114"/>
  </r>
  <r>
    <s v="Treino de força"/>
    <x v="32"/>
    <s v="false"/>
    <s v="Força"/>
    <n v="0"/>
    <n v="251"/>
    <d v="1899-12-30T01:00:10"/>
    <n v="113"/>
    <n v="137"/>
    <n v="1.3"/>
    <s v="--"/>
    <s v="--"/>
    <s v="--"/>
    <s v="--"/>
    <s v="--"/>
    <s v="--"/>
    <n v="0"/>
    <n v="0"/>
    <n v="0"/>
    <n v="0"/>
    <n v="0"/>
    <n v="0"/>
    <n v="299"/>
    <n v="45"/>
    <d v="1899-12-30T01:00:10"/>
    <d v="1899-12-30T00:00:00"/>
    <n v="0"/>
    <d v="1899-12-30T00:00:00"/>
    <s v="Não"/>
    <s v="01:00:09.53"/>
    <n v="1"/>
    <n v="0"/>
    <d v="1899-12-30T00:25:43"/>
    <d v="1899-12-30T01:00:10"/>
    <s v="--"/>
    <s v="--"/>
  </r>
  <r>
    <s v="Corrida"/>
    <x v="33"/>
    <s v="false"/>
    <s v="Blumenau Corrida"/>
    <n v="10"/>
    <n v="841"/>
    <d v="1899-12-30T01:03:19"/>
    <n v="165"/>
    <n v="183"/>
    <s v="--"/>
    <s v="--"/>
    <s v="--"/>
    <d v="1899-12-30T06:20:00"/>
    <d v="1899-12-30T03:00:00"/>
    <n v="85"/>
    <n v="89"/>
    <n v="0"/>
    <n v="0"/>
    <n v="0"/>
    <n v="0"/>
    <n v="0"/>
    <n v="0"/>
    <s v="--"/>
    <s v="--"/>
    <d v="1899-12-30T01:03:19"/>
    <d v="1899-12-30T00:00:00"/>
    <n v="0"/>
    <d v="1899-12-30T00:00:00"/>
    <s v="Não"/>
    <s v="00:01.41"/>
    <n v="11"/>
    <n v="0"/>
    <d v="1899-12-30T01:02:18"/>
    <d v="1899-12-30T01:03:19"/>
    <n v="14"/>
    <n v="40"/>
  </r>
  <r>
    <s v="Corrida"/>
    <x v="34"/>
    <s v="false"/>
    <s v="Blumenau Corrida"/>
    <n v="9.2100000000000009"/>
    <n v="742"/>
    <d v="1899-12-30T00:59:57"/>
    <n v="159"/>
    <n v="182"/>
    <s v="--"/>
    <s v="--"/>
    <s v="--"/>
    <d v="1899-12-30T06:31:00"/>
    <d v="1899-12-30T00:52:00"/>
    <n v="32"/>
    <n v="32"/>
    <n v="0"/>
    <n v="0"/>
    <n v="0"/>
    <n v="0"/>
    <n v="0"/>
    <n v="0"/>
    <s v="--"/>
    <s v="--"/>
    <d v="1900-01-01T11:57:00"/>
    <d v="1899-12-30T00:00:00"/>
    <n v="0"/>
    <d v="1899-12-30T00:00:00"/>
    <s v="Não"/>
    <s v="00:56.73"/>
    <n v="14"/>
    <n v="0"/>
    <d v="1899-12-30T00:59:18"/>
    <d v="1899-12-30T00:59:57"/>
    <n v="10"/>
    <n v="25"/>
  </r>
  <r>
    <s v="Corrida"/>
    <x v="35"/>
    <s v="false"/>
    <s v="Blumenau Corrida"/>
    <n v="10.08"/>
    <n v="826"/>
    <d v="1899-12-30T01:00:51"/>
    <n v="167"/>
    <n v="184"/>
    <s v="--"/>
    <s v="--"/>
    <s v="--"/>
    <d v="1899-12-30T06:02:00"/>
    <d v="1899-12-30T04:27:00"/>
    <n v="37"/>
    <n v="50"/>
    <n v="0"/>
    <n v="0"/>
    <n v="0"/>
    <n v="0"/>
    <n v="0"/>
    <n v="0"/>
    <s v="--"/>
    <s v="--"/>
    <d v="1899-12-30T01:00:51"/>
    <d v="1899-12-30T00:00:00"/>
    <n v="0"/>
    <d v="1899-12-30T00:00:00"/>
    <s v="Não"/>
    <s v="02:59.52"/>
    <n v="9"/>
    <n v="0"/>
    <d v="1899-12-30T01:00:49"/>
    <d v="1899-12-30T01:00:51"/>
    <n v="9"/>
    <n v="26"/>
  </r>
  <r>
    <s v="Corrida"/>
    <x v="36"/>
    <s v="false"/>
    <s v="Blumenau Corrida"/>
    <n v="11.24"/>
    <n v="953"/>
    <d v="1899-12-30T01:12:08"/>
    <n v="164"/>
    <n v="179"/>
    <s v="--"/>
    <s v="--"/>
    <s v="--"/>
    <d v="1899-12-30T06:25:00"/>
    <d v="1899-12-30T01:45:00"/>
    <n v="125"/>
    <n v="131"/>
    <n v="0"/>
    <n v="0"/>
    <n v="0"/>
    <n v="0"/>
    <n v="0"/>
    <n v="0"/>
    <s v="--"/>
    <s v="--"/>
    <d v="1899-12-30T01:12:08"/>
    <d v="1899-12-30T00:00:00"/>
    <n v="0"/>
    <d v="1899-12-30T00:00:00"/>
    <s v="Não"/>
    <s v="01:30.82"/>
    <n v="12"/>
    <n v="0"/>
    <d v="1899-12-30T01:12:04"/>
    <d v="1899-12-30T01:12:08"/>
    <n v="15"/>
    <n v="59"/>
  </r>
  <r>
    <s v="Corrida"/>
    <x v="37"/>
    <s v="false"/>
    <s v="Blumenau Corrida"/>
    <n v="9.01"/>
    <n v="701"/>
    <d v="1899-12-30T00:54:32"/>
    <n v="162"/>
    <n v="187"/>
    <s v="--"/>
    <s v="--"/>
    <s v="--"/>
    <d v="1899-12-30T06:03:00"/>
    <d v="1899-12-30T03:57:00"/>
    <n v="29"/>
    <n v="43"/>
    <n v="0"/>
    <n v="0"/>
    <n v="0"/>
    <n v="0"/>
    <n v="0"/>
    <n v="0"/>
    <s v="--"/>
    <s v="--"/>
    <d v="1900-01-01T06:32:00"/>
    <d v="1899-12-30T00:00:00"/>
    <n v="0"/>
    <d v="1899-12-30T00:00:00"/>
    <s v="Não"/>
    <s v="00:02.00"/>
    <n v="10"/>
    <n v="0"/>
    <d v="1899-12-30T00:54:31"/>
    <d v="1899-12-30T00:54:32"/>
    <n v="12"/>
    <n v="28"/>
  </r>
  <r>
    <s v="Corrida"/>
    <x v="38"/>
    <s v="false"/>
    <s v="Blumenau Corrida"/>
    <n v="16.149999999999999"/>
    <n v="1374"/>
    <d v="1899-12-30T01:40:01"/>
    <n v="168"/>
    <n v="181"/>
    <s v="--"/>
    <s v="--"/>
    <s v="--"/>
    <d v="1899-12-30T06:11:00"/>
    <d v="1899-12-30T01:00:00"/>
    <n v="255"/>
    <n v="270"/>
    <n v="0"/>
    <n v="0"/>
    <n v="0"/>
    <n v="0"/>
    <n v="0"/>
    <n v="0"/>
    <s v="--"/>
    <s v="--"/>
    <d v="1899-12-30T01:40:01"/>
    <d v="1899-12-30T00:00:00"/>
    <n v="0"/>
    <d v="1899-12-30T00:00:00"/>
    <s v="Não"/>
    <s v="00:54.30"/>
    <n v="17"/>
    <n v="0"/>
    <d v="1899-12-30T01:39:55"/>
    <d v="1899-12-30T01:40:01"/>
    <n v="20"/>
    <n v="117"/>
  </r>
  <r>
    <s v="Corrida"/>
    <x v="39"/>
    <s v="false"/>
    <s v="Blumenau Corrida"/>
    <n v="7"/>
    <n v="573"/>
    <d v="1899-12-30T00:43:19"/>
    <n v="164"/>
    <n v="176"/>
    <s v="--"/>
    <s v="--"/>
    <s v="--"/>
    <d v="1899-12-30T06:11:00"/>
    <d v="1899-12-30T05:39:00"/>
    <n v="35"/>
    <n v="36"/>
    <n v="0"/>
    <n v="0"/>
    <n v="0"/>
    <n v="0"/>
    <n v="0"/>
    <n v="0"/>
    <s v="--"/>
    <s v="--"/>
    <d v="1899-12-31T19:19:00"/>
    <d v="1899-12-30T00:00:00"/>
    <n v="0"/>
    <d v="1899-12-30T00:00:00"/>
    <s v="Não"/>
    <s v="00:00.63"/>
    <n v="8"/>
    <n v="0"/>
    <d v="1899-12-30T00:43:17"/>
    <d v="1899-12-30T00:43:19"/>
    <n v="12"/>
    <n v="29"/>
  </r>
  <r>
    <s v="Corrida"/>
    <x v="40"/>
    <s v="false"/>
    <s v="Blumenau Corrida"/>
    <n v="10"/>
    <n v="863"/>
    <d v="1899-12-30T01:02:00"/>
    <n v="169"/>
    <n v="185"/>
    <s v="--"/>
    <s v="--"/>
    <s v="--"/>
    <d v="1899-12-30T06:12:00"/>
    <d v="1899-12-30T05:16:00"/>
    <n v="64"/>
    <n v="64"/>
    <n v="0"/>
    <n v="0"/>
    <n v="0"/>
    <n v="0"/>
    <n v="0"/>
    <n v="0"/>
    <s v="--"/>
    <s v="--"/>
    <d v="1899-12-30T01:02:00"/>
    <d v="1899-12-30T00:00:00"/>
    <n v="0"/>
    <d v="1899-12-30T00:00:00"/>
    <s v="Não"/>
    <s v="06:00.32"/>
    <n v="10"/>
    <n v="0"/>
    <d v="1899-12-30T01:01:57"/>
    <d v="1899-12-30T01:02:00"/>
    <n v="10"/>
    <n v="34"/>
  </r>
  <r>
    <s v="Corrida"/>
    <x v="41"/>
    <s v="false"/>
    <s v="Blumenau Corrida"/>
    <n v="10"/>
    <n v="826"/>
    <d v="1899-12-30T01:02:14"/>
    <n v="165"/>
    <n v="181"/>
    <s v="--"/>
    <s v="--"/>
    <s v="--"/>
    <d v="1899-12-30T06:13:00"/>
    <d v="1899-12-30T05:01:00"/>
    <n v="57"/>
    <n v="51"/>
    <n v="0"/>
    <n v="0"/>
    <n v="0"/>
    <n v="0"/>
    <n v="0"/>
    <n v="0"/>
    <s v="--"/>
    <s v="--"/>
    <d v="1899-12-30T01:02:14"/>
    <d v="1899-12-30T00:00:00"/>
    <n v="0"/>
    <d v="1899-12-30T00:00:00"/>
    <s v="Não"/>
    <s v="02:40.24"/>
    <n v="11"/>
    <n v="0"/>
    <d v="1899-12-30T01:02:12"/>
    <d v="1899-12-30T01:02:14"/>
    <n v="10"/>
    <n v="34"/>
  </r>
  <r>
    <s v="Corrida"/>
    <x v="42"/>
    <s v="false"/>
    <s v="Blumenau Corrida"/>
    <n v="8"/>
    <n v="649"/>
    <d v="1899-12-30T00:50:18"/>
    <n v="163"/>
    <n v="181"/>
    <s v="--"/>
    <s v="--"/>
    <s v="--"/>
    <d v="1899-12-30T06:17:00"/>
    <d v="1899-12-30T04:41:00"/>
    <n v="23"/>
    <n v="18"/>
    <n v="0"/>
    <n v="0"/>
    <n v="0"/>
    <n v="0"/>
    <n v="0"/>
    <n v="0"/>
    <s v="--"/>
    <s v="--"/>
    <d v="1900-01-01T02:18:00"/>
    <d v="1899-12-30T00:00:00"/>
    <n v="0"/>
    <d v="1899-12-30T00:00:00"/>
    <s v="Não"/>
    <s v="00:59.48"/>
    <n v="14"/>
    <n v="0"/>
    <d v="1899-12-30T00:44:34"/>
    <d v="1899-12-30T00:50:18"/>
    <n v="12"/>
    <n v="22"/>
  </r>
  <r>
    <s v="Corrida"/>
    <x v="43"/>
    <s v="false"/>
    <s v="Blumenau Corrida"/>
    <n v="15.01"/>
    <n v="1358"/>
    <d v="1899-12-30T01:34:50"/>
    <n v="172"/>
    <n v="187"/>
    <s v="--"/>
    <s v="--"/>
    <s v="--"/>
    <d v="1899-12-30T06:19:00"/>
    <d v="1899-12-30T03:28:00"/>
    <n v="205"/>
    <n v="198"/>
    <n v="0"/>
    <n v="0"/>
    <n v="0"/>
    <n v="0"/>
    <n v="0"/>
    <n v="0"/>
    <s v="--"/>
    <s v="--"/>
    <d v="1899-12-30T01:34:50"/>
    <d v="1899-12-30T00:00:00"/>
    <n v="0"/>
    <d v="1899-12-30T00:00:00"/>
    <s v="Não"/>
    <s v="00:02.74"/>
    <n v="16"/>
    <n v="0"/>
    <d v="1899-12-30T01:34:47"/>
    <d v="1899-12-30T01:34:50"/>
    <n v="14"/>
    <n v="60"/>
  </r>
  <r>
    <s v="Corrida"/>
    <x v="44"/>
    <s v="false"/>
    <s v="Blumenau Corrida"/>
    <n v="8.01"/>
    <n v="649"/>
    <d v="1899-12-30T00:48:55"/>
    <n v="165"/>
    <n v="229"/>
    <s v="--"/>
    <s v="--"/>
    <s v="--"/>
    <d v="1899-12-30T06:06:00"/>
    <d v="1899-12-30T02:25:00"/>
    <n v="92"/>
    <n v="92"/>
    <n v="0"/>
    <n v="0"/>
    <n v="0"/>
    <n v="0"/>
    <n v="0"/>
    <n v="0"/>
    <s v="--"/>
    <s v="--"/>
    <d v="1900-01-01T00:55:00"/>
    <d v="1899-12-30T00:00:00"/>
    <n v="0"/>
    <d v="1899-12-30T00:00:00"/>
    <s v="Não"/>
    <s v="00:02.84"/>
    <n v="9"/>
    <n v="0"/>
    <d v="1899-12-30T00:48:52"/>
    <d v="1899-12-30T00:48:55"/>
    <n v="10"/>
    <n v="37"/>
  </r>
  <r>
    <s v="Corrida"/>
    <x v="45"/>
    <s v="false"/>
    <s v="Blumenau Corrida"/>
    <n v="10.01"/>
    <n v="877"/>
    <d v="1899-12-30T00:58:41"/>
    <n v="176"/>
    <n v="184"/>
    <s v="--"/>
    <s v="--"/>
    <s v="--"/>
    <d v="1899-12-30T05:52:00"/>
    <d v="1899-12-30T04:01:00"/>
    <n v="32"/>
    <n v="39"/>
    <n v="0"/>
    <n v="0"/>
    <n v="0"/>
    <n v="0"/>
    <n v="0"/>
    <n v="0"/>
    <s v="--"/>
    <s v="--"/>
    <d v="1900-01-01T10:41:00"/>
    <d v="1899-12-30T00:00:00"/>
    <n v="0"/>
    <d v="1899-12-30T00:00:00"/>
    <s v="Não"/>
    <s v="00:02.73"/>
    <n v="11"/>
    <n v="0"/>
    <d v="1899-12-30T00:58:39"/>
    <d v="1899-12-30T00:58:41"/>
    <n v="10"/>
    <n v="26"/>
  </r>
  <r>
    <s v="Corrida"/>
    <x v="46"/>
    <s v="false"/>
    <s v="Blumenau Corrida"/>
    <n v="5.03"/>
    <n v="414"/>
    <d v="1899-12-30T00:34:56"/>
    <n v="156"/>
    <n v="180"/>
    <s v="--"/>
    <s v="--"/>
    <s v="--"/>
    <d v="1899-12-30T06:56:00"/>
    <d v="1899-12-30T04:00:00"/>
    <n v="103"/>
    <n v="102"/>
    <n v="0"/>
    <n v="0"/>
    <n v="0"/>
    <n v="0"/>
    <n v="0"/>
    <n v="0"/>
    <s v="--"/>
    <s v="--"/>
    <d v="1899-12-31T10:56:00"/>
    <d v="1899-12-30T00:00:00"/>
    <n v="0"/>
    <d v="1899-12-30T00:00:00"/>
    <s v="Não"/>
    <s v="02:19.44"/>
    <n v="8"/>
    <n v="0"/>
    <d v="1899-12-30T00:29:10"/>
    <d v="1899-12-30T00:34:56"/>
    <n v="11"/>
    <n v="25"/>
  </r>
  <r>
    <s v="Corrida"/>
    <x v="47"/>
    <s v="false"/>
    <s v="Corrida"/>
    <n v="0.01"/>
    <s v="--"/>
    <d v="1899-12-30T00:00:06"/>
    <n v="66"/>
    <n v="70"/>
    <n v="1"/>
    <n v="60"/>
    <n v="120"/>
    <d v="1899-12-30T13:13:00"/>
    <d v="1899-12-30T07:28:00"/>
    <s v="--"/>
    <s v="--"/>
    <n v="1.26"/>
    <n v="0"/>
    <n v="0"/>
    <n v="0"/>
    <n v="0"/>
    <n v="0"/>
    <s v="--"/>
    <s v="--"/>
    <d v="1899-12-30T00:00:06"/>
    <d v="1899-12-30T00:00:00"/>
    <n v="0"/>
    <d v="1899-12-30T00:00:00"/>
    <s v="Não"/>
    <s v="00:01.16"/>
    <n v="2"/>
    <n v="0"/>
    <d v="1899-12-30T00:00:03"/>
    <d v="1899-12-30T00:00:19"/>
    <s v="--"/>
    <s v="--"/>
  </r>
  <r>
    <s v="Corrida"/>
    <x v="48"/>
    <s v="false"/>
    <s v="Blumenau - Run Workout"/>
    <n v="7.01"/>
    <n v="471"/>
    <d v="1899-12-30T00:38:21"/>
    <n v="179"/>
    <n v="190"/>
    <n v="4.5999999999999996"/>
    <n v="166"/>
    <n v="174"/>
    <d v="1899-12-30T05:28:00"/>
    <d v="1899-12-30T05:12:00"/>
    <n v="3"/>
    <n v="17"/>
    <n v="1.1000000000000001"/>
    <n v="0"/>
    <n v="0"/>
    <n v="0"/>
    <n v="0"/>
    <n v="0"/>
    <s v="--"/>
    <s v="--"/>
    <d v="1899-12-31T14:21:00"/>
    <d v="1899-12-30T00:00:00"/>
    <n v="0"/>
    <d v="1899-12-30T00:00:00"/>
    <s v="Não"/>
    <s v="00:04.80"/>
    <n v="2"/>
    <n v="0"/>
    <d v="1899-12-30T00:38:21"/>
    <d v="1899-12-30T00:38:21"/>
    <n v="12"/>
    <n v="28"/>
  </r>
  <r>
    <s v="Corrida"/>
    <x v="49"/>
    <s v="false"/>
    <s v="Corrida"/>
    <n v="10.029999999999999"/>
    <n v="663"/>
    <d v="1899-12-30T00:57:27"/>
    <n v="174"/>
    <n v="188"/>
    <n v="5"/>
    <n v="160"/>
    <n v="168"/>
    <d v="1899-12-30T05:44:00"/>
    <d v="1899-12-30T04:49:00"/>
    <s v="--"/>
    <s v="--"/>
    <n v="1.0900000000000001"/>
    <n v="0"/>
    <n v="0"/>
    <n v="0"/>
    <n v="0"/>
    <n v="0"/>
    <s v="--"/>
    <s v="--"/>
    <d v="1900-01-01T09:27:00"/>
    <d v="1899-12-30T00:00:00"/>
    <n v="0"/>
    <d v="1899-12-30T00:00:00"/>
    <s v="Não"/>
    <s v="00:08.53"/>
    <n v="11"/>
    <n v="0"/>
    <d v="1899-12-30T00:57:26"/>
    <d v="1899-12-30T00:57:27"/>
    <s v="--"/>
    <s v="--"/>
  </r>
  <r>
    <s v="Corrida"/>
    <x v="50"/>
    <s v="false"/>
    <s v="Blumenau - 15 x 400 - intervalo 1 minuto caminhando"/>
    <n v="11.35"/>
    <n v="774"/>
    <d v="1899-12-30T01:10:25"/>
    <n v="168"/>
    <n v="187"/>
    <n v="5"/>
    <n v="154"/>
    <n v="175"/>
    <d v="1899-12-30T06:12:00"/>
    <d v="1899-12-30T02:30:00"/>
    <n v="13"/>
    <n v="20"/>
    <n v="1.03"/>
    <n v="0"/>
    <n v="0"/>
    <n v="0"/>
    <n v="0"/>
    <n v="0"/>
    <s v="--"/>
    <s v="--"/>
    <d v="1899-12-30T01:10:25"/>
    <d v="1899-12-30T00:00:00"/>
    <n v="0"/>
    <d v="1899-12-30T00:00:00"/>
    <s v="Não"/>
    <s v="00:01.31"/>
    <n v="33"/>
    <n v="0"/>
    <d v="1899-12-30T01:10:08"/>
    <d v="1899-12-30T01:10:25"/>
    <n v="9"/>
    <n v="26"/>
  </r>
  <r>
    <s v="Corrida"/>
    <x v="51"/>
    <s v="false"/>
    <s v="Blumenau - 4 x 2km com intervalo 3min caminhando"/>
    <n v="11.18"/>
    <n v="687"/>
    <d v="1899-12-30T01:08:33"/>
    <n v="165"/>
    <n v="186"/>
    <n v="4.0999999999999996"/>
    <n v="150"/>
    <n v="171"/>
    <d v="1899-12-30T06:08:00"/>
    <d v="1899-12-30T04:36:00"/>
    <n v="35"/>
    <n v="37"/>
    <n v="1.08"/>
    <n v="0"/>
    <n v="0"/>
    <n v="0"/>
    <n v="0"/>
    <n v="0"/>
    <s v="--"/>
    <s v="--"/>
    <d v="1899-12-30T01:08:33"/>
    <d v="1899-12-30T00:00:00"/>
    <n v="0"/>
    <d v="1899-12-30T00:00:00"/>
    <s v="Não"/>
    <s v="03:00.00"/>
    <n v="10"/>
    <n v="0"/>
    <d v="1899-12-30T01:08:32"/>
    <d v="1899-12-30T01:08:51"/>
    <n v="9"/>
    <n v="25"/>
  </r>
  <r>
    <s v="Corrida"/>
    <x v="52"/>
    <s v="false"/>
    <s v="Blumenau - 12 x 300m moderado/forte com 100m leve"/>
    <n v="8.3000000000000007"/>
    <n v="484"/>
    <d v="1899-12-30T00:57:04"/>
    <n v="157"/>
    <n v="229"/>
    <s v="--"/>
    <n v="142"/>
    <n v="177"/>
    <d v="1899-12-30T06:52:00"/>
    <d v="1899-12-30T03:47:00"/>
    <n v="35"/>
    <n v="37"/>
    <n v="1"/>
    <n v="0"/>
    <n v="0"/>
    <n v="0"/>
    <n v="0"/>
    <n v="0"/>
    <s v="--"/>
    <s v="--"/>
    <d v="1900-01-01T09:04:00"/>
    <d v="1899-12-30T00:00:00"/>
    <n v="0"/>
    <d v="1899-12-30T00:00:00"/>
    <s v="Não"/>
    <s v="00:45.62"/>
    <n v="27"/>
    <n v="0"/>
    <d v="1899-12-30T00:56:45"/>
    <d v="1899-12-30T00:57:04"/>
    <n v="9"/>
    <n v="26"/>
  </r>
  <r>
    <s v="Corrida"/>
    <x v="53"/>
    <s v="false"/>
    <s v="Blumenau Corrida"/>
    <n v="12.34"/>
    <n v="904"/>
    <d v="1899-12-30T01:20:02"/>
    <n v="173"/>
    <n v="188"/>
    <n v="5"/>
    <n v="152"/>
    <n v="169"/>
    <d v="1899-12-30T06:29:00"/>
    <d v="1899-12-30T05:23:00"/>
    <n v="156"/>
    <n v="165"/>
    <n v="1.01"/>
    <n v="0"/>
    <n v="0"/>
    <n v="0"/>
    <n v="0"/>
    <n v="0"/>
    <s v="--"/>
    <s v="--"/>
    <d v="1899-12-30T01:20:02"/>
    <d v="1899-12-30T00:00:00"/>
    <n v="0"/>
    <d v="1899-12-30T00:00:00"/>
    <s v="Não"/>
    <s v="02:03.27"/>
    <n v="13"/>
    <n v="0"/>
    <d v="1899-12-30T01:20:00"/>
    <d v="1899-12-30T01:20:02"/>
    <n v="16"/>
    <n v="109"/>
  </r>
  <r>
    <s v="Corrida"/>
    <x v="54"/>
    <s v="false"/>
    <s v="Blumenau - Progressivo - leve p/ forte"/>
    <n v="6.01"/>
    <n v="396"/>
    <d v="1899-12-30T00:37:11"/>
    <n v="164"/>
    <n v="187"/>
    <n v="3.8"/>
    <n v="159"/>
    <n v="171"/>
    <d v="1899-12-30T06:11:00"/>
    <d v="1899-12-30T04:51:00"/>
    <s v="--"/>
    <n v="13"/>
    <n v="1.01"/>
    <n v="0"/>
    <n v="0"/>
    <n v="0"/>
    <n v="0"/>
    <n v="0"/>
    <s v="--"/>
    <s v="--"/>
    <d v="1899-12-31T13:11:00"/>
    <d v="1899-12-30T00:00:00"/>
    <n v="0"/>
    <d v="1899-12-30T00:00:00"/>
    <s v="Não"/>
    <s v="00:03.92"/>
    <n v="4"/>
    <n v="0"/>
    <d v="1899-12-30T00:37:11"/>
    <d v="1899-12-30T00:37:11"/>
    <n v="9"/>
    <n v="25"/>
  </r>
  <r>
    <s v="Corrida"/>
    <x v="55"/>
    <s v="false"/>
    <s v="Blumenau Corrida"/>
    <n v="9.42"/>
    <n v="693"/>
    <d v="1899-12-30T01:00:01"/>
    <n v="175"/>
    <n v="188"/>
    <n v="5"/>
    <n v="156"/>
    <n v="172"/>
    <d v="1899-12-30T06:22:00"/>
    <d v="1899-12-30T04:27:00"/>
    <n v="29"/>
    <n v="34"/>
    <n v="1.01"/>
    <n v="0"/>
    <n v="0"/>
    <n v="0"/>
    <n v="0"/>
    <n v="0"/>
    <s v="--"/>
    <s v="--"/>
    <d v="1899-12-30T01:00:01"/>
    <d v="1899-12-30T00:00:00"/>
    <n v="0"/>
    <d v="1899-12-30T00:00:00"/>
    <s v="Não"/>
    <s v="03:26.45"/>
    <n v="10"/>
    <n v="0"/>
    <d v="1899-12-30T00:59:59"/>
    <d v="1899-12-30T01:00:01"/>
    <n v="9"/>
    <n v="26"/>
  </r>
  <r>
    <s v="Corrida"/>
    <x v="56"/>
    <s v="false"/>
    <s v="Blumenau - 6 x 2:30 - 2:30 com 2km aquec e 2km desaquec"/>
    <n v="9.41"/>
    <n v="673"/>
    <d v="1899-12-30T01:02:37"/>
    <n v="168"/>
    <n v="192"/>
    <n v="4.5"/>
    <n v="151"/>
    <n v="171"/>
    <d v="1899-12-30T06:39:00"/>
    <d v="1899-12-30T04:13:00"/>
    <n v="12"/>
    <n v="14"/>
    <n v="0.99"/>
    <n v="0"/>
    <n v="0"/>
    <n v="0"/>
    <n v="0"/>
    <n v="0"/>
    <s v="--"/>
    <s v="--"/>
    <d v="1899-12-30T01:02:37"/>
    <d v="1899-12-30T00:00:00"/>
    <n v="0"/>
    <d v="1899-12-30T00:00:00"/>
    <s v="Não"/>
    <s v="02:30.00"/>
    <n v="15"/>
    <n v="0"/>
    <d v="1899-12-30T01:02:19"/>
    <d v="1899-12-30T01:02:37"/>
    <n v="12"/>
    <n v="30"/>
  </r>
  <r>
    <s v="Corrida"/>
    <x v="57"/>
    <s v="false"/>
    <s v="Blumenau Corrida"/>
    <n v="10.02"/>
    <n v="723"/>
    <d v="1899-12-30T01:07:48"/>
    <n v="164"/>
    <n v="185"/>
    <n v="4.2"/>
    <n v="148"/>
    <n v="166"/>
    <d v="1899-12-30T06:46:00"/>
    <d v="1899-12-30T05:35:00"/>
    <n v="115"/>
    <n v="121"/>
    <n v="1"/>
    <n v="0"/>
    <n v="0"/>
    <n v="0"/>
    <n v="0"/>
    <n v="0"/>
    <s v="--"/>
    <s v="--"/>
    <d v="1899-12-30T01:07:48"/>
    <d v="1899-12-30T00:00:00"/>
    <n v="0"/>
    <d v="1899-12-30T00:00:00"/>
    <s v="Não"/>
    <s v="00:04.70"/>
    <n v="11"/>
    <n v="0"/>
    <d v="1899-12-30T01:07:46"/>
    <d v="1899-12-30T01:07:48"/>
    <n v="17"/>
    <n v="51"/>
  </r>
  <r>
    <s v="Corrida"/>
    <x v="58"/>
    <s v="false"/>
    <s v="Blumenau Corrida"/>
    <n v="15.39"/>
    <n v="1115"/>
    <d v="1899-12-30T01:41:24"/>
    <n v="168"/>
    <n v="184"/>
    <n v="4.5999999999999996"/>
    <n v="146"/>
    <n v="170"/>
    <d v="1899-12-30T06:35:00"/>
    <d v="1899-12-30T05:19:00"/>
    <n v="289"/>
    <n v="268"/>
    <n v="1.03"/>
    <n v="0"/>
    <n v="0"/>
    <n v="0"/>
    <n v="0"/>
    <n v="0"/>
    <s v="--"/>
    <s v="--"/>
    <d v="1899-12-30T01:41:24"/>
    <d v="1899-12-30T00:00:00"/>
    <n v="0"/>
    <d v="1899-12-30T00:00:00"/>
    <s v="Não"/>
    <s v="02:10.21"/>
    <n v="16"/>
    <n v="0"/>
    <d v="1899-12-30T01:41:14"/>
    <d v="1899-12-30T01:41:24"/>
    <n v="17"/>
    <n v="126"/>
  </r>
  <r>
    <s v="Corrida"/>
    <x v="59"/>
    <s v="false"/>
    <s v="Blumenau Corrida"/>
    <n v="8.01"/>
    <n v="547"/>
    <d v="1899-12-30T00:49:14"/>
    <n v="166"/>
    <n v="181"/>
    <n v="4.0999999999999996"/>
    <n v="161"/>
    <n v="168"/>
    <d v="1899-12-30T06:09:00"/>
    <d v="1899-12-30T05:21:00"/>
    <n v="96"/>
    <n v="98"/>
    <n v="1.01"/>
    <n v="0"/>
    <n v="0"/>
    <n v="0"/>
    <n v="0"/>
    <n v="0"/>
    <s v="--"/>
    <s v="--"/>
    <d v="1900-01-01T01:14:00"/>
    <d v="1899-12-30T00:00:00"/>
    <n v="0"/>
    <d v="1899-12-30T00:00:00"/>
    <s v="Não"/>
    <s v="00:02.66"/>
    <n v="9"/>
    <n v="0"/>
    <d v="1899-12-30T00:49:12"/>
    <d v="1899-12-30T00:49:14"/>
    <n v="17"/>
    <n v="52"/>
  </r>
  <r>
    <s v="Corrida"/>
    <x v="60"/>
    <s v="false"/>
    <s v="Blumenau - 10 X 1'30 subida&quot;"/>
    <n v="7.77"/>
    <n v="528"/>
    <d v="1899-12-30T01:12:42"/>
    <n v="145"/>
    <n v="182"/>
    <n v="3.2"/>
    <n v="135"/>
    <n v="177"/>
    <d v="1899-12-30T09:22:00"/>
    <d v="1899-12-30T02:31:00"/>
    <n v="256"/>
    <n v="265"/>
    <n v="0.79"/>
    <n v="0"/>
    <n v="0"/>
    <n v="0"/>
    <n v="0"/>
    <n v="0"/>
    <s v="--"/>
    <s v="--"/>
    <d v="1899-12-30T01:12:42"/>
    <d v="1899-12-30T00:00:00"/>
    <n v="0"/>
    <d v="1899-12-30T00:00:00"/>
    <s v="Não"/>
    <s v="00:04.61"/>
    <n v="23"/>
    <n v="0"/>
    <d v="1899-12-30T01:11:02"/>
    <d v="1899-12-30T01:12:42"/>
    <n v="10"/>
    <n v="42"/>
  </r>
  <r>
    <s v="Corrida"/>
    <x v="61"/>
    <s v="false"/>
    <s v="Blumenau - 2 x 5km com intervalo 5min caminhando"/>
    <n v="11.15"/>
    <n v="704"/>
    <d v="1899-12-30T01:09:08"/>
    <n v="167"/>
    <n v="188"/>
    <n v="4.5"/>
    <n v="155"/>
    <n v="173"/>
    <d v="1899-12-30T06:12:00"/>
    <d v="1899-12-30T02:30:00"/>
    <n v="25"/>
    <n v="32"/>
    <n v="1.03"/>
    <n v="0"/>
    <n v="0"/>
    <n v="0"/>
    <n v="0"/>
    <n v="0"/>
    <s v="--"/>
    <s v="--"/>
    <d v="1899-12-30T01:09:08"/>
    <d v="1899-12-30T00:00:00"/>
    <n v="0"/>
    <d v="1899-12-30T00:00:00"/>
    <s v="Não"/>
    <s v="03:18.82"/>
    <n v="5"/>
    <n v="0"/>
    <d v="1899-12-30T01:09:02"/>
    <d v="1899-12-30T01:09:08"/>
    <n v="10"/>
    <n v="26"/>
  </r>
  <r>
    <s v="Corrida"/>
    <x v="62"/>
    <s v="false"/>
    <s v="Blumenau - 3 x 2km com intervalo 3min caminhando"/>
    <n v="9.27"/>
    <n v="548"/>
    <d v="1899-12-30T01:01:33"/>
    <n v="163"/>
    <n v="188"/>
    <n v="4.3"/>
    <n v="144"/>
    <n v="171"/>
    <d v="1899-12-30T06:38:00"/>
    <d v="1899-12-30T04:44:00"/>
    <n v="10"/>
    <n v="14"/>
    <n v="1.02"/>
    <n v="0"/>
    <n v="0"/>
    <n v="0"/>
    <n v="0"/>
    <n v="0"/>
    <s v="--"/>
    <s v="--"/>
    <d v="1899-12-30T01:01:33"/>
    <d v="1899-12-30T00:00:00"/>
    <n v="0"/>
    <d v="1899-12-30T00:00:00"/>
    <s v="Não"/>
    <s v="03:00.00"/>
    <n v="8"/>
    <n v="0"/>
    <d v="1899-12-30T01:01:32"/>
    <d v="1899-12-30T01:01:33"/>
    <n v="12"/>
    <n v="29"/>
  </r>
  <r>
    <s v="Corrida"/>
    <x v="63"/>
    <s v="false"/>
    <s v="Ilhota Corrida"/>
    <n v="9.32"/>
    <n v="349"/>
    <d v="1899-12-30T03:42:39"/>
    <s v="--"/>
    <s v="--"/>
    <s v="--"/>
    <n v="54"/>
    <n v="244"/>
    <d v="1899-12-30T23:53:00"/>
    <d v="1899-12-30T02:46:00"/>
    <n v="658"/>
    <n v="666"/>
    <n v="0.82"/>
    <n v="0"/>
    <n v="0"/>
    <n v="0"/>
    <n v="0"/>
    <n v="0"/>
    <s v="--"/>
    <s v="--"/>
    <d v="1899-12-30T03:42:39"/>
    <d v="1899-12-30T00:00:00"/>
    <n v="0"/>
    <d v="1899-12-30T00:00:00"/>
    <s v="Não"/>
    <s v="05:16.08"/>
    <n v="10"/>
    <n v="0"/>
    <d v="1899-12-30T01:55:57"/>
    <d v="1899-12-30T03:42:39"/>
    <n v="218"/>
    <n v="805"/>
  </r>
  <r>
    <s v="Corrida"/>
    <x v="64"/>
    <s v="false"/>
    <s v="Blumenau Corrida"/>
    <n v="14.01"/>
    <n v="1011"/>
    <d v="1899-12-30T01:33:35"/>
    <n v="169"/>
    <n v="186"/>
    <n v="5"/>
    <n v="147"/>
    <n v="180"/>
    <d v="1899-12-30T06:41:00"/>
    <d v="1899-12-30T04:44:00"/>
    <n v="224"/>
    <n v="233"/>
    <n v="1.02"/>
    <n v="0"/>
    <n v="0"/>
    <n v="0"/>
    <n v="0"/>
    <n v="0"/>
    <s v="--"/>
    <s v="--"/>
    <d v="1899-12-30T01:33:35"/>
    <d v="1899-12-30T00:00:00"/>
    <n v="0"/>
    <d v="1899-12-30T00:00:00"/>
    <s v="Não"/>
    <s v="00:05.93"/>
    <n v="15"/>
    <n v="0"/>
    <d v="1899-12-30T01:33:33"/>
    <d v="1899-12-30T01:33:35"/>
    <n v="16"/>
    <n v="111"/>
  </r>
  <r>
    <s v="Corrida"/>
    <x v="65"/>
    <s v="false"/>
    <s v="Blumenau - Run Workout"/>
    <n v="10.01"/>
    <n v="683"/>
    <d v="1899-12-30T01:00:54"/>
    <n v="172"/>
    <n v="186"/>
    <n v="5"/>
    <n v="155"/>
    <n v="171"/>
    <d v="1899-12-30T06:05:00"/>
    <d v="1899-12-30T02:01:00"/>
    <n v="158"/>
    <n v="161"/>
    <n v="1.06"/>
    <n v="0"/>
    <n v="0"/>
    <n v="0"/>
    <n v="0"/>
    <n v="0"/>
    <s v="--"/>
    <s v="--"/>
    <d v="1899-12-30T01:00:54"/>
    <d v="1899-12-30T00:00:00"/>
    <n v="0"/>
    <d v="1899-12-30T00:00:00"/>
    <s v="Não"/>
    <s v="00:03.16"/>
    <n v="2"/>
    <n v="0"/>
    <d v="1899-12-30T01:00:35"/>
    <d v="1899-12-30T01:00:54"/>
    <n v="-35"/>
    <n v="56"/>
  </r>
  <r>
    <s v="Corrida"/>
    <x v="66"/>
    <s v="false"/>
    <s v="Blumenau - 4 x 1km com intervalo 3min caminhando"/>
    <n v="9.44"/>
    <n v="593"/>
    <d v="1899-12-30T01:09:36"/>
    <n v="157"/>
    <n v="187"/>
    <n v="3.8"/>
    <n v="137"/>
    <n v="168"/>
    <d v="1899-12-30T07:22:00"/>
    <d v="1899-12-30T04:27:00"/>
    <n v="22"/>
    <n v="24"/>
    <n v="0.97"/>
    <n v="0"/>
    <n v="0"/>
    <n v="0"/>
    <n v="0"/>
    <n v="0"/>
    <s v="--"/>
    <s v="--"/>
    <d v="1899-12-30T01:09:36"/>
    <d v="1899-12-30T00:00:00"/>
    <n v="0"/>
    <d v="1899-12-30T00:00:00"/>
    <s v="Não"/>
    <s v="03:00.00"/>
    <n v="11"/>
    <n v="0"/>
    <d v="1899-12-30T01:07:23"/>
    <d v="1899-12-30T01:09:36"/>
    <n v="9"/>
    <n v="26"/>
  </r>
  <r>
    <s v="Corrida"/>
    <x v="67"/>
    <s v="false"/>
    <s v="Blumenau Corrida"/>
    <n v="12.52"/>
    <n v="960"/>
    <d v="1899-12-30T01:27:17"/>
    <n v="174"/>
    <n v="188"/>
    <n v="5"/>
    <n v="143"/>
    <n v="170"/>
    <d v="1899-12-30T06:58:00"/>
    <d v="1899-12-30T05:25:00"/>
    <n v="259"/>
    <n v="240"/>
    <n v="1"/>
    <n v="0"/>
    <n v="0"/>
    <n v="0"/>
    <n v="0"/>
    <n v="0"/>
    <s v="--"/>
    <s v="--"/>
    <d v="1899-12-30T01:27:17"/>
    <d v="1899-12-30T00:00:00"/>
    <n v="0"/>
    <d v="1899-12-30T00:00:00"/>
    <s v="Não"/>
    <s v="03:00.45"/>
    <n v="13"/>
    <n v="0"/>
    <d v="1899-12-30T01:24:57"/>
    <d v="1899-12-30T01:27:17"/>
    <n v="18"/>
    <n v="127"/>
  </r>
  <r>
    <s v="Corrida"/>
    <x v="68"/>
    <s v="false"/>
    <s v="Blumenau - Run Workout"/>
    <n v="8.6300000000000008"/>
    <n v="583"/>
    <d v="1899-12-30T00:54:28"/>
    <n v="172"/>
    <n v="188"/>
    <n v="4.7"/>
    <n v="154"/>
    <n v="172"/>
    <d v="1899-12-30T06:19:00"/>
    <d v="1899-12-30T03:53:00"/>
    <n v="67"/>
    <n v="74"/>
    <n v="1.02"/>
    <n v="0"/>
    <n v="0"/>
    <n v="0"/>
    <n v="0"/>
    <n v="0"/>
    <s v="--"/>
    <s v="--"/>
    <d v="1900-01-01T06:28:00"/>
    <d v="1899-12-30T00:00:00"/>
    <n v="0"/>
    <d v="1899-12-30T00:00:00"/>
    <s v="Não"/>
    <s v="06:57.48"/>
    <n v="2"/>
    <n v="0"/>
    <d v="1899-12-30T00:54:20"/>
    <d v="1899-12-30T00:54:28"/>
    <n v="9"/>
    <n v="49"/>
  </r>
  <r>
    <s v="Corrida"/>
    <x v="69"/>
    <s v="false"/>
    <s v="Blumenau - 10 x 400 - intervalo 1 minuto"/>
    <n v="8.3000000000000007"/>
    <n v="562"/>
    <d v="1899-12-30T00:56:10"/>
    <n v="163"/>
    <n v="183"/>
    <n v="4.0999999999999996"/>
    <n v="139"/>
    <n v="173"/>
    <d v="1899-12-30T06:46:00"/>
    <d v="1899-12-30T03:16:00"/>
    <n v="10"/>
    <n v="20"/>
    <n v="1.07"/>
    <n v="0"/>
    <n v="0"/>
    <n v="0"/>
    <n v="0"/>
    <n v="0"/>
    <s v="--"/>
    <s v="--"/>
    <d v="1900-01-01T08:10:00"/>
    <d v="1899-12-30T00:00:00"/>
    <n v="0"/>
    <d v="1899-12-30T00:00:00"/>
    <s v="Não"/>
    <s v="00:02.67"/>
    <n v="23"/>
    <n v="0"/>
    <d v="1899-12-30T00:47:22"/>
    <d v="1899-12-30T00:56:10"/>
    <n v="9"/>
    <n v="26"/>
  </r>
  <r>
    <s v="Corrida"/>
    <x v="70"/>
    <s v="false"/>
    <s v="Blumenau - Run Workout"/>
    <n v="10.01"/>
    <n v="697"/>
    <d v="1899-12-30T01:06:23"/>
    <n v="168"/>
    <n v="181"/>
    <n v="4.5"/>
    <n v="146"/>
    <n v="171"/>
    <d v="1899-12-30T06:38:00"/>
    <d v="1899-12-30T03:11:00"/>
    <n v="126"/>
    <n v="126"/>
    <n v="1.04"/>
    <n v="0"/>
    <n v="0"/>
    <n v="0"/>
    <n v="0"/>
    <n v="0"/>
    <s v="--"/>
    <s v="--"/>
    <d v="1899-12-30T01:06:23"/>
    <d v="1899-12-30T00:00:00"/>
    <n v="0"/>
    <d v="1899-12-30T00:00:00"/>
    <s v="Não"/>
    <s v="20:26.31"/>
    <n v="2"/>
    <n v="0"/>
    <d v="1899-12-30T01:06:23"/>
    <d v="1899-12-30T01:06:23"/>
    <n v="17"/>
    <n v="50"/>
  </r>
  <r>
    <s v="Corrida"/>
    <x v="71"/>
    <s v="false"/>
    <s v="Blumenau - Run Workout"/>
    <n v="7"/>
    <n v="445"/>
    <d v="1899-12-30T00:44:30"/>
    <n v="163"/>
    <n v="180"/>
    <n v="3.9"/>
    <n v="155"/>
    <n v="170"/>
    <d v="1899-12-30T06:21:00"/>
    <d v="1899-12-30T01:43:00"/>
    <n v="53"/>
    <n v="64"/>
    <n v="1.02"/>
    <n v="0"/>
    <n v="0"/>
    <n v="0"/>
    <n v="0"/>
    <n v="0"/>
    <s v="--"/>
    <s v="--"/>
    <d v="1899-12-31T20:30:00"/>
    <d v="1899-12-30T00:00:00"/>
    <n v="0"/>
    <d v="1899-12-30T00:00:00"/>
    <s v="Não"/>
    <s v="00:03.29"/>
    <n v="2"/>
    <n v="0"/>
    <d v="1899-12-30T00:44:30"/>
    <d v="1899-12-30T00:44:30"/>
    <n v="9"/>
    <n v="49"/>
  </r>
  <r>
    <s v="Corrida"/>
    <x v="72"/>
    <s v="false"/>
    <s v="Gaspar Corrida"/>
    <n v="16.73"/>
    <n v="1528"/>
    <d v="1899-12-30T02:43:39"/>
    <n v="168"/>
    <n v="201"/>
    <n v="5"/>
    <n v="102"/>
    <n v="173"/>
    <d v="1899-12-30T09:47:00"/>
    <d v="1899-12-30T04:41:00"/>
    <n v="870"/>
    <n v="691"/>
    <n v="0.97"/>
    <n v="0"/>
    <n v="0"/>
    <n v="0"/>
    <n v="0"/>
    <n v="0"/>
    <s v="--"/>
    <s v="--"/>
    <d v="1899-12-30T02:43:39"/>
    <d v="1899-12-30T00:00:00"/>
    <n v="0"/>
    <d v="1899-12-30T00:00:00"/>
    <s v="Não"/>
    <s v="04:47.11"/>
    <n v="17"/>
    <n v="0"/>
    <d v="1899-12-30T02:20:35"/>
    <d v="1899-12-30T02:44:34"/>
    <n v="115"/>
    <n v="802"/>
  </r>
  <r>
    <s v="Corrida"/>
    <x v="73"/>
    <s v="false"/>
    <s v="Blumenau - Run Workout"/>
    <n v="8.64"/>
    <n v="588"/>
    <d v="1899-12-30T00:59:34"/>
    <n v="168"/>
    <n v="185"/>
    <n v="5"/>
    <n v="149"/>
    <n v="171"/>
    <d v="1899-12-30T06:54:00"/>
    <d v="1899-12-30T03:31:00"/>
    <n v="62"/>
    <n v="69"/>
    <n v="0.97"/>
    <n v="0"/>
    <n v="0"/>
    <n v="0"/>
    <n v="0"/>
    <n v="0"/>
    <s v="--"/>
    <s v="--"/>
    <d v="1900-01-01T11:34:00"/>
    <d v="1899-12-30T00:00:00"/>
    <n v="0"/>
    <d v="1899-12-30T00:00:00"/>
    <s v="Não"/>
    <s v="07:55.08"/>
    <n v="2"/>
    <n v="0"/>
    <d v="1899-12-30T00:58:39"/>
    <d v="1899-12-30T00:59:34"/>
    <n v="9"/>
    <n v="49"/>
  </r>
  <r>
    <s v="Corrida"/>
    <x v="74"/>
    <s v="false"/>
    <s v="Blumenau - Teste de 5km"/>
    <n v="8.36"/>
    <n v="523"/>
    <d v="1899-12-30T01:01:25"/>
    <n v="164"/>
    <n v="190"/>
    <n v="5"/>
    <n v="140"/>
    <n v="173"/>
    <d v="1899-12-30T07:21:00"/>
    <d v="1899-12-30T03:53:00"/>
    <n v="18"/>
    <n v="23"/>
    <n v="1.04"/>
    <n v="0"/>
    <n v="0"/>
    <n v="0"/>
    <n v="0"/>
    <n v="0"/>
    <s v="--"/>
    <s v="--"/>
    <d v="1899-12-30T01:01:25"/>
    <d v="1899-12-30T00:00:00"/>
    <n v="0"/>
    <d v="1899-12-30T00:00:00"/>
    <s v="Não"/>
    <s v="00:20.00"/>
    <n v="15"/>
    <n v="0"/>
    <d v="1899-12-30T00:58:30"/>
    <d v="1899-12-30T01:01:25"/>
    <n v="9"/>
    <n v="26"/>
  </r>
  <r>
    <s v="Corrida"/>
    <x v="75"/>
    <s v="false"/>
    <s v="Blumenau - Teste de 1km SUBIDA"/>
    <n v="7.89"/>
    <n v="531"/>
    <d v="1899-12-30T01:07:03"/>
    <n v="161"/>
    <n v="191"/>
    <n v="4.8"/>
    <n v="125"/>
    <n v="170"/>
    <d v="1899-12-30T08:30:00"/>
    <d v="1899-12-30T04:23:00"/>
    <n v="129"/>
    <n v="125"/>
    <n v="0.94"/>
    <n v="0"/>
    <n v="0"/>
    <n v="0"/>
    <n v="0"/>
    <n v="0"/>
    <s v="--"/>
    <s v="--"/>
    <d v="1899-12-30T01:07:03"/>
    <d v="1899-12-30T00:00:00"/>
    <n v="0"/>
    <d v="1899-12-30T00:00:00"/>
    <s v="Não"/>
    <s v="00:20.00"/>
    <n v="15"/>
    <n v="0"/>
    <d v="1899-12-30T01:02:59"/>
    <d v="1899-12-30T01:07:03"/>
    <n v="9"/>
    <n v="138"/>
  </r>
  <r>
    <s v="Corrida"/>
    <x v="76"/>
    <s v="false"/>
    <s v="Blumenau - Teste de 1km"/>
    <n v="6.52"/>
    <n v="353"/>
    <d v="1899-12-30T00:53:29"/>
    <n v="147"/>
    <n v="192"/>
    <n v="3.9"/>
    <n v="130"/>
    <n v="186"/>
    <d v="1899-12-30T08:12:00"/>
    <d v="1899-12-30T02:42:00"/>
    <n v="14"/>
    <n v="16"/>
    <n v="0.9"/>
    <n v="0"/>
    <n v="0"/>
    <n v="0"/>
    <n v="0"/>
    <n v="0"/>
    <s v="--"/>
    <s v="--"/>
    <d v="1900-01-01T05:29:00"/>
    <d v="1899-12-30T00:00:00"/>
    <n v="0"/>
    <d v="1899-12-30T00:00:00"/>
    <s v="Não"/>
    <s v="00:20.00"/>
    <n v="15"/>
    <n v="0"/>
    <d v="1899-12-30T00:51:02"/>
    <d v="1899-12-30T00:53:29"/>
    <n v="9"/>
    <n v="26"/>
  </r>
  <r>
    <s v="Corrida"/>
    <x v="77"/>
    <s v="false"/>
    <s v="Blumenau Corrida"/>
    <n v="5.91"/>
    <n v="383"/>
    <d v="1899-12-30T00:37:58"/>
    <n v="169"/>
    <n v="184"/>
    <n v="4.8"/>
    <n v="150"/>
    <n v="168"/>
    <d v="1899-12-30T06:26:00"/>
    <d v="1899-12-30T04:47:00"/>
    <n v="67"/>
    <n v="57"/>
    <n v="1.04"/>
    <n v="0"/>
    <n v="0"/>
    <n v="0"/>
    <n v="0"/>
    <n v="0"/>
    <s v="--"/>
    <s v="--"/>
    <d v="1899-12-31T13:58:00"/>
    <d v="1899-12-30T00:00:00"/>
    <n v="0"/>
    <d v="1899-12-30T00:00:00"/>
    <s v="Não"/>
    <s v="05:47.76"/>
    <n v="6"/>
    <n v="0"/>
    <d v="1899-12-30T00:37:57"/>
    <d v="1899-12-30T00:37:58"/>
    <n v="22"/>
    <n v="60"/>
  </r>
  <r>
    <s v="Corrida"/>
    <x v="78"/>
    <s v="false"/>
    <s v="Blumenau Corrida"/>
    <n v="8.01"/>
    <n v="521"/>
    <d v="1899-12-30T00:51:12"/>
    <n v="172"/>
    <n v="186"/>
    <n v="5"/>
    <n v="149"/>
    <n v="170"/>
    <d v="1899-12-30T06:23:00"/>
    <d v="1899-12-30T05:27:00"/>
    <n v="44"/>
    <n v="55"/>
    <n v="1.05"/>
    <n v="0"/>
    <n v="0"/>
    <n v="0"/>
    <n v="0"/>
    <n v="0"/>
    <s v="--"/>
    <s v="--"/>
    <d v="1900-01-01T03:12:00"/>
    <d v="1899-12-30T00:00:00"/>
    <n v="0"/>
    <d v="1899-12-30T00:00:00"/>
    <s v="Não"/>
    <s v="00:05.40"/>
    <n v="9"/>
    <n v="0"/>
    <d v="1899-12-30T00:50:56"/>
    <d v="1899-12-30T00:51:12"/>
    <n v="9"/>
    <n v="49"/>
  </r>
  <r>
    <s v="Corrida"/>
    <x v="79"/>
    <s v="false"/>
    <s v="Blumenau Corrida"/>
    <n v="8.01"/>
    <n v="550"/>
    <d v="1899-12-30T00:51:24"/>
    <n v="177"/>
    <n v="195"/>
    <n v="5"/>
    <n v="147"/>
    <n v="170"/>
    <d v="1899-12-30T06:25:00"/>
    <d v="1899-12-30T05:12:00"/>
    <n v="76"/>
    <n v="83"/>
    <n v="1.06"/>
    <n v="0"/>
    <n v="0"/>
    <n v="0"/>
    <n v="0"/>
    <n v="0"/>
    <s v="--"/>
    <s v="--"/>
    <d v="1900-01-01T03:24:00"/>
    <d v="1899-12-30T00:00:00"/>
    <n v="0"/>
    <d v="1899-12-30T00:00:00"/>
    <s v="Não"/>
    <s v="00:02.05"/>
    <n v="9"/>
    <n v="0"/>
    <d v="1899-12-30T00:51:22"/>
    <d v="1899-12-30T00:51:24"/>
    <n v="17"/>
    <n v="51"/>
  </r>
  <r>
    <s v="Corrida"/>
    <x v="80"/>
    <s v="false"/>
    <s v="Corrida"/>
    <n v="8.01"/>
    <n v="601"/>
    <d v="1899-12-30T00:48:30"/>
    <s v="--"/>
    <s v="--"/>
    <s v="--"/>
    <n v="156"/>
    <n v="164"/>
    <d v="1899-12-30T06:03:00"/>
    <d v="1899-12-30T04:59:00"/>
    <s v="--"/>
    <s v="--"/>
    <n v="1.06"/>
    <n v="0"/>
    <n v="0"/>
    <n v="0"/>
    <n v="0"/>
    <n v="0"/>
    <s v="--"/>
    <s v="--"/>
    <d v="1900-01-01T00:30:00"/>
    <d v="1899-12-30T00:00:00"/>
    <n v="0"/>
    <d v="1899-12-30T00:00:00"/>
    <s v="Não"/>
    <s v="00:02.35"/>
    <n v="9"/>
    <n v="0"/>
    <d v="1899-12-30T00:48:28"/>
    <d v="1899-12-30T00:48:30"/>
    <s v="--"/>
    <s v="--"/>
  </r>
  <r>
    <s v="Corrida"/>
    <x v="81"/>
    <s v="false"/>
    <s v="Corrida"/>
    <n v="12.01"/>
    <n v="900"/>
    <d v="1899-12-30T01:14:12"/>
    <s v="--"/>
    <s v="--"/>
    <s v="--"/>
    <n v="153"/>
    <n v="164"/>
    <d v="1899-12-30T06:11:00"/>
    <d v="1899-12-30T05:03:00"/>
    <s v="--"/>
    <s v="--"/>
    <n v="1.06"/>
    <n v="0"/>
    <n v="0"/>
    <n v="0"/>
    <n v="0"/>
    <n v="0"/>
    <s v="--"/>
    <s v="--"/>
    <d v="1899-12-30T01:14:12"/>
    <d v="1899-12-30T00:00:00"/>
    <n v="0"/>
    <d v="1899-12-30T00:00:00"/>
    <s v="Não"/>
    <s v="00:04.68"/>
    <n v="13"/>
    <n v="0"/>
    <d v="1899-12-30T01:14:10"/>
    <d v="1899-12-30T01:14:12"/>
    <s v="--"/>
    <s v="--"/>
  </r>
  <r>
    <s v="Corrida"/>
    <x v="82"/>
    <s v="false"/>
    <s v="Blumenau - 10 x 400 - intervalo 1 minuto"/>
    <n v="8.4499999999999993"/>
    <n v="585"/>
    <d v="1899-12-30T01:07:14"/>
    <s v="--"/>
    <s v="--"/>
    <s v="--"/>
    <n v="126"/>
    <n v="181"/>
    <d v="1899-12-30T07:57:00"/>
    <d v="1899-12-30T03:41:00"/>
    <n v="13"/>
    <n v="17"/>
    <n v="0.98"/>
    <n v="0"/>
    <n v="0"/>
    <n v="0"/>
    <n v="0"/>
    <n v="0"/>
    <s v="--"/>
    <s v="--"/>
    <d v="1899-12-30T01:07:14"/>
    <d v="1899-12-30T00:00:00"/>
    <n v="0"/>
    <d v="1899-12-30T00:00:00"/>
    <s v="Não"/>
    <s v="01:00.00"/>
    <n v="23"/>
    <n v="0"/>
    <d v="1899-12-30T00:58:50"/>
    <d v="1899-12-30T01:07:14"/>
    <n v="12"/>
    <n v="29"/>
  </r>
  <r>
    <s v="Corrida"/>
    <x v="83"/>
    <s v="false"/>
    <s v="Corrida"/>
    <n v="3.01"/>
    <n v="156"/>
    <d v="1899-12-30T00:34:40"/>
    <s v="--"/>
    <s v="--"/>
    <s v="--"/>
    <n v="112"/>
    <n v="130"/>
    <d v="1899-12-30T11:31:00"/>
    <d v="1899-12-30T09:30:00"/>
    <s v="--"/>
    <s v="--"/>
    <n v="0.78"/>
    <n v="0"/>
    <n v="0"/>
    <n v="0"/>
    <n v="0"/>
    <n v="0"/>
    <s v="--"/>
    <s v="--"/>
    <d v="1899-12-31T10:40:00"/>
    <d v="1899-12-30T00:00:00"/>
    <n v="0"/>
    <d v="1899-12-30T00:00:00"/>
    <s v="Não"/>
    <s v="00:07.04"/>
    <n v="4"/>
    <n v="0"/>
    <d v="1899-12-30T00:34:40"/>
    <d v="1899-12-30T00:34:40"/>
    <s v="--"/>
    <s v="--"/>
  </r>
  <r>
    <s v="Corrida"/>
    <x v="84"/>
    <s v="false"/>
    <s v="Blumenau - 8 x 500m com intervalo 2min caminhando"/>
    <n v="7.42"/>
    <n v="515"/>
    <d v="1899-12-30T00:52:59"/>
    <s v="--"/>
    <s v="--"/>
    <s v="--"/>
    <n v="138"/>
    <n v="240"/>
    <d v="1899-12-30T07:08:00"/>
    <d v="1899-12-30T03:44:00"/>
    <n v="15"/>
    <n v="17"/>
    <n v="0.98"/>
    <n v="0"/>
    <n v="0"/>
    <n v="0"/>
    <n v="0"/>
    <n v="0"/>
    <s v="--"/>
    <s v="--"/>
    <d v="1900-01-01T04:59:00"/>
    <d v="1899-12-30T00:00:00"/>
    <n v="0"/>
    <d v="1899-12-30T00:00:00"/>
    <s v="Não"/>
    <s v="02:00.00"/>
    <n v="18"/>
    <n v="0"/>
    <d v="1899-12-30T00:52:55"/>
    <d v="1899-12-30T00:52:59"/>
    <n v="12"/>
    <n v="29"/>
  </r>
  <r>
    <s v="Corrida"/>
    <x v="85"/>
    <s v="false"/>
    <s v="Corrida"/>
    <n v="8"/>
    <n v="565"/>
    <d v="1899-12-30T00:58:13"/>
    <s v="--"/>
    <s v="--"/>
    <s v="--"/>
    <n v="133"/>
    <n v="164"/>
    <d v="1899-12-30T07:16:00"/>
    <d v="1899-12-30T05:31:00"/>
    <s v="--"/>
    <s v="--"/>
    <n v="1.02"/>
    <n v="0"/>
    <n v="0"/>
    <n v="0"/>
    <n v="0"/>
    <n v="0"/>
    <s v="--"/>
    <s v="--"/>
    <d v="1900-01-01T10:13:00"/>
    <d v="1899-12-30T00:00:00"/>
    <n v="0"/>
    <d v="1899-12-30T00:00:00"/>
    <s v="Não"/>
    <s v="00:05.71"/>
    <n v="9"/>
    <n v="0"/>
    <d v="1899-12-30T00:58:11"/>
    <d v="1899-12-30T00:58:13"/>
    <s v="--"/>
    <s v="--"/>
  </r>
  <r>
    <s v="Corrida"/>
    <x v="86"/>
    <s v="false"/>
    <s v="Gaspar Corrida"/>
    <n v="13.44"/>
    <n v="885"/>
    <d v="1899-12-30T01:52:17"/>
    <s v="--"/>
    <s v="--"/>
    <s v="--"/>
    <n v="127"/>
    <n v="246"/>
    <d v="1899-12-30T08:21:00"/>
    <d v="1899-12-30T02:42:00"/>
    <n v="449"/>
    <n v="496"/>
    <n v="0.94"/>
    <n v="0"/>
    <n v="0"/>
    <n v="0"/>
    <n v="0"/>
    <n v="0"/>
    <s v="--"/>
    <s v="--"/>
    <d v="1899-12-30T01:52:17"/>
    <d v="1899-12-30T00:00:00"/>
    <n v="0"/>
    <d v="1899-12-30T00:00:00"/>
    <s v="Não"/>
    <s v="03:07.57"/>
    <n v="14"/>
    <n v="0"/>
    <d v="1899-12-30T01:48:39"/>
    <d v="1899-12-30T01:52:17"/>
    <n v="90"/>
    <n v="374"/>
  </r>
  <r>
    <s v="Corrida"/>
    <x v="87"/>
    <s v="false"/>
    <s v="Blumenau Corrida"/>
    <n v="7.34"/>
    <n v="505"/>
    <d v="1899-12-30T00:54:00"/>
    <s v="--"/>
    <s v="--"/>
    <s v="--"/>
    <n v="139"/>
    <n v="175"/>
    <d v="1899-12-30T07:22:00"/>
    <d v="1899-12-30T03:42:00"/>
    <n v="19"/>
    <n v="21"/>
    <n v="0.95"/>
    <n v="0"/>
    <n v="0"/>
    <n v="0"/>
    <n v="0"/>
    <n v="0"/>
    <s v="--"/>
    <s v="--"/>
    <d v="1900-01-01T06:00:00"/>
    <d v="1899-12-30T00:00:00"/>
    <n v="0"/>
    <d v="1899-12-30T00:00:00"/>
    <s v="Não"/>
    <s v="12:23.58"/>
    <n v="3"/>
    <n v="0"/>
    <d v="1899-12-30T00:54:00"/>
    <d v="1899-12-30T00:54:00"/>
    <n v="12"/>
    <n v="28"/>
  </r>
  <r>
    <s v="Corrida"/>
    <x v="88"/>
    <s v="false"/>
    <s v="Blumenau Corrida"/>
    <n v="7.38"/>
    <n v="496"/>
    <d v="1899-12-30T00:52:47"/>
    <s v="--"/>
    <s v="--"/>
    <s v="--"/>
    <n v="139"/>
    <n v="173"/>
    <d v="1899-12-30T07:09:00"/>
    <d v="1899-12-30T03:41:00"/>
    <n v="15"/>
    <n v="17"/>
    <n v="0.97"/>
    <n v="0"/>
    <n v="0"/>
    <n v="0"/>
    <n v="0"/>
    <n v="0"/>
    <s v="--"/>
    <s v="--"/>
    <d v="1900-01-01T04:47:00"/>
    <d v="1899-12-30T00:00:00"/>
    <n v="0"/>
    <d v="1899-12-30T00:00:00"/>
    <s v="Não"/>
    <s v="01:00.00"/>
    <n v="8"/>
    <n v="0"/>
    <d v="1899-12-30T00:52:25"/>
    <d v="1899-12-30T00:53:22"/>
    <n v="12"/>
    <n v="29"/>
  </r>
  <r>
    <s v="Corrida"/>
    <x v="89"/>
    <s v="false"/>
    <s v="Blumenau Corrida"/>
    <n v="7.54"/>
    <n v="536"/>
    <d v="1899-12-30T00:51:05"/>
    <s v="--"/>
    <s v="--"/>
    <s v="--"/>
    <n v="134"/>
    <n v="246"/>
    <d v="1899-12-30T06:46:00"/>
    <d v="1899-12-30T04:18:00"/>
    <n v="22"/>
    <n v="27"/>
    <n v="1.2"/>
    <n v="0"/>
    <n v="0"/>
    <n v="0"/>
    <n v="0"/>
    <n v="0"/>
    <s v="--"/>
    <s v="--"/>
    <d v="1900-01-01T03:05:00"/>
    <d v="1899-12-30T00:00:00"/>
    <n v="0"/>
    <d v="1899-12-30T00:00:00"/>
    <s v="Não"/>
    <s v="04:00.00"/>
    <n v="8"/>
    <n v="0"/>
    <d v="1899-12-30T00:44:04"/>
    <d v="1899-12-30T00:51:33"/>
    <n v="12"/>
    <n v="30"/>
  </r>
  <r>
    <s v="Corrida"/>
    <x v="90"/>
    <s v="false"/>
    <s v="Corrida"/>
    <n v="6.79"/>
    <n v="494"/>
    <d v="1899-12-30T00:40:03"/>
    <s v="--"/>
    <s v="--"/>
    <s v="--"/>
    <n v="155"/>
    <n v="161"/>
    <d v="1899-12-30T05:54:00"/>
    <d v="1899-12-30T05:19:00"/>
    <s v="--"/>
    <s v="--"/>
    <n v="1.0900000000000001"/>
    <n v="0"/>
    <n v="0"/>
    <n v="0"/>
    <n v="0"/>
    <n v="0"/>
    <s v="--"/>
    <s v="--"/>
    <d v="1899-12-31T16:03:00"/>
    <d v="1899-12-30T00:00:00"/>
    <n v="0"/>
    <d v="1899-12-30T00:00:00"/>
    <s v="Não"/>
    <s v="04:33.26"/>
    <n v="7"/>
    <n v="0"/>
    <d v="1899-12-30T00:40:02"/>
    <d v="1899-12-30T00:40:03"/>
    <s v="--"/>
    <s v="--"/>
  </r>
  <r>
    <s v="Corrida"/>
    <x v="91"/>
    <s v="false"/>
    <s v="Ilhota Corrida"/>
    <n v="22.01"/>
    <n v="1437"/>
    <d v="1899-12-30T02:50:34"/>
    <s v="--"/>
    <s v="--"/>
    <s v="--"/>
    <n v="124"/>
    <n v="182"/>
    <d v="1899-12-30T07:45:00"/>
    <d v="1899-12-30T04:20:00"/>
    <n v="858"/>
    <n v="861"/>
    <n v="1.04"/>
    <n v="0"/>
    <n v="0"/>
    <n v="0"/>
    <n v="0"/>
    <n v="0"/>
    <s v="--"/>
    <s v="--"/>
    <d v="1899-12-30T02:50:34"/>
    <d v="1899-12-30T00:00:00"/>
    <n v="0"/>
    <d v="1899-12-30T00:00:00"/>
    <s v="Não"/>
    <s v="00:05.52"/>
    <n v="23"/>
    <n v="0"/>
    <d v="1899-12-30T02:49:22"/>
    <d v="1899-12-30T02:50:34"/>
    <n v="209"/>
    <n v="514"/>
  </r>
  <r>
    <s v="Corrida"/>
    <x v="92"/>
    <s v="false"/>
    <s v="Blumenau Corrida"/>
    <n v="10.119999999999999"/>
    <n v="728"/>
    <d v="1899-12-30T01:02:06"/>
    <s v="--"/>
    <s v="--"/>
    <s v="--"/>
    <n v="158"/>
    <n v="171"/>
    <d v="1899-12-30T06:08:00"/>
    <d v="1899-12-30T04:59:00"/>
    <n v="45"/>
    <n v="50"/>
    <n v="1.03"/>
    <n v="0"/>
    <n v="0"/>
    <n v="0"/>
    <n v="0"/>
    <n v="0"/>
    <s v="--"/>
    <s v="--"/>
    <d v="1899-12-30T01:02:06"/>
    <d v="1899-12-30T00:00:00"/>
    <n v="0"/>
    <d v="1899-12-30T00:00:00"/>
    <s v="Não"/>
    <s v="01:21.53"/>
    <n v="11"/>
    <n v="0"/>
    <d v="1899-12-30T01:02:04"/>
    <d v="1899-12-30T01:02:06"/>
    <n v="12"/>
    <n v="41"/>
  </r>
  <r>
    <s v="Corrida"/>
    <x v="93"/>
    <s v="false"/>
    <s v="Blumenau Corrida"/>
    <n v="10.43"/>
    <n v="700"/>
    <d v="1899-12-30T01:13:12"/>
    <s v="--"/>
    <s v="--"/>
    <s v="--"/>
    <n v="134"/>
    <n v="173"/>
    <d v="1899-12-30T07:01:00"/>
    <d v="1899-12-30T03:59:00"/>
    <n v="32"/>
    <n v="35"/>
    <n v="1.02"/>
    <n v="0"/>
    <n v="0"/>
    <n v="0"/>
    <n v="0"/>
    <n v="0"/>
    <s v="--"/>
    <s v="--"/>
    <d v="1899-12-30T01:13:12"/>
    <d v="1899-12-30T00:00:00"/>
    <n v="0"/>
    <d v="1899-12-30T00:00:00"/>
    <s v="Não"/>
    <s v="01:00.00"/>
    <n v="26"/>
    <n v="0"/>
    <d v="1899-12-30T01:10:21"/>
    <d v="1899-12-30T01:13:12"/>
    <n v="12"/>
    <n v="28"/>
  </r>
  <r>
    <s v="Corrida"/>
    <x v="94"/>
    <s v="false"/>
    <s v="Blumenau Corrida"/>
    <n v="10.01"/>
    <n v="694"/>
    <d v="1899-12-30T01:03:31"/>
    <s v="--"/>
    <s v="--"/>
    <s v="--"/>
    <n v="151"/>
    <n v="168"/>
    <d v="1899-12-30T06:21:00"/>
    <d v="1899-12-30T04:08:00"/>
    <n v="143"/>
    <n v="144"/>
    <n v="1.04"/>
    <n v="0"/>
    <n v="0"/>
    <n v="0"/>
    <n v="0"/>
    <n v="0"/>
    <s v="--"/>
    <s v="--"/>
    <d v="1899-12-30T01:03:31"/>
    <d v="1899-12-30T00:00:00"/>
    <n v="0"/>
    <d v="1899-12-30T00:00:00"/>
    <s v="Não"/>
    <s v="00:01.88"/>
    <n v="11"/>
    <n v="0"/>
    <d v="1899-12-30T01:03:27"/>
    <d v="1899-12-30T01:03:31"/>
    <n v="20"/>
    <n v="78"/>
  </r>
  <r>
    <s v="Corrida"/>
    <x v="95"/>
    <s v="false"/>
    <s v="Corrida"/>
    <n v="5.01"/>
    <n v="365"/>
    <d v="1899-12-30T00:29:34"/>
    <s v="--"/>
    <s v="--"/>
    <s v="--"/>
    <n v="157"/>
    <n v="167"/>
    <d v="1899-12-30T05:54:00"/>
    <d v="1899-12-30T05:18:00"/>
    <s v="--"/>
    <s v="--"/>
    <n v="1.08"/>
    <n v="0"/>
    <n v="0"/>
    <n v="0"/>
    <n v="0"/>
    <n v="0"/>
    <s v="--"/>
    <s v="--"/>
    <d v="1899-12-31T05:34:00"/>
    <d v="1899-12-30T00:00:00"/>
    <n v="0"/>
    <d v="1899-12-30T00:00:00"/>
    <s v="Não"/>
    <s v="00:02.80"/>
    <n v="6"/>
    <n v="0"/>
    <d v="1899-12-30T00:29:33"/>
    <d v="1899-12-30T00:29:34"/>
    <s v="--"/>
    <s v="--"/>
  </r>
  <r>
    <s v="Corrida"/>
    <x v="96"/>
    <s v="false"/>
    <s v="Blumenau - 2 x 5km progressivo"/>
    <n v="9.82"/>
    <n v="713"/>
    <d v="1899-12-30T00:57:25"/>
    <s v="--"/>
    <s v="--"/>
    <s v="--"/>
    <n v="160"/>
    <n v="171"/>
    <d v="1899-12-30T05:51:00"/>
    <d v="1899-12-30T03:50:00"/>
    <n v="42"/>
    <n v="45"/>
    <n v="1.06"/>
    <n v="0"/>
    <n v="0"/>
    <n v="0"/>
    <n v="0"/>
    <n v="0"/>
    <s v="--"/>
    <s v="--"/>
    <d v="1900-01-01T09:25:00"/>
    <d v="1899-12-30T00:00:00"/>
    <n v="0"/>
    <d v="1899-12-30T00:00:00"/>
    <s v="Não"/>
    <s v="00:03.08"/>
    <n v="11"/>
    <n v="0"/>
    <d v="1899-12-30T00:57:23"/>
    <d v="1899-12-30T00:57:37"/>
    <n v="12"/>
    <n v="41"/>
  </r>
  <r>
    <s v="Corrida"/>
    <x v="97"/>
    <s v="false"/>
    <s v="Blumenau Corrida"/>
    <n v="12.01"/>
    <n v="843"/>
    <d v="1899-12-30T01:20:55"/>
    <s v="--"/>
    <s v="--"/>
    <s v="--"/>
    <n v="151"/>
    <n v="169"/>
    <d v="1899-12-30T06:44:00"/>
    <d v="1899-12-30T01:30:00"/>
    <n v="178"/>
    <n v="170"/>
    <n v="0.98"/>
    <n v="0"/>
    <n v="0"/>
    <n v="0"/>
    <n v="0"/>
    <n v="0"/>
    <s v="--"/>
    <s v="--"/>
    <d v="1899-12-30T01:20:55"/>
    <d v="1899-12-30T00:00:00"/>
    <n v="0"/>
    <d v="1899-12-30T00:00:00"/>
    <s v="Não"/>
    <s v="00:01.65"/>
    <n v="13"/>
    <n v="0"/>
    <d v="1899-12-30T01:19:30"/>
    <d v="1899-12-30T01:20:55"/>
    <n v="-6"/>
    <n v="78"/>
  </r>
  <r>
    <s v="Corrida"/>
    <x v="98"/>
    <s v="false"/>
    <s v="8 x 800m com intervalo 2min caminhando"/>
    <n v="8.84"/>
    <n v="607"/>
    <d v="1899-12-30T00:59:01"/>
    <s v="--"/>
    <s v="--"/>
    <s v="--"/>
    <n v="143"/>
    <n v="168"/>
    <d v="1899-12-30T06:41:00"/>
    <d v="1899-12-30T05:01:00"/>
    <s v="--"/>
    <s v="--"/>
    <n v="1.03"/>
    <n v="0"/>
    <n v="0"/>
    <n v="0"/>
    <n v="0"/>
    <n v="0"/>
    <s v="--"/>
    <s v="--"/>
    <d v="1900-01-01T11:01:00"/>
    <d v="1899-12-30T00:00:00"/>
    <n v="0"/>
    <d v="1899-12-30T00:00:00"/>
    <s v="Não"/>
    <s v="00:06.03"/>
    <n v="18"/>
    <n v="0"/>
    <d v="1899-12-30T00:58:57"/>
    <d v="1899-12-30T00:59:01"/>
    <s v="--"/>
    <s v="--"/>
  </r>
  <r>
    <s v="Corrida"/>
    <x v="99"/>
    <s v="false"/>
    <s v="Corrida"/>
    <n v="10.029999999999999"/>
    <n v="732"/>
    <d v="1899-12-30T01:03:26"/>
    <s v="--"/>
    <s v="--"/>
    <s v="--"/>
    <n v="156"/>
    <n v="164"/>
    <d v="1899-12-30T06:19:00"/>
    <d v="1899-12-30T05:38:00"/>
    <s v="--"/>
    <s v="--"/>
    <n v="1.02"/>
    <n v="0"/>
    <n v="0"/>
    <n v="0"/>
    <n v="0"/>
    <n v="0"/>
    <s v="--"/>
    <s v="--"/>
    <d v="1899-12-30T01:03:26"/>
    <d v="1899-12-30T00:00:00"/>
    <n v="0"/>
    <d v="1899-12-30T00:00:00"/>
    <s v="Não"/>
    <s v="00:12.12"/>
    <n v="11"/>
    <n v="0"/>
    <d v="1899-12-30T01:03:24"/>
    <d v="1899-12-30T01:03:26"/>
    <s v="--"/>
    <s v="--"/>
  </r>
  <r>
    <s v="Corrida"/>
    <x v="100"/>
    <s v="false"/>
    <s v="Blumenau - 10 x 200m SUBIDA"/>
    <n v="9.66"/>
    <n v="642"/>
    <d v="1899-12-30T01:10:38"/>
    <s v="--"/>
    <s v="--"/>
    <s v="--"/>
    <n v="144"/>
    <n v="175"/>
    <d v="1899-12-30T07:19:00"/>
    <d v="1899-12-30T04:55:00"/>
    <n v="176"/>
    <n v="179"/>
    <n v="0.94"/>
    <n v="0"/>
    <n v="0"/>
    <n v="0"/>
    <n v="0"/>
    <n v="0"/>
    <s v="--"/>
    <s v="--"/>
    <d v="1899-12-30T01:10:38"/>
    <d v="1899-12-30T00:00:00"/>
    <n v="0"/>
    <d v="1899-12-30T00:00:00"/>
    <s v="Não"/>
    <s v="01:06.85"/>
    <n v="22"/>
    <n v="0"/>
    <d v="1899-12-30T01:10:31"/>
    <d v="1899-12-30T01:11:49"/>
    <n v="12"/>
    <n v="40"/>
  </r>
  <r>
    <s v="Corrida"/>
    <x v="101"/>
    <s v="false"/>
    <s v="Blumenau Corrida"/>
    <n v="10.01"/>
    <n v="720"/>
    <d v="1899-12-30T00:58:46"/>
    <s v="--"/>
    <s v="--"/>
    <s v="--"/>
    <n v="161"/>
    <n v="171"/>
    <d v="1899-12-30T05:52:00"/>
    <d v="1899-12-30T05:12:00"/>
    <n v="71"/>
    <n v="75"/>
    <n v="1.05"/>
    <n v="0"/>
    <n v="0"/>
    <n v="0"/>
    <n v="0"/>
    <n v="0"/>
    <s v="--"/>
    <s v="--"/>
    <d v="1900-01-01T10:46:00"/>
    <d v="1899-12-30T00:00:00"/>
    <n v="0"/>
    <d v="1899-12-30T00:00:00"/>
    <s v="Não"/>
    <s v="00:02.86"/>
    <n v="11"/>
    <n v="0"/>
    <d v="1899-12-30T00:58:44"/>
    <d v="1899-12-30T00:58:46"/>
    <n v="12"/>
    <n v="56"/>
  </r>
  <r>
    <s v="Corrida"/>
    <x v="102"/>
    <s v="false"/>
    <s v="Blumenau Corrida"/>
    <n v="7.01"/>
    <n v="511"/>
    <d v="1899-12-30T00:42:09"/>
    <s v="--"/>
    <s v="--"/>
    <s v="--"/>
    <n v="161"/>
    <n v="170"/>
    <d v="1899-12-30T06:01:00"/>
    <d v="1899-12-30T05:04:00"/>
    <n v="75"/>
    <n v="77"/>
    <n v="1.03"/>
    <n v="0"/>
    <n v="0"/>
    <n v="0"/>
    <n v="0"/>
    <n v="0"/>
    <s v="--"/>
    <s v="--"/>
    <d v="1899-12-31T18:09:00"/>
    <d v="1899-12-30T00:00:00"/>
    <n v="0"/>
    <d v="1899-12-30T00:00:00"/>
    <s v="Não"/>
    <s v="00:03.85"/>
    <n v="8"/>
    <n v="0"/>
    <d v="1899-12-30T00:42:07"/>
    <d v="1899-12-30T00:42:09"/>
    <n v="20"/>
    <n v="63"/>
  </r>
  <r>
    <s v="Corrida"/>
    <x v="103"/>
    <s v="false"/>
    <s v="Blumenau Corrida"/>
    <n v="7.01"/>
    <n v="513"/>
    <d v="1899-12-30T00:41:18"/>
    <s v="--"/>
    <s v="--"/>
    <s v="--"/>
    <n v="159"/>
    <n v="170"/>
    <d v="1899-12-30T05:54:00"/>
    <d v="1899-12-30T05:13:00"/>
    <n v="53"/>
    <n v="54"/>
    <n v="1.07"/>
    <n v="0"/>
    <n v="0"/>
    <n v="0"/>
    <n v="0"/>
    <n v="0"/>
    <s v="--"/>
    <s v="--"/>
    <d v="1899-12-31T17:18:00"/>
    <d v="1899-12-30T00:00:00"/>
    <n v="0"/>
    <d v="1899-12-30T00:00:00"/>
    <s v="Não"/>
    <s v="00:02.58"/>
    <n v="8"/>
    <n v="0"/>
    <d v="1899-12-30T00:41:17"/>
    <d v="1899-12-30T00:41:18"/>
    <n v="12"/>
    <n v="56"/>
  </r>
  <r>
    <s v="Corrida"/>
    <x v="104"/>
    <s v="false"/>
    <s v="2 x 3km com intervalo 3min caminhando"/>
    <n v="7.56"/>
    <n v="539"/>
    <d v="1899-12-30T00:46:06"/>
    <s v="--"/>
    <s v="--"/>
    <s v="--"/>
    <n v="151"/>
    <n v="170"/>
    <d v="1899-12-30T06:06:00"/>
    <d v="1899-12-30T04:59:00"/>
    <s v="--"/>
    <s v="--"/>
    <n v="1.07"/>
    <n v="0"/>
    <n v="0"/>
    <n v="0"/>
    <n v="0"/>
    <n v="0"/>
    <s v="--"/>
    <s v="--"/>
    <d v="1899-12-31T22:06:00"/>
    <d v="1899-12-30T00:00:00"/>
    <n v="0"/>
    <d v="1899-12-30T00:00:00"/>
    <s v="Não"/>
    <s v="00:50.52"/>
    <n v="6"/>
    <n v="0"/>
    <d v="1899-12-30T00:45:41"/>
    <d v="1899-12-30T00:46:06"/>
    <s v="--"/>
    <s v="--"/>
  </r>
  <r>
    <s v="Corrida"/>
    <x v="105"/>
    <s v="false"/>
    <s v="Blumenau Corrida"/>
    <n v="11.58"/>
    <n v="834"/>
    <d v="1899-12-30T01:14:13"/>
    <s v="--"/>
    <s v="--"/>
    <s v="--"/>
    <n v="158"/>
    <n v="173"/>
    <d v="1899-12-30T06:24:00"/>
    <d v="1899-12-30T05:12:00"/>
    <n v="166"/>
    <n v="171"/>
    <n v="0.99"/>
    <n v="0"/>
    <n v="0"/>
    <n v="0"/>
    <n v="0"/>
    <n v="0"/>
    <s v="--"/>
    <s v="--"/>
    <d v="1899-12-30T01:14:13"/>
    <d v="1899-12-30T00:00:00"/>
    <n v="0"/>
    <d v="1899-12-30T00:00:00"/>
    <s v="Não"/>
    <s v="03:30.65"/>
    <n v="12"/>
    <n v="0"/>
    <d v="1899-12-30T01:14:12"/>
    <d v="1899-12-30T01:14:13"/>
    <n v="20"/>
    <n v="116"/>
  </r>
  <r>
    <s v="Corrida"/>
    <x v="106"/>
    <s v="false"/>
    <s v="6 x 1km com intervalo 3min parado"/>
    <n v="7.29"/>
    <n v="528"/>
    <d v="1899-12-30T00:55:44"/>
    <s v="--"/>
    <s v="--"/>
    <s v="--"/>
    <n v="114"/>
    <n v="170"/>
    <d v="1899-12-30T07:39:00"/>
    <d v="1899-12-30T04:36:00"/>
    <s v="--"/>
    <s v="--"/>
    <n v="1.1000000000000001"/>
    <n v="0"/>
    <n v="0"/>
    <n v="0"/>
    <n v="0"/>
    <n v="0"/>
    <s v="--"/>
    <s v="--"/>
    <d v="1900-01-01T07:44:00"/>
    <d v="1899-12-30T00:00:00"/>
    <n v="0"/>
    <d v="1899-12-30T00:00:00"/>
    <s v="Não"/>
    <s v="00:01.54"/>
    <n v="14"/>
    <n v="0"/>
    <d v="1899-12-30T00:47:54"/>
    <d v="1899-12-30T00:55:44"/>
    <s v="--"/>
    <s v="--"/>
  </r>
  <r>
    <s v="Corrida"/>
    <x v="107"/>
    <s v="false"/>
    <s v="Blumenau Corrida"/>
    <n v="10.01"/>
    <n v="731"/>
    <d v="1899-12-30T00:59:07"/>
    <s v="--"/>
    <s v="--"/>
    <s v="--"/>
    <n v="162"/>
    <n v="171"/>
    <d v="1899-12-30T05:54:00"/>
    <d v="1899-12-30T05:26:00"/>
    <n v="75"/>
    <n v="85"/>
    <n v="1.04"/>
    <n v="0"/>
    <n v="0"/>
    <n v="0"/>
    <n v="0"/>
    <n v="0"/>
    <s v="--"/>
    <s v="--"/>
    <d v="1900-01-01T11:07:00"/>
    <d v="1899-12-30T00:00:00"/>
    <n v="0"/>
    <d v="1899-12-30T00:00:00"/>
    <s v="Não"/>
    <s v="00:03.02"/>
    <n v="11"/>
    <n v="0"/>
    <d v="1899-12-30T00:59:05"/>
    <d v="1899-12-30T00:59:07"/>
    <n v="12"/>
    <n v="56"/>
  </r>
  <r>
    <s v="Corrida"/>
    <x v="108"/>
    <s v="false"/>
    <s v="Blumenau - 4 x 2km com intervalo 3min caminhando"/>
    <n v="11.2"/>
    <n v="776"/>
    <d v="1899-12-30T01:14:31"/>
    <s v="--"/>
    <s v="--"/>
    <s v="--"/>
    <n v="149"/>
    <n v="170"/>
    <d v="1899-12-30T06:39:00"/>
    <d v="1899-12-30T04:23:00"/>
    <n v="97"/>
    <n v="98"/>
    <n v="0.99"/>
    <n v="0"/>
    <n v="0"/>
    <n v="0"/>
    <n v="0"/>
    <n v="0"/>
    <s v="--"/>
    <s v="--"/>
    <d v="1899-12-30T01:14:31"/>
    <d v="1899-12-30T00:00:00"/>
    <n v="0"/>
    <d v="1899-12-30T00:00:00"/>
    <s v="Não"/>
    <s v="03:00.00"/>
    <n v="10"/>
    <n v="0"/>
    <d v="1899-12-30T01:14:30"/>
    <d v="1899-12-30T01:14:31"/>
    <n v="15"/>
    <n v="60"/>
  </r>
  <r>
    <s v="Corrida"/>
    <x v="109"/>
    <s v="false"/>
    <s v="Blumenau Corrida"/>
    <n v="10.01"/>
    <n v="720"/>
    <d v="1899-12-30T00:56:38"/>
    <s v="--"/>
    <s v="--"/>
    <s v="--"/>
    <n v="157"/>
    <n v="173"/>
    <d v="1899-12-30T05:40:00"/>
    <d v="1899-12-30T04:48:00"/>
    <n v="66"/>
    <n v="67"/>
    <n v="1.1200000000000001"/>
    <n v="0"/>
    <n v="0"/>
    <n v="0"/>
    <n v="0"/>
    <n v="0"/>
    <s v="--"/>
    <s v="--"/>
    <d v="1900-01-01T08:38:00"/>
    <d v="1899-12-30T00:00:00"/>
    <n v="0"/>
    <d v="1899-12-30T00:00:00"/>
    <s v="Não"/>
    <s v="00:02.06"/>
    <n v="11"/>
    <n v="0"/>
    <d v="1899-12-30T00:56:36"/>
    <d v="1899-12-30T00:56:38"/>
    <n v="12"/>
    <n v="56"/>
  </r>
  <r>
    <s v="Corrida"/>
    <x v="110"/>
    <s v="false"/>
    <s v="Blumenau - 8 x 600m com intervalo 2min caminhando"/>
    <n v="9.25"/>
    <n v="621"/>
    <d v="1899-12-30T01:03:17"/>
    <s v="--"/>
    <s v="--"/>
    <s v="--"/>
    <n v="142"/>
    <n v="169"/>
    <d v="1899-12-30T06:50:00"/>
    <d v="1899-12-30T04:49:00"/>
    <n v="17"/>
    <n v="23"/>
    <n v="1.02"/>
    <n v="0"/>
    <n v="0"/>
    <n v="0"/>
    <n v="0"/>
    <n v="0"/>
    <s v="--"/>
    <s v="--"/>
    <d v="1899-12-30T01:03:17"/>
    <d v="1899-12-30T00:00:00"/>
    <n v="0"/>
    <d v="1899-12-30T00:00:00"/>
    <s v="Não"/>
    <s v="02:00.00"/>
    <n v="18"/>
    <n v="0"/>
    <d v="1899-12-30T01:03:16"/>
    <d v="1899-12-30T01:03:17"/>
    <n v="12"/>
    <n v="28"/>
  </r>
  <r>
    <s v="Corrida"/>
    <x v="111"/>
    <s v="false"/>
    <s v="Blumenau Corrida"/>
    <n v="10.01"/>
    <n v="718"/>
    <d v="1899-12-30T00:59:33"/>
    <s v="--"/>
    <s v="--"/>
    <s v="--"/>
    <n v="159"/>
    <n v="173"/>
    <d v="1899-12-30T05:57:00"/>
    <d v="1899-12-30T03:55:00"/>
    <n v="118"/>
    <n v="125"/>
    <n v="1.05"/>
    <n v="0"/>
    <n v="0"/>
    <n v="0"/>
    <n v="0"/>
    <n v="0"/>
    <s v="--"/>
    <s v="--"/>
    <d v="1900-01-01T11:33:00"/>
    <d v="1899-12-30T00:00:00"/>
    <n v="0"/>
    <d v="1899-12-30T00:00:00"/>
    <s v="Não"/>
    <s v="00:01.42"/>
    <n v="11"/>
    <n v="0"/>
    <d v="1899-12-30T00:59:15"/>
    <d v="1899-12-30T00:59:33"/>
    <n v="20"/>
    <n v="59"/>
  </r>
  <r>
    <s v="Corrida"/>
    <x v="112"/>
    <s v="false"/>
    <s v="Blumenau Corrida"/>
    <n v="7.62"/>
    <n v="561"/>
    <d v="1899-12-30T00:45:01"/>
    <s v="--"/>
    <s v="--"/>
    <s v="--"/>
    <n v="163"/>
    <n v="171"/>
    <d v="1899-12-30T05:55:00"/>
    <d v="1899-12-30T04:08:00"/>
    <n v="48"/>
    <n v="62"/>
    <n v="1.04"/>
    <n v="0"/>
    <n v="0"/>
    <n v="0"/>
    <n v="0"/>
    <n v="0"/>
    <s v="--"/>
    <s v="--"/>
    <d v="1899-12-31T21:01:00"/>
    <d v="1899-12-30T00:00:00"/>
    <n v="0"/>
    <d v="1899-12-30T00:00:00"/>
    <s v="Não"/>
    <s v="03:27.49"/>
    <n v="8"/>
    <n v="0"/>
    <d v="1899-12-30T00:44:53"/>
    <d v="1899-12-30T00:45:01"/>
    <n v="12"/>
    <n v="56"/>
  </r>
  <r>
    <s v="Corrida"/>
    <x v="113"/>
    <s v="false"/>
    <s v="Blumenau Corrida"/>
    <n v="10.01"/>
    <n v="730"/>
    <d v="1899-12-30T00:57:39"/>
    <s v="--"/>
    <s v="--"/>
    <s v="--"/>
    <n v="164"/>
    <n v="173"/>
    <d v="1899-12-30T05:46:00"/>
    <d v="1899-12-30T05:02:00"/>
    <n v="57"/>
    <n v="59"/>
    <n v="1.06"/>
    <n v="0"/>
    <n v="0"/>
    <n v="0"/>
    <n v="0"/>
    <n v="0"/>
    <s v="--"/>
    <s v="--"/>
    <d v="1900-01-01T09:39:00"/>
    <d v="1899-12-30T00:00:00"/>
    <n v="0"/>
    <d v="1899-12-30T00:00:00"/>
    <s v="Não"/>
    <s v="00:02.88"/>
    <n v="11"/>
    <n v="0"/>
    <d v="1899-12-30T00:57:37"/>
    <d v="1899-12-30T00:57:39"/>
    <n v="12"/>
    <n v="56"/>
  </r>
  <r>
    <s v="Corrida"/>
    <x v="114"/>
    <s v="false"/>
    <s v="Blumenau - Progressivo - leve p/ forte"/>
    <n v="6.01"/>
    <n v="444"/>
    <d v="1899-12-30T00:37:21"/>
    <s v="--"/>
    <s v="--"/>
    <s v="--"/>
    <n v="162"/>
    <n v="170"/>
    <d v="1899-12-30T06:13:00"/>
    <d v="1899-12-30T05:07:00"/>
    <n v="6"/>
    <n v="22"/>
    <n v="0.99"/>
    <n v="0"/>
    <n v="0"/>
    <n v="0"/>
    <n v="0"/>
    <n v="0"/>
    <s v="--"/>
    <s v="--"/>
    <d v="1899-12-31T13:21:00"/>
    <d v="1899-12-30T00:00:00"/>
    <n v="0"/>
    <d v="1899-12-30T00:00:00"/>
    <s v="Não"/>
    <s v="00:03.76"/>
    <n v="4"/>
    <n v="0"/>
    <d v="1899-12-30T00:37:19"/>
    <d v="1899-12-30T00:37:21"/>
    <n v="12"/>
    <n v="29"/>
  </r>
  <r>
    <s v="Corrida"/>
    <x v="115"/>
    <s v="false"/>
    <s v="Blumenau - Run Workout"/>
    <n v="9.01"/>
    <n v="665"/>
    <d v="1899-12-30T00:55:23"/>
    <s v="--"/>
    <s v="--"/>
    <s v="--"/>
    <n v="162"/>
    <n v="171"/>
    <d v="1899-12-30T06:09:00"/>
    <d v="1899-12-30T04:43:00"/>
    <n v="10"/>
    <n v="17"/>
    <n v="1"/>
    <n v="0"/>
    <n v="0"/>
    <n v="0"/>
    <n v="0"/>
    <n v="0"/>
    <s v="--"/>
    <s v="--"/>
    <d v="1900-01-01T07:23:00"/>
    <d v="1899-12-30T00:00:00"/>
    <n v="0"/>
    <d v="1899-12-30T00:00:00"/>
    <s v="Não"/>
    <s v="00:02.98"/>
    <n v="4"/>
    <n v="0"/>
    <d v="1899-12-30T00:55:23"/>
    <d v="1899-12-30T00:55:23"/>
    <n v="12"/>
    <n v="29"/>
  </r>
  <r>
    <s v="Corrida"/>
    <x v="116"/>
    <s v="false"/>
    <s v="Blumenau - 10 x 1min Moderado/Forte - 2min leve"/>
    <n v="7.87"/>
    <n v="577"/>
    <d v="1899-12-30T00:50:11"/>
    <s v="--"/>
    <s v="--"/>
    <s v="--"/>
    <n v="161"/>
    <n v="169"/>
    <d v="1899-12-30T06:23:00"/>
    <d v="1899-12-30T04:05:00"/>
    <n v="7"/>
    <n v="21"/>
    <n v="0.97"/>
    <n v="0"/>
    <n v="0"/>
    <n v="0"/>
    <n v="0"/>
    <n v="0"/>
    <s v="--"/>
    <s v="--"/>
    <d v="1900-01-01T02:11:00"/>
    <d v="1899-12-30T00:00:00"/>
    <n v="0"/>
    <d v="1899-12-30T00:00:00"/>
    <s v="Não"/>
    <s v="00:07.58"/>
    <n v="22"/>
    <n v="0"/>
    <d v="1899-12-30T00:50:10"/>
    <d v="1899-12-30T00:50:11"/>
    <n v="12"/>
    <n v="29"/>
  </r>
  <r>
    <s v="Corrida"/>
    <x v="117"/>
    <s v="false"/>
    <s v="Blumenau Corrida"/>
    <n v="8.0299999999999994"/>
    <n v="579"/>
    <d v="1899-12-30T00:47:55"/>
    <s v="--"/>
    <s v="--"/>
    <s v="--"/>
    <n v="160"/>
    <n v="173"/>
    <d v="1899-12-30T05:58:00"/>
    <d v="1899-12-30T04:25:00"/>
    <n v="82"/>
    <n v="83"/>
    <n v="1.05"/>
    <n v="0"/>
    <n v="0"/>
    <n v="0"/>
    <n v="0"/>
    <n v="0"/>
    <s v="--"/>
    <s v="--"/>
    <d v="1899-12-31T23:55:00"/>
    <d v="1899-12-30T00:00:00"/>
    <n v="0"/>
    <d v="1899-12-30T00:00:00"/>
    <s v="Não"/>
    <s v="00:09.28"/>
    <n v="9"/>
    <n v="0"/>
    <d v="1899-12-30T00:47:54"/>
    <d v="1899-12-30T00:47:55"/>
    <n v="22"/>
    <n v="61"/>
  </r>
  <r>
    <s v="Corrida"/>
    <x v="118"/>
    <s v="false"/>
    <s v="Blumenau Corrida"/>
    <n v="5.3"/>
    <n v="374"/>
    <d v="1899-12-30T00:34:34"/>
    <s v="--"/>
    <s v="--"/>
    <s v="--"/>
    <n v="121"/>
    <n v="173"/>
    <d v="1899-12-30T06:32:00"/>
    <d v="1899-12-30T00:17:00"/>
    <n v="9"/>
    <n v="12"/>
    <n v="1.24"/>
    <n v="0"/>
    <n v="0"/>
    <n v="0"/>
    <n v="0"/>
    <n v="0"/>
    <s v="--"/>
    <s v="--"/>
    <d v="1899-12-31T10:34:00"/>
    <d v="1899-12-30T00:00:00"/>
    <n v="0"/>
    <d v="1899-12-30T00:00:00"/>
    <s v="Não"/>
    <s v="00:03.91"/>
    <n v="22"/>
    <n v="0"/>
    <d v="1899-12-30T00:26:42"/>
    <d v="1899-12-30T00:34:36"/>
    <n v="12"/>
    <n v="23"/>
  </r>
  <r>
    <s v="Corrida"/>
    <x v="119"/>
    <s v="false"/>
    <s v="Blumenau Corrida"/>
    <n v="1.06"/>
    <n v="76"/>
    <d v="1899-12-30T00:06:37"/>
    <s v="--"/>
    <s v="--"/>
    <s v="--"/>
    <n v="155"/>
    <n v="162"/>
    <d v="1899-12-30T06:16:00"/>
    <d v="1899-12-30T05:42:00"/>
    <s v="--"/>
    <n v="8"/>
    <n v="1.03"/>
    <n v="0"/>
    <n v="0"/>
    <n v="0"/>
    <n v="0"/>
    <n v="0"/>
    <s v="--"/>
    <s v="--"/>
    <d v="1899-12-30T00:06:37"/>
    <d v="1899-12-30T00:00:00"/>
    <n v="0"/>
    <d v="1899-12-30T00:00:00"/>
    <s v="Não"/>
    <s v="00:09.83"/>
    <n v="3"/>
    <n v="0"/>
    <d v="1899-12-30T00:06:37"/>
    <d v="1899-12-30T00:06:38"/>
    <n v="18"/>
    <n v="29"/>
  </r>
  <r>
    <s v="Corrida"/>
    <x v="120"/>
    <s v="false"/>
    <s v="Blumenau Corrida"/>
    <n v="8.01"/>
    <n v="586"/>
    <d v="1899-12-30T00:46:36"/>
    <s v="--"/>
    <s v="--"/>
    <s v="--"/>
    <n v="160"/>
    <n v="169"/>
    <d v="1899-12-30T05:49:00"/>
    <d v="1899-12-30T03:30:00"/>
    <n v="48"/>
    <n v="48"/>
    <n v="1.07"/>
    <n v="0"/>
    <n v="0"/>
    <n v="0"/>
    <n v="0"/>
    <n v="0"/>
    <s v="--"/>
    <s v="--"/>
    <d v="1899-12-31T22:36:00"/>
    <d v="1899-12-30T00:00:00"/>
    <n v="0"/>
    <d v="1899-12-30T00:00:00"/>
    <s v="Não"/>
    <s v="00:02.36"/>
    <n v="9"/>
    <n v="0"/>
    <d v="1899-12-30T00:46:34"/>
    <d v="1899-12-30T00:46:36"/>
    <n v="12"/>
    <n v="56"/>
  </r>
  <r>
    <s v="Corrida"/>
    <x v="121"/>
    <s v="false"/>
    <s v="Corrida"/>
    <n v="6.53"/>
    <n v="462"/>
    <d v="1899-12-30T00:40:57"/>
    <s v="--"/>
    <s v="--"/>
    <s v="--"/>
    <n v="142"/>
    <n v="168"/>
    <d v="1899-12-30T06:16:00"/>
    <d v="1899-12-30T04:56:00"/>
    <s v="--"/>
    <s v="--"/>
    <n v="1.1200000000000001"/>
    <n v="0"/>
    <n v="0"/>
    <n v="0"/>
    <n v="0"/>
    <n v="0"/>
    <s v="--"/>
    <s v="--"/>
    <d v="1899-12-31T16:57:00"/>
    <d v="1899-12-30T00:00:00"/>
    <n v="0"/>
    <d v="1899-12-30T00:00:00"/>
    <s v="Não"/>
    <s v="00:01.79"/>
    <n v="18"/>
    <n v="0"/>
    <d v="1899-12-30T00:39:43"/>
    <d v="1899-12-30T00:41:00"/>
    <s v="--"/>
    <s v="--"/>
  </r>
  <r>
    <s v="Corrida"/>
    <x v="122"/>
    <s v="false"/>
    <s v="Blumenau Corrida"/>
    <n v="5.0999999999999996"/>
    <n v="372"/>
    <d v="1899-12-30T00:30:03"/>
    <s v="--"/>
    <s v="--"/>
    <s v="--"/>
    <n v="157"/>
    <n v="164"/>
    <d v="1899-12-30T05:54:00"/>
    <d v="1899-12-30T05:32:00"/>
    <n v="18"/>
    <n v="21"/>
    <n v="1.08"/>
    <n v="0"/>
    <n v="0"/>
    <n v="0"/>
    <n v="0"/>
    <n v="0"/>
    <s v="--"/>
    <s v="--"/>
    <d v="1899-12-31T06:03:00"/>
    <d v="1899-12-30T00:00:00"/>
    <n v="0"/>
    <d v="1899-12-30T00:00:00"/>
    <s v="Não"/>
    <s v="00:33.33"/>
    <n v="6"/>
    <n v="0"/>
    <d v="1899-12-30T00:30:02"/>
    <d v="1899-12-30T00:30:03"/>
    <n v="12"/>
    <n v="33"/>
  </r>
  <r>
    <s v="Corrida"/>
    <x v="123"/>
    <s v="false"/>
    <s v="Blumenau Corrida"/>
    <n v="7.01"/>
    <n v="504"/>
    <d v="1899-12-30T00:41:19"/>
    <s v="--"/>
    <s v="--"/>
    <s v="--"/>
    <n v="158"/>
    <n v="169"/>
    <d v="1899-12-30T05:54:00"/>
    <d v="1899-12-30T05:01:00"/>
    <n v="29"/>
    <n v="34"/>
    <n v="1.07"/>
    <n v="0"/>
    <n v="0"/>
    <n v="0"/>
    <n v="0"/>
    <n v="0"/>
    <s v="--"/>
    <s v="--"/>
    <d v="1899-12-31T17:19:00"/>
    <d v="1899-12-30T00:00:00"/>
    <n v="0"/>
    <d v="1899-12-30T00:00:00"/>
    <s v="Não"/>
    <s v="00:02.74"/>
    <n v="8"/>
    <n v="0"/>
    <d v="1899-12-30T00:41:17"/>
    <d v="1899-12-30T00:41:19"/>
    <n v="12"/>
    <n v="37"/>
  </r>
  <r>
    <s v="Corrida"/>
    <x v="124"/>
    <s v="false"/>
    <s v="8 x 400m com intervalo 2min caminhando"/>
    <n v="7.61"/>
    <n v="528"/>
    <d v="1899-12-30T00:53:38"/>
    <s v="--"/>
    <s v="--"/>
    <s v="--"/>
    <n v="135"/>
    <n v="236"/>
    <d v="1899-12-30T07:03:00"/>
    <d v="1899-12-30T04:38:00"/>
    <s v="--"/>
    <s v="--"/>
    <n v="1.04"/>
    <n v="0"/>
    <n v="0"/>
    <n v="0"/>
    <n v="0"/>
    <n v="0"/>
    <s v="--"/>
    <s v="--"/>
    <d v="1900-01-01T05:38:00"/>
    <d v="1899-12-30T00:00:00"/>
    <n v="0"/>
    <d v="1899-12-30T00:00:00"/>
    <s v="Não"/>
    <s v="00:02.94"/>
    <n v="19"/>
    <n v="0"/>
    <d v="1899-12-30T00:52:43"/>
    <d v="1899-12-30T00:53:55"/>
    <s v="--"/>
    <s v="--"/>
  </r>
  <r>
    <s v="Corrida"/>
    <x v="125"/>
    <s v="false"/>
    <s v="Blumenau Corrida"/>
    <n v="7.01"/>
    <n v="517"/>
    <d v="1899-12-30T00:40:46"/>
    <s v="--"/>
    <s v="--"/>
    <s v="--"/>
    <n v="159"/>
    <n v="170"/>
    <d v="1899-12-30T05:49:00"/>
    <d v="1899-12-30T01:10:00"/>
    <n v="68"/>
    <n v="71"/>
    <n v="1.08"/>
    <n v="0"/>
    <n v="0"/>
    <n v="0"/>
    <n v="0"/>
    <n v="0"/>
    <s v="--"/>
    <s v="--"/>
    <d v="1899-12-31T16:46:00"/>
    <d v="1899-12-30T00:00:00"/>
    <n v="0"/>
    <d v="1899-12-30T00:00:00"/>
    <s v="Não"/>
    <s v="00:03.94"/>
    <n v="8"/>
    <n v="0"/>
    <d v="1899-12-30T00:40:39"/>
    <d v="1899-12-30T00:40:46"/>
    <n v="-3"/>
    <n v="59"/>
  </r>
  <r>
    <s v="Corrida"/>
    <x v="126"/>
    <s v="false"/>
    <s v="Blumenau - Progressivo 3 etapas"/>
    <n v="6.01"/>
    <n v="435"/>
    <d v="1899-12-30T00:34:16"/>
    <s v="--"/>
    <s v="--"/>
    <s v="--"/>
    <n v="157"/>
    <n v="169"/>
    <d v="1899-12-30T05:42:00"/>
    <d v="1899-12-30T03:25:00"/>
    <n v="8"/>
    <n v="14"/>
    <n v="1.1100000000000001"/>
    <n v="0"/>
    <n v="0"/>
    <n v="0"/>
    <n v="0"/>
    <n v="0"/>
    <s v="--"/>
    <s v="--"/>
    <d v="1899-12-31T10:16:00"/>
    <d v="1899-12-30T00:00:00"/>
    <n v="0"/>
    <d v="1899-12-30T00:00:00"/>
    <s v="Não"/>
    <s v="00:03.43"/>
    <n v="7"/>
    <n v="0"/>
    <d v="1899-12-30T00:34:15"/>
    <d v="1899-12-30T00:34:16"/>
    <n v="12"/>
    <n v="29"/>
  </r>
  <r>
    <s v="Corrida"/>
    <x v="127"/>
    <s v="false"/>
    <s v="4 x 1km com intervalo 3min caminhando"/>
    <n v="5.87"/>
    <n v="406"/>
    <d v="1899-12-30T00:41:47"/>
    <s v="--"/>
    <s v="--"/>
    <s v="--"/>
    <n v="132"/>
    <n v="160"/>
    <d v="1899-12-30T07:07:00"/>
    <d v="1899-12-30T05:07:00"/>
    <s v="--"/>
    <s v="--"/>
    <n v="1.04"/>
    <n v="0"/>
    <n v="0"/>
    <n v="0"/>
    <n v="0"/>
    <n v="0"/>
    <s v="--"/>
    <s v="--"/>
    <d v="1899-12-31T17:47:00"/>
    <d v="1899-12-30T00:00:00"/>
    <n v="0"/>
    <d v="1899-12-30T00:00:00"/>
    <s v="Não"/>
    <s v="00:02.53"/>
    <n v="10"/>
    <n v="0"/>
    <d v="1899-12-30T00:41:07"/>
    <d v="1899-12-30T00:41:47"/>
    <s v="--"/>
    <s v="--"/>
  </r>
  <r>
    <s v="Corrida"/>
    <x v="128"/>
    <s v="false"/>
    <s v="Blumenau Corrida"/>
    <n v="7"/>
    <n v="511"/>
    <d v="1899-12-30T00:43:00"/>
    <s v="--"/>
    <s v="--"/>
    <s v="--"/>
    <n v="155"/>
    <n v="169"/>
    <d v="1899-12-30T06:08:00"/>
    <d v="1899-12-30T04:27:00"/>
    <n v="98"/>
    <n v="82"/>
    <n v="1.05"/>
    <n v="0"/>
    <n v="0"/>
    <n v="0"/>
    <n v="0"/>
    <n v="0"/>
    <s v="--"/>
    <s v="--"/>
    <d v="1899-12-31T19:00:00"/>
    <d v="1899-12-30T00:00:00"/>
    <n v="0"/>
    <d v="1899-12-30T00:00:00"/>
    <s v="Não"/>
    <s v="00:01.62"/>
    <n v="8"/>
    <n v="0"/>
    <d v="1899-12-30T00:42:59"/>
    <d v="1899-12-30T00:43:00"/>
    <n v="22"/>
    <n v="60"/>
  </r>
  <r>
    <s v="Corrida"/>
    <x v="129"/>
    <s v="false"/>
    <s v="Blumenau - 6 x 500m com intervalo 2min parado"/>
    <n v="5.24"/>
    <n v="375"/>
    <d v="1899-12-30T00:39:19"/>
    <s v="--"/>
    <s v="--"/>
    <s v="--"/>
    <n v="115"/>
    <n v="176"/>
    <d v="1899-12-30T07:30:00"/>
    <d v="1899-12-30T00:52:00"/>
    <n v="9"/>
    <n v="11"/>
    <n v="1.1200000000000001"/>
    <n v="0"/>
    <n v="0"/>
    <n v="0"/>
    <n v="0"/>
    <n v="0"/>
    <s v="--"/>
    <s v="--"/>
    <d v="1899-12-31T15:19:00"/>
    <d v="1899-12-30T00:00:00"/>
    <n v="0"/>
    <d v="1899-12-30T00:00:00"/>
    <s v="Não"/>
    <s v="00:03.92"/>
    <n v="15"/>
    <n v="0"/>
    <d v="1899-12-30T00:28:37"/>
    <d v="1899-12-30T00:39:19"/>
    <n v="12"/>
    <n v="22"/>
  </r>
  <r>
    <s v="Corrida"/>
    <x v="130"/>
    <s v="false"/>
    <s v="Blumenau Corrida"/>
    <n v="6.01"/>
    <n v="439"/>
    <d v="1899-12-30T00:35:24"/>
    <s v="--"/>
    <s v="--"/>
    <s v="--"/>
    <n v="160"/>
    <n v="167"/>
    <d v="1899-12-30T05:53:00"/>
    <d v="1899-12-30T03:49:00"/>
    <n v="46"/>
    <n v="49"/>
    <n v="1.06"/>
    <n v="0"/>
    <n v="0"/>
    <n v="0"/>
    <n v="0"/>
    <n v="0"/>
    <s v="--"/>
    <s v="--"/>
    <d v="1899-12-31T11:24:00"/>
    <d v="1899-12-30T00:00:00"/>
    <n v="0"/>
    <d v="1899-12-30T00:00:00"/>
    <s v="Não"/>
    <s v="00:01.95"/>
    <n v="7"/>
    <n v="0"/>
    <d v="1899-12-30T00:35:22"/>
    <d v="1899-12-30T00:35:24"/>
    <n v="21"/>
    <n v="54"/>
  </r>
  <r>
    <s v="Corrida"/>
    <x v="131"/>
    <s v="false"/>
    <s v="Blumenau - Run Workout"/>
    <n v="6.04"/>
    <n v="446"/>
    <d v="1899-12-30T00:39:17"/>
    <n v="177"/>
    <n v="191"/>
    <n v="4.9000000000000004"/>
    <n v="153"/>
    <n v="168"/>
    <d v="1899-12-30T06:30:00"/>
    <d v="1899-12-30T04:45:00"/>
    <n v="96"/>
    <n v="73"/>
    <n v="1"/>
    <n v="0"/>
    <n v="0"/>
    <n v="0"/>
    <n v="0"/>
    <n v="0"/>
    <s v="--"/>
    <s v="--"/>
    <d v="1899-12-31T15:17:00"/>
    <d v="1899-12-30T00:00:00"/>
    <n v="0"/>
    <d v="1899-12-30T00:00:00"/>
    <s v="Não"/>
    <s v="00:21.46"/>
    <n v="10"/>
    <n v="0"/>
    <d v="1899-12-30T00:38:43"/>
    <d v="1899-12-30T00:39:17"/>
    <n v="21"/>
    <n v="59"/>
  </r>
  <r>
    <s v="Corrida"/>
    <x v="132"/>
    <s v="false"/>
    <s v="Corrida"/>
    <n v="5.01"/>
    <n v="333"/>
    <d v="1899-12-30T00:30:45"/>
    <n v="171"/>
    <n v="182"/>
    <n v="4"/>
    <n v="152"/>
    <n v="158"/>
    <d v="1899-12-30T06:08:00"/>
    <d v="1899-12-30T05:39:00"/>
    <s v="--"/>
    <s v="--"/>
    <n v="1.08"/>
    <n v="0"/>
    <n v="0"/>
    <n v="0"/>
    <n v="0"/>
    <n v="0"/>
    <s v="--"/>
    <s v="--"/>
    <d v="1899-12-31T06:45:00"/>
    <d v="1899-12-30T00:00:00"/>
    <n v="0"/>
    <d v="1899-12-30T00:00:00"/>
    <s v="Não"/>
    <s v="00:04.51"/>
    <n v="6"/>
    <n v="0"/>
    <d v="1899-12-30T00:30:43"/>
    <d v="1899-12-30T00:30:45"/>
    <s v="--"/>
    <s v="--"/>
  </r>
  <r>
    <s v="Corrida"/>
    <x v="133"/>
    <s v="false"/>
    <s v="5 x 500m com intervalo 2min caminhando"/>
    <n v="4.51"/>
    <n v="320"/>
    <d v="1899-12-30T00:32:50"/>
    <n v="158"/>
    <n v="179"/>
    <n v="3.4"/>
    <n v="132"/>
    <n v="158"/>
    <d v="1899-12-30T07:17:00"/>
    <d v="1899-12-30T05:14:00"/>
    <s v="--"/>
    <s v="--"/>
    <n v="1.03"/>
    <n v="0"/>
    <n v="0"/>
    <n v="0"/>
    <n v="0"/>
    <n v="0"/>
    <s v="--"/>
    <s v="--"/>
    <d v="1899-12-31T08:50:00"/>
    <d v="1899-12-30T00:00:00"/>
    <n v="0"/>
    <d v="1899-12-30T00:00:00"/>
    <s v="Não"/>
    <s v="00:04.47"/>
    <n v="12"/>
    <n v="0"/>
    <d v="1899-12-30T00:30:18"/>
    <d v="1899-12-30T00:32:50"/>
    <n v="53"/>
    <n v="53"/>
  </r>
  <r>
    <s v="Corrida"/>
    <x v="134"/>
    <s v="false"/>
    <s v="Corrida"/>
    <n v="5.01"/>
    <n v="335"/>
    <d v="1899-12-30T00:29:07"/>
    <n v="177"/>
    <n v="190"/>
    <n v="4.5"/>
    <n v="153"/>
    <n v="159"/>
    <d v="1899-12-30T05:49:00"/>
    <d v="1899-12-30T05:24:00"/>
    <s v="--"/>
    <s v="--"/>
    <n v="1.1200000000000001"/>
    <n v="0"/>
    <n v="0"/>
    <n v="0"/>
    <n v="0"/>
    <n v="0"/>
    <s v="--"/>
    <s v="--"/>
    <d v="1899-12-31T05:07:00"/>
    <d v="1899-12-30T00:00:00"/>
    <n v="0"/>
    <d v="1899-12-30T00:00:00"/>
    <s v="Não"/>
    <s v="00:04.11"/>
    <n v="6"/>
    <n v="0"/>
    <d v="1899-12-30T00:29:06"/>
    <d v="1899-12-30T00:29:07"/>
    <s v="--"/>
    <s v="--"/>
  </r>
  <r>
    <s v="Corrida"/>
    <x v="135"/>
    <s v="false"/>
    <s v="5 x 400m com intervalo 2min caminhando"/>
    <n v="3.89"/>
    <n v="277"/>
    <d v="1899-12-30T00:27:25"/>
    <n v="162"/>
    <n v="187"/>
    <n v="3.5"/>
    <n v="132"/>
    <n v="160"/>
    <d v="1899-12-30T07:02:00"/>
    <d v="1899-12-30T04:31:00"/>
    <s v="--"/>
    <s v="--"/>
    <n v="1.06"/>
    <n v="0"/>
    <n v="0"/>
    <n v="0"/>
    <n v="0"/>
    <n v="0"/>
    <s v="--"/>
    <s v="--"/>
    <d v="1899-12-31T03:25:00"/>
    <d v="1899-12-30T00:00:00"/>
    <n v="0"/>
    <d v="1899-12-30T00:00:00"/>
    <s v="Não"/>
    <s v="00:02.34"/>
    <n v="12"/>
    <n v="0"/>
    <d v="1899-12-30T00:24:54"/>
    <d v="1899-12-30T00:27:25"/>
    <s v="--"/>
    <s v="--"/>
  </r>
  <r>
    <s v="Corrida"/>
    <x v="136"/>
    <s v="false"/>
    <s v="Blumenau Corrida"/>
    <n v="4.01"/>
    <n v="272"/>
    <d v="1899-12-30T00:24:06"/>
    <n v="176"/>
    <n v="190"/>
    <n v="4.2"/>
    <n v="157"/>
    <n v="164"/>
    <d v="1899-12-30T06:01:00"/>
    <d v="1899-12-30T03:50:00"/>
    <n v="7"/>
    <n v="14"/>
    <n v="1.06"/>
    <n v="0"/>
    <n v="0"/>
    <n v="0"/>
    <n v="0"/>
    <n v="0"/>
    <s v="--"/>
    <s v="--"/>
    <d v="1899-12-31T00:06:00"/>
    <d v="1899-12-30T00:00:00"/>
    <n v="0"/>
    <d v="1899-12-30T00:00:00"/>
    <s v="Não"/>
    <s v="00:03.34"/>
    <n v="5"/>
    <n v="0"/>
    <d v="1899-12-30T00:24:06"/>
    <d v="1899-12-30T00:24:06"/>
    <n v="12"/>
    <n v="29"/>
  </r>
  <r>
    <s v="Corrida"/>
    <x v="137"/>
    <s v="false"/>
    <s v="Blumenau - Run Workout"/>
    <n v="3.01"/>
    <n v="205"/>
    <d v="1899-12-30T00:18:48"/>
    <n v="173"/>
    <n v="188"/>
    <n v="3.6"/>
    <n v="157"/>
    <n v="165"/>
    <d v="1899-12-30T06:15:00"/>
    <d v="1899-12-30T03:57:00"/>
    <n v="13"/>
    <n v="19"/>
    <n v="1.02"/>
    <n v="0"/>
    <n v="0"/>
    <n v="0"/>
    <n v="0"/>
    <n v="0"/>
    <s v="--"/>
    <s v="--"/>
    <d v="1899-12-30T18:48:00"/>
    <d v="1899-12-30T00:00:00"/>
    <n v="0"/>
    <d v="1899-12-30T00:00:00"/>
    <s v="Não"/>
    <s v="00:05.08"/>
    <n v="11"/>
    <n v="0"/>
    <d v="1899-12-30T00:18:47"/>
    <d v="1899-12-30T00:18:48"/>
    <n v="12"/>
    <n v="30"/>
  </r>
  <r>
    <s v="Corrida"/>
    <x v="138"/>
    <s v="false"/>
    <s v="Blumenau Corrida"/>
    <n v="3.51"/>
    <n v="243"/>
    <d v="1899-12-30T00:20:57"/>
    <n v="178"/>
    <n v="191"/>
    <n v="4"/>
    <n v="157"/>
    <n v="164"/>
    <d v="1899-12-30T05:59:00"/>
    <d v="1899-12-30T04:34:00"/>
    <n v="10"/>
    <n v="16"/>
    <n v="1.07"/>
    <n v="0"/>
    <n v="0"/>
    <n v="0"/>
    <n v="0"/>
    <n v="0"/>
    <s v="--"/>
    <s v="--"/>
    <d v="1899-12-30T20:57:00"/>
    <d v="1899-12-30T00:00:00"/>
    <n v="0"/>
    <d v="1899-12-30T00:00:00"/>
    <s v="Não"/>
    <s v="03:00.08"/>
    <n v="4"/>
    <n v="0"/>
    <d v="1899-12-30T00:20:56"/>
    <d v="1899-12-30T00:20:57"/>
    <n v="12"/>
    <n v="33"/>
  </r>
  <r>
    <s v="Corrida"/>
    <x v="139"/>
    <s v="false"/>
    <s v="Blumenau - Run Workout"/>
    <n v="3.9"/>
    <n v="296"/>
    <d v="1899-12-30T00:28:25"/>
    <n v="165"/>
    <n v="185"/>
    <n v="3.7"/>
    <n v="141"/>
    <n v="164"/>
    <d v="1899-12-30T07:17:00"/>
    <d v="1899-12-30T04:10:00"/>
    <n v="26"/>
    <n v="21"/>
    <n v="0.96"/>
    <n v="0"/>
    <n v="0"/>
    <n v="0"/>
    <n v="0"/>
    <n v="0"/>
    <s v="--"/>
    <s v="--"/>
    <d v="1899-12-31T04:25:00"/>
    <d v="1899-12-30T00:00:00"/>
    <n v="0"/>
    <d v="1899-12-30T00:00:00"/>
    <s v="Não"/>
    <s v="00:02.91"/>
    <n v="7"/>
    <n v="0"/>
    <d v="1899-12-30T00:28:14"/>
    <d v="1899-12-30T00:28:25"/>
    <n v="12"/>
    <n v="31"/>
  </r>
  <r>
    <s v="Corrida"/>
    <x v="140"/>
    <s v="false"/>
    <s v="Blumenau Corrida"/>
    <n v="3.01"/>
    <n v="211"/>
    <d v="1899-12-30T00:18:09"/>
    <n v="177"/>
    <n v="191"/>
    <n v="3.8"/>
    <n v="157"/>
    <n v="164"/>
    <d v="1899-12-30T06:02:00"/>
    <d v="1899-12-30T05:42:00"/>
    <n v="8"/>
    <n v="14"/>
    <n v="1.06"/>
    <n v="0"/>
    <n v="0"/>
    <n v="0"/>
    <n v="0"/>
    <n v="0"/>
    <s v="--"/>
    <s v="--"/>
    <d v="1899-12-30T18:09:00"/>
    <d v="1899-12-30T00:00:00"/>
    <n v="0"/>
    <d v="1899-12-30T00:00:00"/>
    <s v="Não"/>
    <s v="00:03.33"/>
    <n v="4"/>
    <n v="0"/>
    <d v="1899-12-30T00:18:08"/>
    <d v="1899-12-30T00:18:09"/>
    <n v="12"/>
    <n v="29"/>
  </r>
  <r>
    <s v="Corrida"/>
    <x v="141"/>
    <s v="false"/>
    <s v="Blumenau Corrida"/>
    <n v="3.01"/>
    <n v="207"/>
    <d v="1899-12-30T00:18:14"/>
    <n v="173"/>
    <n v="189"/>
    <n v="3.6"/>
    <n v="156"/>
    <n v="162"/>
    <d v="1899-12-30T06:03:00"/>
    <d v="1899-12-30T05:41:00"/>
    <n v="5"/>
    <n v="16"/>
    <n v="1.06"/>
    <n v="0"/>
    <n v="0"/>
    <n v="0"/>
    <n v="0"/>
    <n v="0"/>
    <s v="--"/>
    <s v="--"/>
    <d v="1899-12-30T18:14:00"/>
    <d v="1899-12-30T00:00:00"/>
    <n v="0"/>
    <d v="1899-12-30T00:00:00"/>
    <s v="Não"/>
    <s v="00:03.54"/>
    <n v="4"/>
    <n v="0"/>
    <d v="1899-12-30T00:18:13"/>
    <d v="1899-12-30T00:18:14"/>
    <n v="12"/>
    <n v="29"/>
  </r>
  <r>
    <s v="Corrida"/>
    <x v="142"/>
    <s v="false"/>
    <s v="Blumenau Corrida"/>
    <n v="3.2"/>
    <n v="234"/>
    <d v="1899-12-30T00:24:36"/>
    <n v="153"/>
    <n v="176"/>
    <n v="3.1"/>
    <n v="128"/>
    <n v="160"/>
    <d v="1899-12-30T07:41:00"/>
    <d v="1899-12-30T02:26:00"/>
    <n v="63"/>
    <n v="60"/>
    <n v="1.01"/>
    <n v="0"/>
    <n v="0"/>
    <n v="0"/>
    <n v="0"/>
    <n v="0"/>
    <s v="--"/>
    <s v="--"/>
    <d v="1899-12-31T00:36:00"/>
    <d v="1899-12-30T00:00:00"/>
    <n v="0"/>
    <d v="1899-12-30T00:00:00"/>
    <s v="Não"/>
    <s v="02:59.17"/>
    <n v="8"/>
    <n v="0"/>
    <d v="1899-12-30T00:24:34"/>
    <d v="1899-12-30T00:24:36"/>
    <n v="11"/>
    <n v="37"/>
  </r>
  <r>
    <s v="Corrida"/>
    <x v="143"/>
    <s v="false"/>
    <s v="Blumenau Corrida"/>
    <n v="2.5099999999999998"/>
    <n v="171"/>
    <d v="1899-12-30T00:16:08"/>
    <n v="161"/>
    <n v="177"/>
    <n v="3.1"/>
    <n v="152"/>
    <n v="158"/>
    <d v="1899-12-30T06:26:00"/>
    <d v="1899-12-30T04:11:00"/>
    <n v="81"/>
    <n v="88"/>
    <n v="1.01"/>
    <n v="0"/>
    <n v="0"/>
    <n v="0"/>
    <n v="0"/>
    <n v="0"/>
    <s v="--"/>
    <s v="--"/>
    <d v="1899-12-30T16:08:00"/>
    <d v="1899-12-30T00:00:00"/>
    <n v="0"/>
    <d v="1899-12-30T00:00:00"/>
    <s v="Não"/>
    <s v="03:14.96"/>
    <n v="3"/>
    <n v="0"/>
    <d v="1899-12-30T00:16:07"/>
    <d v="1899-12-30T00:16:08"/>
    <n v="19"/>
    <n v="56"/>
  </r>
  <r>
    <s v="Corrida"/>
    <x v="144"/>
    <s v="false"/>
    <s v="Blumenau - Run Workout"/>
    <n v="3.91"/>
    <n v="282"/>
    <d v="1899-12-30T00:27:31"/>
    <n v="162"/>
    <n v="182"/>
    <n v="3.6"/>
    <n v="142"/>
    <n v="160"/>
    <d v="1899-12-30T07:03:00"/>
    <d v="1899-12-30T03:50:00"/>
    <n v="13"/>
    <n v="19"/>
    <n v="0.99"/>
    <n v="0"/>
    <n v="0"/>
    <n v="0"/>
    <n v="0"/>
    <n v="0"/>
    <s v="--"/>
    <s v="--"/>
    <d v="1899-12-31T03:31:00"/>
    <d v="1899-12-30T00:00:00"/>
    <n v="0"/>
    <d v="1899-12-30T00:00:00"/>
    <s v="Não"/>
    <s v="00:03.15"/>
    <n v="7"/>
    <n v="0"/>
    <d v="1899-12-30T00:27:31"/>
    <d v="1899-12-30T00:27:31"/>
    <n v="12"/>
    <n v="28"/>
  </r>
  <r>
    <s v="Corrida"/>
    <x v="145"/>
    <s v="false"/>
    <s v="Blumenau Corrida"/>
    <n v="2.0099999999999998"/>
    <n v="140"/>
    <d v="1899-12-30T00:11:55"/>
    <n v="174"/>
    <n v="191"/>
    <n v="3.2"/>
    <n v="155"/>
    <n v="162"/>
    <d v="1899-12-30T05:56:00"/>
    <d v="1899-12-30T02:00:00"/>
    <n v="4"/>
    <n v="12"/>
    <n v="1.08"/>
    <n v="0"/>
    <n v="0"/>
    <n v="0"/>
    <n v="0"/>
    <n v="0"/>
    <s v="--"/>
    <s v="--"/>
    <d v="1899-12-30T11:55:00"/>
    <d v="1899-12-30T00:00:00"/>
    <n v="0"/>
    <d v="1899-12-30T00:00:00"/>
    <s v="Não"/>
    <s v="00:02.78"/>
    <n v="3"/>
    <n v="0"/>
    <d v="1899-12-30T00:11:55"/>
    <d v="1899-12-30T00:11:55"/>
    <n v="17"/>
    <n v="31"/>
  </r>
  <r>
    <s v="Corrida"/>
    <x v="146"/>
    <s v="false"/>
    <s v="Run Workout"/>
    <n v="3.81"/>
    <n v="290"/>
    <d v="1899-12-30T00:34:44"/>
    <n v="139"/>
    <n v="172"/>
    <n v="3.2"/>
    <n v="116"/>
    <n v="160"/>
    <d v="1899-12-30T09:08:00"/>
    <d v="1899-12-30T04:57:00"/>
    <s v="--"/>
    <s v="--"/>
    <n v="0.92"/>
    <n v="0"/>
    <n v="0"/>
    <n v="0"/>
    <n v="0"/>
    <n v="0"/>
    <s v="--"/>
    <s v="--"/>
    <d v="1899-12-31T10:44:00"/>
    <d v="1899-12-30T00:00:00"/>
    <n v="0"/>
    <d v="1899-12-30T00:00:00"/>
    <s v="Não"/>
    <s v="00:03.23"/>
    <n v="10"/>
    <n v="0"/>
    <d v="1899-12-30T00:32:12"/>
    <d v="1899-12-30T00:34:44"/>
    <s v="--"/>
    <s v="--"/>
  </r>
  <r>
    <s v="Corrida"/>
    <x v="147"/>
    <s v="false"/>
    <s v="Corrida"/>
    <n v="2.58"/>
    <n v="200"/>
    <d v="1899-12-30T00:30:01"/>
    <n v="122"/>
    <n v="135"/>
    <n v="1.9"/>
    <n v="107"/>
    <n v="135"/>
    <d v="1899-12-30T11:39:00"/>
    <d v="1899-12-30T08:53:00"/>
    <s v="--"/>
    <s v="--"/>
    <n v="0.8"/>
    <n v="0"/>
    <n v="0"/>
    <n v="0"/>
    <n v="0"/>
    <n v="0"/>
    <s v="--"/>
    <s v="--"/>
    <d v="1899-12-31T06:01:00"/>
    <d v="1899-12-30T00:00:00"/>
    <n v="0"/>
    <d v="1899-12-30T00:00:00"/>
    <s v="Não"/>
    <s v="07:00.73"/>
    <n v="3"/>
    <n v="0"/>
    <d v="1899-12-30T00:29:27"/>
    <d v="1899-12-30T00:30:01"/>
    <s v="--"/>
    <s v="--"/>
  </r>
  <r>
    <s v="Corrida"/>
    <x v="148"/>
    <s v="false"/>
    <s v="Blumenau Corrida"/>
    <n v="2.0099999999999998"/>
    <n v="141"/>
    <d v="1899-12-30T00:11:39"/>
    <n v="176"/>
    <n v="190"/>
    <n v="3.3"/>
    <n v="157"/>
    <n v="162"/>
    <d v="1899-12-30T05:48:00"/>
    <d v="1899-12-30T04:50:00"/>
    <s v="--"/>
    <n v="6"/>
    <n v="1.1000000000000001"/>
    <n v="0"/>
    <n v="0"/>
    <n v="0"/>
    <n v="0"/>
    <n v="0"/>
    <s v="--"/>
    <s v="--"/>
    <d v="1899-12-30T11:39:00"/>
    <d v="1899-12-30T00:00:00"/>
    <n v="0"/>
    <d v="1899-12-30T00:00:00"/>
    <s v="Não"/>
    <s v="00:04.06"/>
    <n v="3"/>
    <n v="0"/>
    <d v="1899-12-30T00:11:39"/>
    <d v="1899-12-30T00:11:39"/>
    <n v="16"/>
    <n v="32"/>
  </r>
  <r>
    <s v="Corrida"/>
    <x v="149"/>
    <s v="false"/>
    <s v="Blumenau - Run Workout"/>
    <n v="3.84"/>
    <n v="325"/>
    <d v="1899-12-30T00:27:52"/>
    <n v="169"/>
    <n v="188"/>
    <n v="4.2"/>
    <n v="141"/>
    <n v="163"/>
    <d v="1899-12-30T07:16:00"/>
    <d v="1899-12-30T05:47:00"/>
    <n v="15"/>
    <n v="23"/>
    <n v="0.96"/>
    <n v="0"/>
    <n v="0"/>
    <n v="0"/>
    <n v="0"/>
    <n v="0"/>
    <s v="--"/>
    <s v="--"/>
    <d v="1899-12-31T03:52:00"/>
    <d v="1899-12-30T00:00:00"/>
    <n v="0"/>
    <d v="1899-12-30T00:00:00"/>
    <s v="Não"/>
    <s v="00:04.85"/>
    <n v="7"/>
    <n v="0"/>
    <d v="1899-12-30T00:27:50"/>
    <d v="1899-12-30T00:27:52"/>
    <n v="12"/>
    <n v="31"/>
  </r>
  <r>
    <s v="Corrida"/>
    <x v="150"/>
    <s v="false"/>
    <s v="Corrida"/>
    <n v="2.0099999999999998"/>
    <n v="145"/>
    <d v="1899-12-30T00:12:37"/>
    <n v="166"/>
    <n v="180"/>
    <n v="3.1"/>
    <n v="152"/>
    <n v="158"/>
    <d v="1899-12-30T06:17:00"/>
    <d v="1899-12-30T05:42:00"/>
    <s v="--"/>
    <s v="--"/>
    <n v="1.05"/>
    <n v="0"/>
    <n v="0"/>
    <n v="0"/>
    <n v="0"/>
    <n v="0"/>
    <s v="--"/>
    <s v="--"/>
    <d v="1899-12-30T12:37:00"/>
    <d v="1899-12-30T00:00:00"/>
    <n v="0"/>
    <d v="1899-12-30T00:00:00"/>
    <s v="Não"/>
    <s v="00:02.55"/>
    <n v="3"/>
    <n v="0"/>
    <d v="1899-12-30T00:12:33"/>
    <d v="1899-12-30T00:12:37"/>
    <s v="--"/>
    <s v="--"/>
  </r>
  <r>
    <s v="Corrida"/>
    <x v="151"/>
    <s v="false"/>
    <s v="Blumenau Corrida"/>
    <n v="1.95"/>
    <n v="142"/>
    <d v="1899-12-30T00:12:31"/>
    <s v="--"/>
    <s v="--"/>
    <s v="--"/>
    <n v="149"/>
    <n v="160"/>
    <d v="1899-12-30T06:24:00"/>
    <d v="1899-12-30T03:36:00"/>
    <n v="13"/>
    <n v="11"/>
    <n v="1.05"/>
    <n v="0"/>
    <n v="0"/>
    <n v="0"/>
    <n v="0"/>
    <n v="0"/>
    <s v="--"/>
    <s v="--"/>
    <d v="1899-12-30T12:31:00"/>
    <d v="1899-12-30T00:00:00"/>
    <n v="0"/>
    <d v="1899-12-30T00:00:00"/>
    <s v="Não"/>
    <s v="00:01.60"/>
    <n v="4"/>
    <n v="0"/>
    <d v="1899-12-30T00:12:12"/>
    <d v="1899-12-30T00:23:59"/>
    <n v="17"/>
    <n v="33"/>
  </r>
  <r>
    <s v="Ciclismo"/>
    <x v="152"/>
    <s v="false"/>
    <s v="Blumenau Ciclismo"/>
    <n v="11.53"/>
    <n v="554"/>
    <d v="1899-12-30T00:44:58"/>
    <n v="167"/>
    <n v="185"/>
    <n v="5"/>
    <s v="--"/>
    <s v="--"/>
    <n v="15.4"/>
    <n v="38.299999999999997"/>
    <n v="106"/>
    <n v="111"/>
    <n v="0"/>
    <n v="0"/>
    <n v="0"/>
    <n v="0"/>
    <n v="0"/>
    <n v="0"/>
    <s v="--"/>
    <s v="--"/>
    <d v="1899-12-31T20:58:00"/>
    <d v="1899-12-30T00:00:00"/>
    <n v="0"/>
    <d v="1899-12-30T00:00:00"/>
    <s v="Não"/>
    <s v="10:01.20"/>
    <n v="3"/>
    <n v="0"/>
    <d v="1899-12-30T00:42:07"/>
    <d v="1899-12-30T00:44:58"/>
    <n v="15"/>
    <n v="58"/>
  </r>
  <r>
    <s v="Corrida"/>
    <x v="153"/>
    <s v="false"/>
    <s v="Corrida"/>
    <n v="5.49"/>
    <n v="289"/>
    <d v="1899-12-30T01:00:03"/>
    <n v="115"/>
    <n v="128"/>
    <n v="1.8"/>
    <n v="110"/>
    <n v="138"/>
    <d v="1899-12-30T10:57:00"/>
    <d v="1899-12-30T08:21:00"/>
    <s v="--"/>
    <s v="--"/>
    <n v="0.84"/>
    <n v="0"/>
    <n v="0"/>
    <n v="0"/>
    <n v="0"/>
    <n v="0"/>
    <s v="--"/>
    <s v="--"/>
    <d v="1899-12-30T01:00:03"/>
    <d v="1899-12-30T00:00:00"/>
    <n v="0"/>
    <d v="1899-12-30T00:00:00"/>
    <s v="Não"/>
    <s v="05:30.44"/>
    <n v="6"/>
    <n v="0"/>
    <d v="1899-12-30T00:58:28"/>
    <d v="1899-12-30T01:00:03"/>
    <s v="--"/>
    <s v="--"/>
  </r>
  <r>
    <s v="Corrida"/>
    <x v="154"/>
    <s v="false"/>
    <s v="Blumenau Corrida"/>
    <n v="4.7699999999999996"/>
    <n v="256"/>
    <d v="1899-12-30T00:39:38"/>
    <n v="134"/>
    <n v="165"/>
    <n v="2.8"/>
    <n v="116"/>
    <n v="164"/>
    <d v="1899-12-30T08:19:00"/>
    <d v="1899-12-30T05:18:00"/>
    <n v="16"/>
    <n v="19"/>
    <n v="1.04"/>
    <n v="0"/>
    <n v="0"/>
    <n v="0"/>
    <n v="0"/>
    <n v="0"/>
    <s v="--"/>
    <s v="--"/>
    <d v="1899-12-31T15:38:00"/>
    <d v="1899-12-30T00:00:00"/>
    <n v="0"/>
    <d v="1899-12-30T00:00:00"/>
    <s v="Não"/>
    <s v="05:55.26"/>
    <n v="5"/>
    <n v="0"/>
    <d v="1899-12-30T00:39:31"/>
    <d v="1899-12-30T00:39:38"/>
    <n v="12"/>
    <n v="28"/>
  </r>
  <r>
    <s v="Corrida"/>
    <x v="155"/>
    <s v="false"/>
    <s v="Blumenau - Run Workout"/>
    <n v="8.8000000000000007"/>
    <n v="630"/>
    <d v="1899-12-30T01:02:59"/>
    <n v="162"/>
    <n v="188"/>
    <n v="5"/>
    <n v="134"/>
    <n v="174"/>
    <d v="1899-12-30T07:09:00"/>
    <d v="1899-12-30T03:27:00"/>
    <n v="14"/>
    <n v="17"/>
    <n v="1.01"/>
    <n v="0"/>
    <n v="0"/>
    <n v="0"/>
    <n v="0"/>
    <n v="0"/>
    <s v="--"/>
    <s v="--"/>
    <d v="1899-12-30T01:02:59"/>
    <d v="1899-12-30T00:00:00"/>
    <n v="0"/>
    <d v="1899-12-30T00:00:00"/>
    <s v="Não"/>
    <s v="01:30.00"/>
    <n v="22"/>
    <n v="0"/>
    <d v="1899-12-30T01:02:44"/>
    <d v="1899-12-30T01:02:59"/>
    <n v="14"/>
    <n v="30"/>
  </r>
  <r>
    <s v="Corrida em esteira"/>
    <x v="156"/>
    <s v="false"/>
    <s v="Corrida"/>
    <n v="0"/>
    <n v="680"/>
    <d v="1899-12-30T00:47:20"/>
    <n v="171"/>
    <n v="186"/>
    <s v="--"/>
    <s v="--"/>
    <s v="--"/>
    <s v="--"/>
    <s v="--"/>
    <s v="--"/>
    <s v="--"/>
    <n v="0"/>
    <n v="0"/>
    <n v="0"/>
    <n v="0"/>
    <n v="0"/>
    <n v="0"/>
    <s v="--"/>
    <s v="--"/>
    <d v="1899-12-31T23:20:00"/>
    <d v="1899-12-30T00:00:00"/>
    <n v="0"/>
    <d v="1899-12-30T00:00:00"/>
    <s v="Não"/>
    <s v="00:00.00"/>
    <n v="1"/>
    <n v="0"/>
    <d v="1899-12-30T00:00:00"/>
    <d v="1899-12-30T00:47:20"/>
    <s v="--"/>
    <s v="--"/>
  </r>
  <r>
    <s v="Corrida"/>
    <x v="157"/>
    <s v="false"/>
    <s v="Corrida"/>
    <n v="0"/>
    <n v="794"/>
    <d v="1899-12-30T01:00:58"/>
    <n v="163"/>
    <n v="181"/>
    <s v="--"/>
    <s v="--"/>
    <s v="--"/>
    <s v="--"/>
    <s v="--"/>
    <s v="--"/>
    <s v="--"/>
    <n v="0"/>
    <n v="0"/>
    <n v="0"/>
    <n v="0"/>
    <n v="0"/>
    <n v="0"/>
    <s v="--"/>
    <s v="--"/>
    <d v="1899-12-30T01:00:58"/>
    <d v="1899-12-30T00:00:00"/>
    <n v="0"/>
    <d v="1899-12-30T00:00:00"/>
    <s v="Não"/>
    <s v="00:00.00"/>
    <n v="1"/>
    <n v="0"/>
    <d v="1899-12-30T00:00:00"/>
    <d v="1899-12-30T01:00:58"/>
    <s v="--"/>
    <s v="--"/>
  </r>
  <r>
    <s v="Corrida"/>
    <x v="158"/>
    <s v="false"/>
    <s v="Blumenau Corrida"/>
    <n v="8.58"/>
    <n v="756"/>
    <d v="1899-12-30T00:54:06"/>
    <n v="169"/>
    <n v="181"/>
    <s v="--"/>
    <s v="--"/>
    <s v="--"/>
    <d v="1899-12-30T06:19:00"/>
    <d v="1899-12-30T03:08:00"/>
    <n v="95"/>
    <n v="100"/>
    <n v="0"/>
    <n v="0"/>
    <n v="0"/>
    <n v="0"/>
    <n v="0"/>
    <n v="0"/>
    <s v="--"/>
    <s v="--"/>
    <d v="1900-01-01T06:06:00"/>
    <d v="1899-12-30T00:00:00"/>
    <n v="0"/>
    <d v="1899-12-30T00:00:00"/>
    <s v="Não"/>
    <s v="00:00.00"/>
    <n v="1"/>
    <n v="0"/>
    <d v="1899-12-30T00:52:43"/>
    <d v="1899-12-30T00:56:03"/>
    <n v="12"/>
    <n v="56"/>
  </r>
  <r>
    <s v="Corrida"/>
    <x v="159"/>
    <s v="false"/>
    <s v="Blumenau Corrida"/>
    <n v="1.9"/>
    <n v="147"/>
    <d v="1899-12-30T00:19:00"/>
    <n v="128"/>
    <n v="143"/>
    <s v="--"/>
    <s v="--"/>
    <s v="--"/>
    <d v="1899-12-30T10:01:00"/>
    <d v="1899-12-30T08:32:00"/>
    <n v="15"/>
    <n v="5"/>
    <n v="0"/>
    <n v="0"/>
    <n v="0"/>
    <n v="0"/>
    <n v="0"/>
    <n v="0"/>
    <s v="--"/>
    <s v="--"/>
    <d v="1899-12-30T19:00:00"/>
    <d v="1899-12-30T00:00:00"/>
    <n v="0"/>
    <d v="1899-12-30T00:00:00"/>
    <s v="Não"/>
    <s v="00:00.00"/>
    <n v="1"/>
    <n v="0"/>
    <d v="1899-12-30T00:19:00"/>
    <d v="1899-12-30T00:19:00"/>
    <n v="12"/>
    <n v="28"/>
  </r>
  <r>
    <s v="Corrida"/>
    <x v="160"/>
    <s v="false"/>
    <s v="Blumenau Corrida"/>
    <n v="1"/>
    <n v="64"/>
    <d v="1899-12-30T00:04:22"/>
    <n v="174"/>
    <n v="180"/>
    <s v="--"/>
    <s v="--"/>
    <s v="--"/>
    <d v="1899-12-30T04:22:00"/>
    <d v="1899-12-30T03:54:00"/>
    <n v="1"/>
    <s v="--"/>
    <n v="0"/>
    <n v="0"/>
    <n v="0"/>
    <n v="0"/>
    <n v="0"/>
    <n v="0"/>
    <s v="--"/>
    <s v="--"/>
    <d v="1899-12-30T00:04:22"/>
    <d v="1899-12-30T00:00:00"/>
    <n v="0"/>
    <d v="1899-12-30T00:00:00"/>
    <s v="Não"/>
    <s v="00:00.00"/>
    <n v="1"/>
    <n v="0"/>
    <d v="1899-12-30T00:04:22"/>
    <d v="1899-12-30T00:04:22"/>
    <n v="12"/>
    <n v="16"/>
  </r>
  <r>
    <s v="Corrida"/>
    <x v="161"/>
    <s v="false"/>
    <s v="Blumenau Corrida"/>
    <n v="1.46"/>
    <n v="80"/>
    <d v="1899-12-30T00:12:56"/>
    <n v="118"/>
    <n v="160"/>
    <s v="--"/>
    <s v="--"/>
    <s v="--"/>
    <d v="1899-12-30T08:52:00"/>
    <d v="1899-12-30T05:52:00"/>
    <n v="3"/>
    <n v="17"/>
    <n v="0"/>
    <n v="0"/>
    <n v="0"/>
    <n v="0"/>
    <n v="0"/>
    <n v="0"/>
    <s v="--"/>
    <s v="--"/>
    <d v="1899-12-30T12:56:00"/>
    <d v="1899-12-30T00:00:00"/>
    <n v="0"/>
    <d v="1899-12-30T00:00:00"/>
    <s v="Não"/>
    <s v="00:00.00"/>
    <n v="1"/>
    <n v="0"/>
    <d v="1899-12-30T00:12:56"/>
    <d v="1899-12-30T00:12:56"/>
    <n v="12"/>
    <n v="26"/>
  </r>
  <r>
    <s v="Corrida em esteira"/>
    <x v="162"/>
    <s v="false"/>
    <s v="Corrida"/>
    <n v="0"/>
    <n v="627"/>
    <d v="1899-12-30T00:49:18"/>
    <n v="161"/>
    <n v="190"/>
    <s v="--"/>
    <s v="--"/>
    <s v="--"/>
    <s v="--"/>
    <s v="--"/>
    <s v="--"/>
    <s v="--"/>
    <n v="0"/>
    <n v="0"/>
    <n v="0"/>
    <n v="0"/>
    <n v="0"/>
    <n v="0"/>
    <s v="--"/>
    <s v="--"/>
    <d v="1900-01-01T01:18:00"/>
    <d v="1899-12-30T00:00:00"/>
    <n v="0"/>
    <d v="1899-12-30T00:00:00"/>
    <s v="Não"/>
    <s v="00:00.00"/>
    <n v="1"/>
    <n v="0"/>
    <d v="1899-12-30T00:00:00"/>
    <d v="1899-12-30T00:49:18"/>
    <s v="--"/>
    <s v="--"/>
  </r>
  <r>
    <s v="Corrida"/>
    <x v="163"/>
    <s v="false"/>
    <s v="Blumenau Corrida"/>
    <n v="5.9"/>
    <n v="516"/>
    <d v="1899-12-30T00:35:35"/>
    <n v="172"/>
    <n v="185"/>
    <s v="--"/>
    <s v="--"/>
    <s v="--"/>
    <d v="1899-12-30T06:02:00"/>
    <d v="1899-12-30T05:05:00"/>
    <n v="64"/>
    <n v="68"/>
    <n v="0"/>
    <n v="0"/>
    <n v="0"/>
    <n v="0"/>
    <n v="0"/>
    <n v="0"/>
    <s v="--"/>
    <s v="--"/>
    <d v="1899-12-31T11:35:00"/>
    <d v="1899-12-30T00:00:00"/>
    <n v="0"/>
    <d v="1899-12-30T00:00:00"/>
    <s v="Não"/>
    <s v="00:00.00"/>
    <n v="1"/>
    <n v="0"/>
    <d v="1899-12-30T00:35:29"/>
    <d v="1899-12-30T00:35:35"/>
    <n v="12"/>
    <n v="56"/>
  </r>
  <r>
    <s v="Corrida"/>
    <x v="164"/>
    <s v="false"/>
    <s v="Blumenau Corrida"/>
    <n v="13.51"/>
    <n v="1185"/>
    <d v="1899-12-30T01:25:57"/>
    <n v="168"/>
    <n v="204"/>
    <s v="--"/>
    <s v="--"/>
    <s v="--"/>
    <d v="1899-12-30T06:22:00"/>
    <d v="1899-12-30T02:11:00"/>
    <n v="221"/>
    <n v="225"/>
    <n v="0"/>
    <n v="0"/>
    <n v="0"/>
    <n v="0"/>
    <n v="0"/>
    <n v="0"/>
    <s v="--"/>
    <s v="--"/>
    <d v="1899-12-30T01:25:57"/>
    <d v="1899-12-30T00:00:00"/>
    <n v="0"/>
    <d v="1899-12-30T00:00:00"/>
    <s v="Não"/>
    <s v="00:00.00"/>
    <n v="1"/>
    <n v="0"/>
    <d v="1899-12-30T01:25:57"/>
    <d v="1899-12-30T01:25:57"/>
    <n v="20"/>
    <n v="117"/>
  </r>
  <r>
    <s v="Corrida em esteira"/>
    <x v="165"/>
    <s v="false"/>
    <s v="Corrida"/>
    <n v="0"/>
    <n v="557"/>
    <d v="1899-12-30T00:40:12"/>
    <n v="168"/>
    <n v="180"/>
    <s v="--"/>
    <s v="--"/>
    <s v="--"/>
    <s v="--"/>
    <s v="--"/>
    <s v="--"/>
    <s v="--"/>
    <n v="0"/>
    <n v="0"/>
    <n v="0"/>
    <n v="0"/>
    <n v="0"/>
    <n v="0"/>
    <s v="--"/>
    <s v="--"/>
    <d v="1899-12-31T16:12:00"/>
    <d v="1899-12-30T00:00:00"/>
    <n v="0"/>
    <d v="1899-12-30T00:00:00"/>
    <s v="Não"/>
    <s v="00:00.00"/>
    <n v="1"/>
    <n v="0"/>
    <d v="1899-12-30T00:00:00"/>
    <d v="1899-12-30T00:40:12"/>
    <s v="--"/>
    <s v="--"/>
  </r>
  <r>
    <s v="Corrida em esteira"/>
    <x v="166"/>
    <s v="false"/>
    <s v="Corrida"/>
    <n v="0"/>
    <n v="608"/>
    <d v="1899-12-30T00:46:26"/>
    <n v="163"/>
    <n v="187"/>
    <s v="--"/>
    <s v="--"/>
    <s v="--"/>
    <s v="--"/>
    <s v="--"/>
    <s v="--"/>
    <s v="--"/>
    <n v="0"/>
    <n v="0"/>
    <n v="0"/>
    <n v="0"/>
    <n v="0"/>
    <n v="0"/>
    <s v="--"/>
    <s v="--"/>
    <d v="1899-12-31T22:26:00"/>
    <d v="1899-12-30T00:00:00"/>
    <n v="0"/>
    <d v="1899-12-30T00:00:00"/>
    <s v="Não"/>
    <s v="00:00.00"/>
    <n v="1"/>
    <n v="0"/>
    <d v="1899-12-30T00:00:00"/>
    <d v="1899-12-30T00:46:26"/>
    <s v="--"/>
    <s v="--"/>
  </r>
  <r>
    <s v="Treino de força"/>
    <x v="167"/>
    <s v="false"/>
    <s v="Musculação"/>
    <n v="0"/>
    <n v="331"/>
    <d v="1899-12-30T00:57:42"/>
    <n v="115"/>
    <n v="152"/>
    <s v="--"/>
    <s v="--"/>
    <s v="--"/>
    <s v="--"/>
    <s v="--"/>
    <s v="--"/>
    <s v="--"/>
    <n v="0"/>
    <n v="0"/>
    <n v="0"/>
    <n v="0"/>
    <n v="0"/>
    <n v="0"/>
    <s v="--"/>
    <s v="--"/>
    <d v="1900-01-01T09:42:00"/>
    <d v="1899-12-30T00:00:00"/>
    <n v="0"/>
    <d v="1899-12-30T00:00:00"/>
    <s v="Não"/>
    <s v="00:00.00"/>
    <n v="1"/>
    <n v="0"/>
    <d v="1899-12-30T00:00:00"/>
    <d v="1899-12-30T00:57:42"/>
    <s v="--"/>
    <s v="--"/>
  </r>
  <r>
    <s v="Corrida"/>
    <x v="168"/>
    <s v="false"/>
    <s v="Blumenau Corrida"/>
    <n v="6.02"/>
    <n v="473"/>
    <d v="1899-12-30T00:34:55"/>
    <n v="166"/>
    <n v="183"/>
    <s v="--"/>
    <s v="--"/>
    <s v="--"/>
    <d v="1899-12-30T05:48:00"/>
    <d v="1899-12-30T02:12:00"/>
    <n v="63"/>
    <n v="67"/>
    <n v="0"/>
    <n v="0"/>
    <n v="0"/>
    <n v="0"/>
    <n v="0"/>
    <n v="0"/>
    <s v="--"/>
    <s v="--"/>
    <d v="1899-12-31T10:55:00"/>
    <d v="1899-12-30T00:00:00"/>
    <n v="0"/>
    <d v="1899-12-30T00:00:00"/>
    <s v="Não"/>
    <s v="00:10.37"/>
    <n v="4"/>
    <n v="0"/>
    <d v="1899-12-30T00:32:12"/>
    <d v="1899-12-30T00:34:55"/>
    <n v="22"/>
    <n v="55"/>
  </r>
  <r>
    <s v="Corrida"/>
    <x v="169"/>
    <s v="false"/>
    <s v="Blumenau Corrida"/>
    <n v="12.82"/>
    <n v="1125"/>
    <d v="1899-12-30T01:18:55"/>
    <n v="171"/>
    <n v="182"/>
    <s v="--"/>
    <s v="--"/>
    <s v="--"/>
    <d v="1899-12-30T06:09:00"/>
    <d v="1899-12-30T02:23:00"/>
    <n v="188"/>
    <n v="192"/>
    <n v="0"/>
    <n v="0"/>
    <n v="0"/>
    <n v="0"/>
    <n v="0"/>
    <n v="0"/>
    <s v="--"/>
    <s v="--"/>
    <d v="1899-12-30T01:18:55"/>
    <d v="1899-12-30T00:00:00"/>
    <n v="0"/>
    <d v="1899-12-30T00:00:00"/>
    <s v="Não"/>
    <s v="00:00.00"/>
    <n v="1"/>
    <n v="0"/>
    <d v="1899-12-30T01:18:55"/>
    <d v="1899-12-30T01:18:55"/>
    <n v="20"/>
    <n v="117"/>
  </r>
  <r>
    <s v="Corrida"/>
    <x v="170"/>
    <s v="false"/>
    <s v="Blumenau Corrida"/>
    <n v="4.71"/>
    <n v="538"/>
    <d v="1899-12-30T00:41:37"/>
    <n v="164"/>
    <n v="184"/>
    <s v="--"/>
    <s v="--"/>
    <s v="--"/>
    <d v="1899-12-30T08:50:00"/>
    <d v="1899-12-30T01:00:00"/>
    <n v="75"/>
    <n v="75"/>
    <n v="0"/>
    <n v="0"/>
    <n v="0"/>
    <n v="0"/>
    <n v="0"/>
    <n v="0"/>
    <s v="--"/>
    <s v="--"/>
    <d v="1899-12-31T17:37:00"/>
    <d v="1899-12-30T00:00:00"/>
    <n v="0"/>
    <d v="1899-12-30T00:00:00"/>
    <s v="Não"/>
    <s v="00:55.56"/>
    <n v="21"/>
    <n v="0"/>
    <d v="1899-12-30T00:36:04"/>
    <d v="1899-12-30T00:41:37"/>
    <n v="18"/>
    <n v="36"/>
  </r>
  <r>
    <s v="Treino de força"/>
    <x v="171"/>
    <s v="false"/>
    <s v="Musculação"/>
    <n v="0"/>
    <n v="290"/>
    <d v="1899-12-30T00:52:56"/>
    <n v="113"/>
    <n v="158"/>
    <s v="--"/>
    <s v="--"/>
    <s v="--"/>
    <s v="--"/>
    <s v="--"/>
    <s v="--"/>
    <s v="--"/>
    <n v="0"/>
    <n v="0"/>
    <n v="0"/>
    <n v="0"/>
    <n v="0"/>
    <n v="0"/>
    <s v="--"/>
    <s v="--"/>
    <d v="1900-01-01T04:56:00"/>
    <d v="1899-12-30T00:00:00"/>
    <n v="0"/>
    <d v="1899-12-30T00:00:00"/>
    <s v="Não"/>
    <s v="00:00.00"/>
    <n v="1"/>
    <n v="0"/>
    <d v="1899-12-30T00:00:00"/>
    <d v="1899-12-30T00:52:56"/>
    <s v="--"/>
    <s v="--"/>
  </r>
  <r>
    <s v="Corrida"/>
    <x v="172"/>
    <s v="false"/>
    <s v="Blumenau Corrida"/>
    <n v="9.24"/>
    <n v="822"/>
    <d v="1899-12-30T00:56:30"/>
    <n v="173"/>
    <n v="184"/>
    <s v="--"/>
    <s v="--"/>
    <s v="--"/>
    <d v="1899-12-30T06:07:00"/>
    <d v="1899-12-30T04:03:00"/>
    <n v="104"/>
    <n v="107"/>
    <n v="0"/>
    <n v="0"/>
    <n v="0"/>
    <n v="0"/>
    <n v="0"/>
    <n v="0"/>
    <s v="--"/>
    <s v="--"/>
    <d v="1900-01-01T08:30:00"/>
    <d v="1899-12-30T00:00:00"/>
    <n v="0"/>
    <d v="1899-12-30T00:00:00"/>
    <s v="Não"/>
    <s v="01:23.65"/>
    <n v="10"/>
    <n v="0"/>
    <d v="1899-12-30T00:56:28"/>
    <d v="1899-12-30T00:56:30"/>
    <n v="12"/>
    <n v="56"/>
  </r>
  <r>
    <s v="Treino de força"/>
    <x v="173"/>
    <s v="false"/>
    <s v="Musculação"/>
    <n v="0"/>
    <n v="212"/>
    <d v="1899-12-30T01:00:23"/>
    <n v="100"/>
    <n v="122"/>
    <s v="--"/>
    <s v="--"/>
    <s v="--"/>
    <s v="--"/>
    <s v="--"/>
    <s v="--"/>
    <s v="--"/>
    <n v="0"/>
    <n v="0"/>
    <n v="0"/>
    <n v="0"/>
    <n v="0"/>
    <n v="0"/>
    <s v="--"/>
    <s v="--"/>
    <d v="1899-12-30T01:00:23"/>
    <d v="1899-12-30T00:00:00"/>
    <n v="0"/>
    <d v="1899-12-30T00:00:00"/>
    <s v="Não"/>
    <s v="00:00.00"/>
    <n v="1"/>
    <n v="0"/>
    <d v="1899-12-30T00:00:00"/>
    <d v="1899-12-30T01:00:23"/>
    <s v="--"/>
    <s v="--"/>
  </r>
  <r>
    <s v="Corrida"/>
    <x v="174"/>
    <s v="false"/>
    <s v="Blumenau Corrida"/>
    <n v="6"/>
    <n v="503"/>
    <d v="1899-12-30T00:36:54"/>
    <n v="167"/>
    <n v="183"/>
    <s v="--"/>
    <s v="--"/>
    <s v="--"/>
    <d v="1899-12-30T06:09:00"/>
    <d v="1899-12-30T01:49:00"/>
    <n v="65"/>
    <n v="69"/>
    <n v="0"/>
    <n v="0"/>
    <n v="0"/>
    <n v="0"/>
    <n v="0"/>
    <n v="0"/>
    <s v="--"/>
    <s v="--"/>
    <d v="1899-12-31T12:54:00"/>
    <d v="1899-12-30T00:00:00"/>
    <n v="0"/>
    <d v="1899-12-30T00:00:00"/>
    <s v="Não"/>
    <s v="02:57.84"/>
    <n v="5"/>
    <n v="0"/>
    <d v="1899-12-30T00:32:57"/>
    <d v="1899-12-30T00:36:54"/>
    <n v="22"/>
    <n v="55"/>
  </r>
  <r>
    <s v="Corrida"/>
    <x v="175"/>
    <s v="false"/>
    <s v="Blumenau Corrida"/>
    <n v="10.3"/>
    <n v="860"/>
    <d v="1899-12-30T01:00:01"/>
    <n v="172"/>
    <n v="184"/>
    <s v="--"/>
    <s v="--"/>
    <s v="--"/>
    <d v="1899-12-30T05:50:00"/>
    <d v="1899-12-30T03:17:00"/>
    <n v="110"/>
    <n v="109"/>
    <n v="0"/>
    <n v="0"/>
    <n v="0"/>
    <n v="0"/>
    <n v="0"/>
    <n v="0"/>
    <s v="--"/>
    <s v="--"/>
    <d v="1899-12-30T01:00:01"/>
    <d v="1899-12-30T00:00:00"/>
    <n v="0"/>
    <d v="1899-12-30T00:00:00"/>
    <s v="Não"/>
    <s v="01:39.89"/>
    <n v="11"/>
    <n v="0"/>
    <d v="1899-12-30T00:59:58"/>
    <d v="1899-12-30T01:00:01"/>
    <n v="14"/>
    <n v="60"/>
  </r>
  <r>
    <s v="Corrida"/>
    <x v="176"/>
    <s v="false"/>
    <s v="Blumenau Corrida"/>
    <n v="11.6"/>
    <n v="1036"/>
    <d v="1899-12-30T01:12:38"/>
    <n v="171"/>
    <n v="183"/>
    <s v="--"/>
    <s v="--"/>
    <s v="--"/>
    <d v="1899-12-30T06:16:00"/>
    <d v="1899-12-30T04:36:00"/>
    <n v="178"/>
    <n v="184"/>
    <n v="0"/>
    <n v="0"/>
    <n v="0"/>
    <n v="0"/>
    <n v="0"/>
    <n v="0"/>
    <s v="--"/>
    <s v="--"/>
    <d v="1899-12-30T01:12:38"/>
    <d v="1899-12-30T00:00:00"/>
    <n v="0"/>
    <d v="1899-12-30T00:00:00"/>
    <s v="Não"/>
    <s v="00:00.00"/>
    <n v="1"/>
    <n v="0"/>
    <d v="1899-12-30T01:12:38"/>
    <d v="1899-12-30T01:12:38"/>
    <n v="20"/>
    <n v="116"/>
  </r>
  <r>
    <s v="Treino de força"/>
    <x v="177"/>
    <s v="false"/>
    <s v="Musculação"/>
    <n v="0"/>
    <n v="216"/>
    <d v="1899-12-30T00:41:17"/>
    <n v="111"/>
    <n v="161"/>
    <s v="--"/>
    <s v="--"/>
    <s v="--"/>
    <s v="--"/>
    <s v="--"/>
    <s v="--"/>
    <s v="--"/>
    <n v="0"/>
    <n v="0"/>
    <n v="0"/>
    <n v="0"/>
    <n v="0"/>
    <n v="0"/>
    <s v="--"/>
    <s v="--"/>
    <d v="1899-12-31T17:17:00"/>
    <d v="1899-12-30T00:00:00"/>
    <n v="0"/>
    <d v="1899-12-30T00:00:00"/>
    <s v="Não"/>
    <s v="00:00.00"/>
    <n v="1"/>
    <n v="0"/>
    <d v="1899-12-30T00:00:00"/>
    <d v="1899-12-30T00:41:17"/>
    <s v="--"/>
    <s v="--"/>
  </r>
  <r>
    <s v="Corrida"/>
    <x v="178"/>
    <s v="false"/>
    <s v="Blumenau Corrida"/>
    <n v="6.41"/>
    <n v="586"/>
    <d v="1899-12-30T00:51:44"/>
    <n v="153"/>
    <n v="182"/>
    <s v="--"/>
    <s v="--"/>
    <s v="--"/>
    <d v="1899-12-30T08:04:00"/>
    <d v="1899-12-30T03:47:00"/>
    <n v="18"/>
    <n v="30"/>
    <n v="0"/>
    <n v="0"/>
    <n v="0"/>
    <n v="0"/>
    <n v="0"/>
    <n v="0"/>
    <s v="--"/>
    <s v="--"/>
    <d v="1900-01-01T03:44:00"/>
    <d v="1899-12-30T00:00:00"/>
    <n v="0"/>
    <d v="1899-12-30T00:00:00"/>
    <s v="Não"/>
    <s v="00:05.33"/>
    <n v="22"/>
    <n v="0"/>
    <d v="1899-12-30T00:40:38"/>
    <d v="1899-12-30T00:51:44"/>
    <n v="12"/>
    <n v="31"/>
  </r>
  <r>
    <s v="Treino de força"/>
    <x v="179"/>
    <s v="false"/>
    <s v="Musculação"/>
    <n v="0"/>
    <n v="179"/>
    <d v="1899-12-30T00:56:14"/>
    <n v="98"/>
    <n v="120"/>
    <s v="--"/>
    <s v="--"/>
    <s v="--"/>
    <s v="--"/>
    <s v="--"/>
    <s v="--"/>
    <s v="--"/>
    <n v="0"/>
    <n v="0"/>
    <n v="0"/>
    <n v="0"/>
    <n v="0"/>
    <n v="0"/>
    <s v="--"/>
    <s v="--"/>
    <d v="1900-01-01T08:14:00"/>
    <d v="1899-12-30T00:00:00"/>
    <n v="0"/>
    <d v="1899-12-30T00:00:00"/>
    <s v="Não"/>
    <s v="00:00.00"/>
    <n v="1"/>
    <n v="0"/>
    <d v="1899-12-30T00:00:00"/>
    <d v="1899-12-30T00:56:14"/>
    <s v="--"/>
    <s v="--"/>
  </r>
  <r>
    <s v="Corrida"/>
    <x v="180"/>
    <s v="false"/>
    <s v="Blumenau Corrida"/>
    <n v="7"/>
    <n v="577"/>
    <d v="1899-12-30T00:45:17"/>
    <n v="162"/>
    <n v="182"/>
    <s v="--"/>
    <s v="--"/>
    <s v="--"/>
    <d v="1899-12-30T06:28:00"/>
    <d v="1899-12-30T02:33:00"/>
    <n v="24"/>
    <n v="40"/>
    <n v="0"/>
    <n v="0"/>
    <n v="0"/>
    <n v="0"/>
    <n v="0"/>
    <n v="0"/>
    <s v="--"/>
    <s v="--"/>
    <d v="1899-12-31T21:17:00"/>
    <d v="1899-12-30T00:00:00"/>
    <n v="0"/>
    <d v="1899-12-30T00:00:00"/>
    <s v="Não"/>
    <s v="01:00.28"/>
    <n v="9"/>
    <n v="0"/>
    <d v="1899-12-30T00:40:52"/>
    <d v="1899-12-30T00:45:17"/>
    <n v="12"/>
    <n v="28"/>
  </r>
  <r>
    <s v="Corrida"/>
    <x v="181"/>
    <s v="false"/>
    <s v="Blumenau Corrida"/>
    <n v="9.44"/>
    <n v="871"/>
    <d v="1899-12-30T01:00:01"/>
    <n v="173"/>
    <n v="186"/>
    <s v="--"/>
    <s v="--"/>
    <s v="--"/>
    <d v="1899-12-30T06:21:00"/>
    <d v="1899-12-30T02:31:00"/>
    <n v="143"/>
    <n v="147"/>
    <n v="0"/>
    <n v="0"/>
    <n v="0"/>
    <n v="0"/>
    <n v="0"/>
    <n v="0"/>
    <s v="--"/>
    <s v="--"/>
    <d v="1899-12-30T01:00:01"/>
    <d v="1899-12-30T00:00:00"/>
    <n v="0"/>
    <d v="1899-12-30T00:00:00"/>
    <s v="Não"/>
    <s v="02:36.71"/>
    <n v="10"/>
    <n v="0"/>
    <d v="1899-12-30T00:59:34"/>
    <d v="1899-12-30T01:00:01"/>
    <n v="21"/>
    <n v="71"/>
  </r>
  <r>
    <s v="Corrida"/>
    <x v="182"/>
    <s v="false"/>
    <s v="Blumenau Corrida"/>
    <n v="8"/>
    <n v="708"/>
    <d v="1899-12-30T00:48:39"/>
    <n v="173"/>
    <n v="184"/>
    <s v="--"/>
    <s v="--"/>
    <s v="--"/>
    <d v="1899-12-30T06:05:00"/>
    <d v="1899-12-30T02:41:00"/>
    <n v="117"/>
    <n v="116"/>
    <n v="0"/>
    <n v="0"/>
    <n v="0"/>
    <n v="0"/>
    <n v="0"/>
    <n v="0"/>
    <s v="--"/>
    <s v="--"/>
    <d v="1900-01-01T00:39:00"/>
    <d v="1899-12-30T00:00:00"/>
    <n v="0"/>
    <d v="1899-12-30T00:00:00"/>
    <s v="Não"/>
    <s v="05:47.12"/>
    <n v="8"/>
    <n v="0"/>
    <d v="1899-12-30T00:48:37"/>
    <d v="1899-12-30T00:48:39"/>
    <n v="21"/>
    <n v="60"/>
  </r>
  <r>
    <s v="Treino de força"/>
    <x v="183"/>
    <s v="false"/>
    <s v="Musculação"/>
    <n v="0"/>
    <n v="355"/>
    <d v="1899-12-30T00:56:05"/>
    <n v="119"/>
    <n v="161"/>
    <s v="--"/>
    <s v="--"/>
    <s v="--"/>
    <s v="--"/>
    <s v="--"/>
    <s v="--"/>
    <s v="--"/>
    <n v="0"/>
    <n v="0"/>
    <n v="0"/>
    <n v="0"/>
    <n v="0"/>
    <n v="0"/>
    <s v="--"/>
    <s v="--"/>
    <d v="1900-01-01T08:05:00"/>
    <d v="1899-12-30T00:00:00"/>
    <n v="0"/>
    <d v="1899-12-30T00:00:00"/>
    <s v="Não"/>
    <s v="00:00.00"/>
    <n v="1"/>
    <n v="0"/>
    <d v="1899-12-30T00:00:00"/>
    <d v="1899-12-30T00:56:05"/>
    <s v="--"/>
    <s v="--"/>
  </r>
  <r>
    <s v="Corrida"/>
    <x v="184"/>
    <s v="false"/>
    <s v="Blumenau Corrida"/>
    <n v="9.01"/>
    <n v="758"/>
    <d v="1899-12-30T00:54:32"/>
    <n v="169"/>
    <n v="184"/>
    <s v="--"/>
    <s v="--"/>
    <s v="--"/>
    <d v="1899-12-30T06:03:00"/>
    <d v="1899-12-30T03:08:00"/>
    <n v="138"/>
    <n v="140"/>
    <n v="0"/>
    <n v="0"/>
    <n v="0"/>
    <n v="0"/>
    <n v="0"/>
    <n v="0"/>
    <s v="--"/>
    <s v="--"/>
    <d v="1900-01-01T06:32:00"/>
    <d v="1899-12-30T00:00:00"/>
    <n v="0"/>
    <d v="1899-12-30T00:00:00"/>
    <s v="Não"/>
    <s v="00:08.21"/>
    <n v="13"/>
    <n v="0"/>
    <d v="1899-12-30T00:54:29"/>
    <d v="1899-12-30T00:54:32"/>
    <n v="21"/>
    <n v="59"/>
  </r>
  <r>
    <s v="Corrida"/>
    <x v="185"/>
    <s v="false"/>
    <s v="Blumenau Corrida"/>
    <n v="5"/>
    <n v="426"/>
    <d v="1899-12-30T00:31:00"/>
    <n v="168"/>
    <n v="187"/>
    <s v="--"/>
    <s v="--"/>
    <s v="--"/>
    <d v="1899-12-30T06:12:00"/>
    <d v="1899-12-30T04:13:00"/>
    <n v="11"/>
    <n v="25"/>
    <n v="0"/>
    <n v="0"/>
    <n v="0"/>
    <n v="0"/>
    <n v="0"/>
    <n v="0"/>
    <s v="--"/>
    <s v="--"/>
    <d v="1899-12-31T07:00:00"/>
    <d v="1899-12-30T00:00:00"/>
    <n v="0"/>
    <d v="1899-12-30T00:00:00"/>
    <s v="Não"/>
    <s v="01:09.44"/>
    <n v="7"/>
    <n v="0"/>
    <d v="1899-12-30T00:26:20"/>
    <d v="1899-12-30T00:31:00"/>
    <n v="12"/>
    <n v="30"/>
  </r>
  <r>
    <s v="Corrida"/>
    <x v="186"/>
    <s v="false"/>
    <s v="Blumenau Corrida"/>
    <n v="9.69"/>
    <n v="881"/>
    <d v="1899-12-30T01:00:02"/>
    <n v="174"/>
    <n v="184"/>
    <s v="--"/>
    <s v="--"/>
    <s v="--"/>
    <d v="1899-12-30T06:12:00"/>
    <d v="1899-12-30T02:25:00"/>
    <n v="147"/>
    <n v="151"/>
    <n v="0"/>
    <n v="0"/>
    <n v="0"/>
    <n v="0"/>
    <n v="0"/>
    <n v="0"/>
    <s v="--"/>
    <s v="--"/>
    <d v="1899-12-30T01:00:02"/>
    <d v="1899-12-30T00:00:00"/>
    <n v="0"/>
    <d v="1899-12-30T00:00:00"/>
    <s v="Não"/>
    <s v="03:59.79"/>
    <n v="10"/>
    <n v="0"/>
    <d v="1899-12-30T01:00:00"/>
    <d v="1899-12-30T01:00:02"/>
    <n v="22"/>
    <n v="73"/>
  </r>
  <r>
    <s v="Corrida"/>
    <x v="187"/>
    <s v="false"/>
    <s v="Blumenau Corrida"/>
    <n v="5.16"/>
    <n v="433"/>
    <d v="1899-12-30T00:30:02"/>
    <n v="172"/>
    <n v="187"/>
    <s v="--"/>
    <s v="--"/>
    <s v="--"/>
    <d v="1899-12-30T05:49:00"/>
    <d v="1899-12-30T04:41:00"/>
    <n v="27"/>
    <n v="30"/>
    <n v="0"/>
    <n v="0"/>
    <n v="0"/>
    <n v="0"/>
    <n v="0"/>
    <n v="0"/>
    <s v="--"/>
    <s v="--"/>
    <d v="1899-12-31T06:02:00"/>
    <d v="1899-12-30T00:00:00"/>
    <n v="0"/>
    <d v="1899-12-30T00:00:00"/>
    <s v="Não"/>
    <s v="00:00.00"/>
    <n v="1"/>
    <n v="0"/>
    <d v="1899-12-30T00:30:01"/>
    <d v="1899-12-30T00:30:02"/>
    <n v="12"/>
    <n v="29"/>
  </r>
  <r>
    <s v="Corrida"/>
    <x v="188"/>
    <s v="false"/>
    <s v="Musculação"/>
    <n v="0"/>
    <n v="267"/>
    <d v="1899-12-30T00:43:50"/>
    <n v="117"/>
    <n v="150"/>
    <s v="--"/>
    <s v="--"/>
    <s v="--"/>
    <s v="--"/>
    <s v="--"/>
    <s v="--"/>
    <s v="--"/>
    <n v="0"/>
    <n v="0"/>
    <n v="0"/>
    <n v="0"/>
    <n v="0"/>
    <n v="0"/>
    <s v="--"/>
    <s v="--"/>
    <d v="1899-12-31T19:50:00"/>
    <d v="1899-12-30T00:00:00"/>
    <n v="0"/>
    <d v="1899-12-30T00:00:00"/>
    <s v="Não"/>
    <s v="00:00.00"/>
    <n v="1"/>
    <n v="0"/>
    <d v="1899-12-30T00:00:00"/>
    <d v="1899-12-30T00:43:50"/>
    <s v="--"/>
    <s v="--"/>
  </r>
  <r>
    <s v="Corrida"/>
    <x v="189"/>
    <s v="false"/>
    <s v="Blumenau Corrida"/>
    <n v="5.23"/>
    <n v="456"/>
    <d v="1899-12-30T00:32:06"/>
    <n v="172"/>
    <n v="191"/>
    <s v="--"/>
    <s v="--"/>
    <s v="--"/>
    <d v="1899-12-30T06:08:00"/>
    <d v="1899-12-30T04:24:00"/>
    <n v="18"/>
    <n v="33"/>
    <n v="0"/>
    <n v="0"/>
    <n v="0"/>
    <n v="0"/>
    <n v="0"/>
    <n v="0"/>
    <s v="--"/>
    <s v="--"/>
    <d v="1899-12-31T08:06:00"/>
    <d v="1899-12-30T00:00:00"/>
    <n v="0"/>
    <d v="1899-12-30T00:00:00"/>
    <s v="Não"/>
    <s v="00:04.61"/>
    <n v="12"/>
    <n v="0"/>
    <d v="1899-12-30T00:29:20"/>
    <d v="1899-12-30T00:32:06"/>
    <n v="12"/>
    <n v="30"/>
  </r>
  <r>
    <s v="Corrida"/>
    <x v="190"/>
    <s v="false"/>
    <s v="Musculação&quot; em casa&quot;"/>
    <n v="0"/>
    <n v="403"/>
    <d v="1899-12-30T00:43:43"/>
    <n v="138"/>
    <n v="170"/>
    <s v="--"/>
    <s v="--"/>
    <s v="--"/>
    <s v="--"/>
    <s v="--"/>
    <s v="--"/>
    <s v="--"/>
    <n v="0"/>
    <n v="0"/>
    <n v="0"/>
    <n v="0"/>
    <n v="0"/>
    <n v="0"/>
    <s v="--"/>
    <s v="--"/>
    <d v="1899-12-31T19:43:00"/>
    <d v="1899-12-30T00:00:00"/>
    <n v="0"/>
    <d v="1899-12-30T00:00:00"/>
    <s v="Não"/>
    <s v="00:00.00"/>
    <n v="1"/>
    <n v="0"/>
    <d v="1899-12-30T00:00:00"/>
    <d v="1899-12-30T00:43:43"/>
    <s v="--"/>
    <s v="--"/>
  </r>
  <r>
    <s v="Corrida"/>
    <x v="191"/>
    <s v="false"/>
    <s v="Blumenau Corrida"/>
    <n v="5.32"/>
    <n v="470"/>
    <d v="1899-12-30T00:30:01"/>
    <n v="180"/>
    <n v="194"/>
    <s v="--"/>
    <s v="--"/>
    <s v="--"/>
    <d v="1899-12-30T05:39:00"/>
    <d v="1899-12-30T05:13:00"/>
    <n v="42"/>
    <n v="48"/>
    <n v="0"/>
    <n v="0"/>
    <n v="0"/>
    <n v="0"/>
    <n v="0"/>
    <n v="0"/>
    <s v="--"/>
    <s v="--"/>
    <d v="1899-12-31T06:01:00"/>
    <d v="1899-12-30T00:00:00"/>
    <n v="0"/>
    <d v="1899-12-30T00:00:00"/>
    <s v="Não"/>
    <s v="00:00.00"/>
    <n v="1"/>
    <n v="0"/>
    <d v="1899-12-30T00:30:01"/>
    <d v="1899-12-30T00:30:01"/>
    <n v="12"/>
    <n v="38"/>
  </r>
  <r>
    <s v="Corrida"/>
    <x v="192"/>
    <s v="false"/>
    <s v="Blumenau Corrida"/>
    <n v="5.23"/>
    <n v="465"/>
    <d v="1899-12-30T00:30:01"/>
    <n v="179"/>
    <n v="192"/>
    <s v="--"/>
    <s v="--"/>
    <s v="--"/>
    <d v="1899-12-30T05:44:00"/>
    <d v="1899-12-30T01:04:00"/>
    <n v="45"/>
    <n v="50"/>
    <n v="0"/>
    <n v="0"/>
    <n v="0"/>
    <n v="0"/>
    <n v="0"/>
    <n v="0"/>
    <s v="--"/>
    <s v="--"/>
    <d v="1899-12-31T06:01:00"/>
    <d v="1899-12-30T00:00:00"/>
    <n v="0"/>
    <d v="1899-12-30T00:00:00"/>
    <s v="Não"/>
    <s v="00:00.00"/>
    <n v="1"/>
    <n v="0"/>
    <d v="1899-12-30T00:30:01"/>
    <d v="1899-12-30T00:30:01"/>
    <n v="22"/>
    <n v="45"/>
  </r>
  <r>
    <s v="Corrida"/>
    <x v="193"/>
    <s v="false"/>
    <s v="Blumenau Corrida"/>
    <n v="5.19"/>
    <n v="346"/>
    <d v="1899-12-30T00:40:47"/>
    <s v="--"/>
    <s v="--"/>
    <s v="--"/>
    <s v="--"/>
    <s v="--"/>
    <d v="1899-12-30T07:52:00"/>
    <d v="1899-12-30T01:03:00"/>
    <n v="21"/>
    <n v="20"/>
    <n v="0"/>
    <n v="0"/>
    <n v="0"/>
    <n v="0"/>
    <n v="0"/>
    <n v="0"/>
    <s v="--"/>
    <s v="--"/>
    <d v="1899-12-31T16:47:00"/>
    <d v="1899-12-30T00:00:00"/>
    <n v="0"/>
    <d v="1899-12-30T00:00:00"/>
    <s v="Não"/>
    <s v="02:01.44"/>
    <n v="14"/>
    <n v="0"/>
    <d v="1899-12-30T00:40:46"/>
    <d v="1899-12-30T00:40:47"/>
    <n v="18"/>
    <n v="26"/>
  </r>
  <r>
    <s v="Corrida"/>
    <x v="194"/>
    <s v="false"/>
    <s v="Blumenau Corrida"/>
    <n v="3.57"/>
    <n v="312"/>
    <d v="1899-12-30T00:33:33"/>
    <n v="139"/>
    <n v="178"/>
    <s v="--"/>
    <s v="--"/>
    <s v="--"/>
    <d v="1899-12-30T09:24:00"/>
    <d v="1899-12-30T00:35:00"/>
    <n v="16"/>
    <n v="16"/>
    <n v="0"/>
    <n v="0"/>
    <n v="0"/>
    <n v="0"/>
    <n v="0"/>
    <n v="0"/>
    <s v="--"/>
    <s v="--"/>
    <d v="1899-12-31T09:33:00"/>
    <d v="1899-12-30T00:00:00"/>
    <n v="0"/>
    <d v="1899-12-30T00:00:00"/>
    <s v="Não"/>
    <s v="02:49.21"/>
    <n v="8"/>
    <n v="0"/>
    <d v="1899-12-30T00:32:13"/>
    <d v="1899-12-30T00:33:33"/>
    <n v="18"/>
    <n v="25"/>
  </r>
  <r>
    <s v="Corrida"/>
    <x v="195"/>
    <s v="false"/>
    <s v="Blumenau Corrida"/>
    <n v="10.01"/>
    <n v="711"/>
    <d v="1899-12-30T01:05:37"/>
    <s v="--"/>
    <s v="--"/>
    <s v="--"/>
    <s v="--"/>
    <s v="--"/>
    <d v="1899-12-30T06:33:00"/>
    <d v="1899-12-30T01:44:00"/>
    <n v="133"/>
    <n v="134"/>
    <n v="0"/>
    <n v="0"/>
    <n v="0"/>
    <n v="0"/>
    <n v="0"/>
    <n v="0"/>
    <s v="--"/>
    <s v="--"/>
    <d v="1899-12-30T01:05:37"/>
    <d v="1899-12-30T00:00:00"/>
    <n v="0"/>
    <d v="1899-12-30T00:00:00"/>
    <s v="Não"/>
    <s v="00:00.00"/>
    <n v="1"/>
    <n v="0"/>
    <d v="1899-12-30T01:05:37"/>
    <d v="1899-12-30T01:05:37"/>
    <n v="21"/>
    <n v="60"/>
  </r>
  <r>
    <s v="Corrida"/>
    <x v="196"/>
    <s v="false"/>
    <s v="Blumenau Corrida"/>
    <n v="6.17"/>
    <n v="449"/>
    <d v="1899-12-30T00:35:30"/>
    <s v="--"/>
    <s v="--"/>
    <s v="--"/>
    <s v="--"/>
    <s v="--"/>
    <d v="1899-12-30T05:45:00"/>
    <d v="1899-12-30T05:19:00"/>
    <n v="13"/>
    <n v="15"/>
    <n v="0"/>
    <n v="0"/>
    <n v="0"/>
    <n v="0"/>
    <n v="0"/>
    <n v="0"/>
    <s v="--"/>
    <s v="--"/>
    <d v="1899-12-31T11:30:00"/>
    <d v="1899-12-30T00:00:00"/>
    <n v="0"/>
    <d v="1899-12-30T00:00:00"/>
    <s v="Não"/>
    <s v="05:40.48"/>
    <n v="6"/>
    <n v="0"/>
    <d v="1899-12-30T00:35:29"/>
    <d v="1899-12-30T00:35:30"/>
    <n v="13"/>
    <n v="21"/>
  </r>
  <r>
    <s v="Corrida"/>
    <x v="197"/>
    <s v="false"/>
    <s v="Blumenau Corrida"/>
    <n v="3.3"/>
    <n v="193"/>
    <d v="1899-12-30T00:31:07"/>
    <s v="--"/>
    <s v="--"/>
    <s v="--"/>
    <s v="--"/>
    <s v="--"/>
    <d v="1899-12-30T09:27:00"/>
    <d v="1899-12-30T06:16:00"/>
    <n v="7"/>
    <n v="10"/>
    <n v="0"/>
    <n v="0"/>
    <n v="0"/>
    <n v="0"/>
    <n v="0"/>
    <n v="0"/>
    <s v="--"/>
    <s v="--"/>
    <d v="1899-12-31T07:07:00"/>
    <d v="1899-12-30T00:00:00"/>
    <n v="0"/>
    <d v="1899-12-30T00:00:00"/>
    <s v="Não"/>
    <s v="00:00.00"/>
    <n v="1"/>
    <n v="0"/>
    <d v="1899-12-30T00:31:06"/>
    <d v="1899-12-30T00:33:17"/>
    <n v="13"/>
    <n v="20"/>
  </r>
  <r>
    <s v="Corrida"/>
    <x v="198"/>
    <s v="false"/>
    <s v="Blumenau Corrida"/>
    <n v="4.5"/>
    <n v="333"/>
    <d v="1899-12-30T00:27:37"/>
    <s v="--"/>
    <s v="--"/>
    <s v="--"/>
    <s v="--"/>
    <s v="--"/>
    <d v="1899-12-30T06:08:00"/>
    <d v="1899-12-30T03:10:00"/>
    <n v="17"/>
    <n v="14"/>
    <n v="0"/>
    <n v="0"/>
    <n v="0"/>
    <n v="0"/>
    <n v="0"/>
    <n v="0"/>
    <s v="--"/>
    <s v="--"/>
    <d v="1899-12-31T03:37:00"/>
    <d v="1899-12-30T00:00:00"/>
    <n v="0"/>
    <d v="1899-12-30T00:00:00"/>
    <s v="Não"/>
    <s v="00:02.13"/>
    <n v="18"/>
    <n v="0"/>
    <d v="1899-12-30T00:25:14"/>
    <d v="1899-12-30T00:40:04"/>
    <n v="17"/>
    <n v="26"/>
  </r>
  <r>
    <s v="Corrida"/>
    <x v="199"/>
    <s v="false"/>
    <s v="Blumenau Corrida"/>
    <n v="10"/>
    <n v="733"/>
    <d v="1899-12-30T01:00:44"/>
    <s v="--"/>
    <s v="--"/>
    <s v="--"/>
    <s v="--"/>
    <s v="--"/>
    <d v="1899-12-30T06:04:00"/>
    <d v="1899-12-30T02:22:00"/>
    <n v="142"/>
    <n v="145"/>
    <n v="0"/>
    <n v="0"/>
    <n v="0"/>
    <n v="0"/>
    <n v="0"/>
    <n v="0"/>
    <s v="--"/>
    <s v="--"/>
    <d v="1899-12-30T01:00:44"/>
    <d v="1899-12-30T00:00:00"/>
    <n v="0"/>
    <d v="1899-12-30T00:00:00"/>
    <s v="Não"/>
    <s v="00:00.00"/>
    <n v="1"/>
    <n v="0"/>
    <d v="1899-12-30T01:00:44"/>
    <d v="1899-12-30T01:00:44"/>
    <n v="22"/>
    <n v="60"/>
  </r>
  <r>
    <s v="Corrida"/>
    <x v="200"/>
    <s v="false"/>
    <s v="Blumenau Corrida"/>
    <n v="3.47"/>
    <n v="192"/>
    <d v="1899-12-30T00:35:35"/>
    <s v="--"/>
    <s v="--"/>
    <s v="--"/>
    <s v="--"/>
    <s v="--"/>
    <d v="1899-12-30T10:16:00"/>
    <d v="1899-12-30T06:26:00"/>
    <n v="61"/>
    <n v="61"/>
    <n v="0"/>
    <n v="0"/>
    <n v="0"/>
    <n v="0"/>
    <n v="0"/>
    <n v="0"/>
    <s v="--"/>
    <s v="--"/>
    <d v="1899-12-31T11:35:00"/>
    <d v="1899-12-30T00:00:00"/>
    <n v="0"/>
    <d v="1899-12-30T00:00:00"/>
    <s v="Não"/>
    <s v="00:37.96"/>
    <n v="7"/>
    <n v="0"/>
    <d v="1899-12-30T00:33:45"/>
    <d v="1899-12-30T00:35:35"/>
    <n v="17"/>
    <n v="28"/>
  </r>
  <r>
    <s v="Corrida"/>
    <x v="201"/>
    <s v="false"/>
    <s v="Blumenau Corrida"/>
    <n v="1.53"/>
    <n v="80"/>
    <d v="1899-12-30T00:18:36"/>
    <s v="--"/>
    <s v="--"/>
    <s v="--"/>
    <s v="--"/>
    <s v="--"/>
    <d v="1899-12-30T12:09:00"/>
    <d v="1899-12-30T08:52:00"/>
    <n v="13"/>
    <s v="--"/>
    <n v="0"/>
    <n v="0"/>
    <n v="0"/>
    <n v="0"/>
    <n v="0"/>
    <n v="0"/>
    <s v="--"/>
    <s v="--"/>
    <d v="1899-12-30T18:36:00"/>
    <d v="1899-12-30T00:00:00"/>
    <n v="0"/>
    <d v="1899-12-30T00:00:00"/>
    <s v="Não"/>
    <s v="00:00.00"/>
    <n v="1"/>
    <n v="0"/>
    <d v="1899-12-30T00:18:36"/>
    <d v="1899-12-30T00:18:36"/>
    <n v="14"/>
    <n v="29"/>
  </r>
  <r>
    <s v="Corrida"/>
    <x v="202"/>
    <s v="false"/>
    <s v="Blumenau Corrida"/>
    <n v="3.06"/>
    <n v="192"/>
    <d v="1899-12-30T00:20:06"/>
    <s v="--"/>
    <s v="--"/>
    <s v="--"/>
    <s v="--"/>
    <s v="--"/>
    <d v="1899-12-30T06:34:00"/>
    <d v="1899-12-30T04:03:00"/>
    <n v="6"/>
    <n v="6"/>
    <n v="0"/>
    <n v="0"/>
    <n v="0"/>
    <n v="0"/>
    <n v="0"/>
    <n v="0"/>
    <s v="--"/>
    <s v="--"/>
    <d v="1899-12-30T20:06:00"/>
    <d v="1899-12-30T00:00:00"/>
    <n v="0"/>
    <d v="1899-12-30T00:00:00"/>
    <s v="Não"/>
    <s v="00:58.40"/>
    <n v="20"/>
    <n v="0"/>
    <d v="1899-12-30T00:20:01"/>
    <d v="1899-12-30T00:20:06"/>
    <n v="14"/>
    <n v="18"/>
  </r>
  <r>
    <s v="Corrida"/>
    <x v="203"/>
    <s v="false"/>
    <s v="Blumenau Corrida"/>
    <n v="2"/>
    <n v="149"/>
    <d v="1899-12-30T00:11:42"/>
    <s v="--"/>
    <s v="--"/>
    <s v="--"/>
    <s v="--"/>
    <s v="--"/>
    <d v="1899-12-30T05:51:00"/>
    <d v="1899-12-30T04:02:00"/>
    <n v="3"/>
    <n v="18"/>
    <n v="0"/>
    <n v="0"/>
    <n v="0"/>
    <n v="0"/>
    <n v="0"/>
    <n v="0"/>
    <s v="--"/>
    <s v="--"/>
    <d v="1899-12-30T11:42:00"/>
    <d v="1899-12-30T00:00:00"/>
    <n v="0"/>
    <d v="1899-12-30T00:00:00"/>
    <s v="Não"/>
    <s v="00:00.00"/>
    <n v="1"/>
    <n v="0"/>
    <d v="1899-12-30T00:11:42"/>
    <d v="1899-12-30T00:11:42"/>
    <n v="12"/>
    <n v="28"/>
  </r>
  <r>
    <s v="Corrida"/>
    <x v="204"/>
    <s v="false"/>
    <s v="Corrida"/>
    <n v="0"/>
    <s v="--"/>
    <d v="1899-12-30T00:00:07"/>
    <s v="--"/>
    <s v="--"/>
    <s v="--"/>
    <s v="--"/>
    <s v="--"/>
    <s v="--"/>
    <s v="--"/>
    <s v="--"/>
    <s v="--"/>
    <n v="0"/>
    <n v="0"/>
    <n v="0"/>
    <n v="0"/>
    <n v="0"/>
    <n v="0"/>
    <s v="--"/>
    <s v="--"/>
    <d v="1899-12-30T00:00:07"/>
    <d v="1899-12-30T00:00:00"/>
    <n v="0"/>
    <d v="1899-12-30T00:00:00"/>
    <s v="Não"/>
    <s v="00:00.00"/>
    <n v="1"/>
    <n v="0"/>
    <d v="1899-12-30T00:00:00"/>
    <d v="1899-12-30T00:00:07"/>
    <s v="--"/>
    <s v="--"/>
  </r>
  <r>
    <s v="Corrida"/>
    <x v="205"/>
    <s v="false"/>
    <s v="Blumenau Corrida"/>
    <n v="5.37"/>
    <n v="362"/>
    <d v="1899-12-30T00:47:58"/>
    <s v="--"/>
    <s v="--"/>
    <s v="--"/>
    <s v="--"/>
    <s v="--"/>
    <d v="1899-12-30T08:56:00"/>
    <d v="1899-12-30T03:58:00"/>
    <n v="148"/>
    <n v="138"/>
    <n v="0"/>
    <n v="0"/>
    <n v="0"/>
    <n v="0"/>
    <n v="0"/>
    <n v="0"/>
    <s v="--"/>
    <s v="--"/>
    <d v="1899-12-31T23:58:00"/>
    <d v="1899-12-30T00:00:00"/>
    <n v="0"/>
    <d v="1899-12-30T00:00:00"/>
    <s v="Não"/>
    <s v="00:36.84"/>
    <n v="24"/>
    <n v="0"/>
    <d v="1899-12-30T00:47:54"/>
    <d v="1899-12-30T00:47:58"/>
    <n v="13"/>
    <n v="61"/>
  </r>
  <r>
    <s v="Corrida"/>
    <x v="206"/>
    <s v="false"/>
    <s v="Blumenau Corrida"/>
    <n v="10"/>
    <n v="726"/>
    <d v="1899-12-30T01:02:29"/>
    <s v="--"/>
    <s v="--"/>
    <s v="--"/>
    <s v="--"/>
    <s v="--"/>
    <d v="1899-12-30T06:15:00"/>
    <d v="1899-12-30T02:07:00"/>
    <n v="125"/>
    <n v="129"/>
    <n v="0"/>
    <n v="0"/>
    <n v="0"/>
    <n v="0"/>
    <n v="0"/>
    <n v="0"/>
    <s v="--"/>
    <s v="--"/>
    <d v="1899-12-30T01:02:29"/>
    <d v="1899-12-30T00:00:00"/>
    <n v="0"/>
    <d v="1899-12-30T00:00:00"/>
    <s v="Não"/>
    <s v="00:00.00"/>
    <n v="1"/>
    <n v="0"/>
    <d v="1899-12-30T01:02:29"/>
    <d v="1899-12-30T01:02:29"/>
    <n v="22"/>
    <n v="59"/>
  </r>
  <r>
    <s v="Corrida"/>
    <x v="207"/>
    <s v="false"/>
    <s v="Blumenau Corrida"/>
    <n v="4.17"/>
    <n v="293"/>
    <d v="1899-12-30T00:33:09"/>
    <s v="--"/>
    <s v="--"/>
    <s v="--"/>
    <s v="--"/>
    <s v="--"/>
    <d v="1899-12-30T07:57:00"/>
    <d v="1899-12-30T04:28:00"/>
    <n v="138"/>
    <n v="145"/>
    <n v="0"/>
    <n v="0"/>
    <n v="0"/>
    <n v="0"/>
    <n v="0"/>
    <n v="0"/>
    <s v="--"/>
    <s v="--"/>
    <d v="1899-12-31T09:09:00"/>
    <d v="1899-12-30T00:00:00"/>
    <n v="0"/>
    <d v="1899-12-30T00:00:00"/>
    <s v="Não"/>
    <s v="01:04.36"/>
    <n v="15"/>
    <n v="0"/>
    <d v="1899-12-30T00:31:16"/>
    <d v="1899-12-30T00:33:37"/>
    <n v="19"/>
    <n v="63"/>
  </r>
  <r>
    <s v="Corrida"/>
    <x v="208"/>
    <s v="false"/>
    <s v="Blumenau Corrida"/>
    <n v="6.22"/>
    <n v="449"/>
    <d v="1899-12-30T00:44:21"/>
    <s v="--"/>
    <s v="--"/>
    <s v="--"/>
    <s v="--"/>
    <s v="--"/>
    <d v="1899-12-30T07:08:00"/>
    <d v="1899-12-30T03:32:00"/>
    <n v="6"/>
    <n v="7"/>
    <n v="0"/>
    <n v="0"/>
    <n v="0"/>
    <n v="0"/>
    <n v="0"/>
    <n v="0"/>
    <s v="--"/>
    <s v="--"/>
    <d v="1899-12-31T20:21:00"/>
    <d v="1899-12-30T00:00:00"/>
    <n v="0"/>
    <d v="1899-12-30T00:00:00"/>
    <s v="Não"/>
    <s v="00:44.84"/>
    <n v="19"/>
    <n v="0"/>
    <d v="1899-12-30T00:44:18"/>
    <d v="1899-12-30T00:44:21"/>
    <n v="13"/>
    <n v="20"/>
  </r>
  <r>
    <s v="Corrida"/>
    <x v="209"/>
    <s v="false"/>
    <s v="Blumenau Corrida"/>
    <n v="7.36"/>
    <n v="516"/>
    <d v="1899-12-30T00:50:37"/>
    <s v="--"/>
    <s v="--"/>
    <s v="--"/>
    <s v="--"/>
    <s v="--"/>
    <d v="1899-12-30T06:53:00"/>
    <d v="1899-12-30T03:03:00"/>
    <n v="27"/>
    <n v="31"/>
    <n v="0"/>
    <n v="0"/>
    <n v="0"/>
    <n v="0"/>
    <n v="0"/>
    <n v="0"/>
    <s v="--"/>
    <s v="--"/>
    <d v="1900-01-01T02:37:00"/>
    <d v="1899-12-30T00:00:00"/>
    <n v="0"/>
    <d v="1899-12-30T00:00:00"/>
    <s v="Não"/>
    <s v="00:01.16"/>
    <n v="10"/>
    <n v="0"/>
    <d v="1899-12-30T00:50:34"/>
    <d v="1899-12-30T00:50:37"/>
    <n v="12"/>
    <n v="29"/>
  </r>
  <r>
    <s v="Corrida"/>
    <x v="210"/>
    <s v="false"/>
    <s v="Blumenau Corrida"/>
    <n v="5.18"/>
    <n v="363"/>
    <d v="1899-12-30T00:40:10"/>
    <s v="--"/>
    <s v="--"/>
    <s v="--"/>
    <s v="--"/>
    <s v="--"/>
    <d v="1899-12-30T07:45:00"/>
    <d v="1899-12-30T04:27:00"/>
    <n v="158"/>
    <n v="151"/>
    <n v="0"/>
    <n v="0"/>
    <n v="0"/>
    <n v="0"/>
    <n v="0"/>
    <n v="0"/>
    <s v="--"/>
    <s v="--"/>
    <d v="1899-12-31T16:10:00"/>
    <d v="1899-12-30T00:00:00"/>
    <n v="0"/>
    <d v="1899-12-30T00:00:00"/>
    <s v="Não"/>
    <s v="00:58.36"/>
    <n v="17"/>
    <n v="0"/>
    <d v="1899-12-30T00:37:49"/>
    <d v="1899-12-30T00:40:10"/>
    <n v="16"/>
    <n v="55"/>
  </r>
  <r>
    <s v="Corrida"/>
    <x v="211"/>
    <s v="false"/>
    <s v="Blumenau Corrida"/>
    <n v="9.2799999999999994"/>
    <n v="658"/>
    <d v="1899-12-30T01:02:55"/>
    <s v="--"/>
    <s v="--"/>
    <s v="--"/>
    <s v="--"/>
    <s v="--"/>
    <d v="1899-12-30T06:47:00"/>
    <d v="1899-12-30T05:04:00"/>
    <n v="92"/>
    <n v="92"/>
    <n v="0"/>
    <n v="0"/>
    <n v="0"/>
    <n v="0"/>
    <n v="0"/>
    <n v="0"/>
    <s v="--"/>
    <s v="--"/>
    <d v="1899-12-30T01:02:55"/>
    <d v="1899-12-30T00:00:00"/>
    <n v="0"/>
    <d v="1899-12-30T00:00:00"/>
    <s v="Não"/>
    <s v="00:00.00"/>
    <n v="1"/>
    <n v="0"/>
    <d v="1899-12-30T01:02:54"/>
    <d v="1899-12-30T01:02:55"/>
    <n v="12"/>
    <n v="56"/>
  </r>
  <r>
    <s v="Corrida"/>
    <x v="212"/>
    <s v="false"/>
    <s v="Blumenau Corrida"/>
    <n v="6.13"/>
    <n v="450"/>
    <d v="1899-12-30T00:35:34"/>
    <s v="--"/>
    <s v="--"/>
    <s v="--"/>
    <s v="--"/>
    <s v="--"/>
    <d v="1899-12-30T05:48:00"/>
    <d v="1899-12-30T05:03:00"/>
    <n v="15"/>
    <n v="16"/>
    <n v="0"/>
    <n v="0"/>
    <n v="0"/>
    <n v="0"/>
    <n v="0"/>
    <n v="0"/>
    <s v="--"/>
    <s v="--"/>
    <d v="1899-12-31T11:34:00"/>
    <d v="1899-12-30T00:00:00"/>
    <n v="0"/>
    <d v="1899-12-30T00:00:00"/>
    <s v="Não"/>
    <s v="00:00.00"/>
    <n v="1"/>
    <n v="0"/>
    <d v="1899-12-30T00:35:34"/>
    <d v="1899-12-30T00:35:34"/>
    <n v="13"/>
    <n v="20"/>
  </r>
  <r>
    <s v="Corrida"/>
    <x v="213"/>
    <s v="false"/>
    <s v="Blumenau Corrida"/>
    <n v="0.65"/>
    <n v="49"/>
    <d v="1899-12-30T00:04:18"/>
    <s v="--"/>
    <s v="--"/>
    <s v="--"/>
    <s v="--"/>
    <s v="--"/>
    <d v="1899-12-30T06:33:00"/>
    <d v="1899-12-30T05:30:00"/>
    <n v="8"/>
    <n v="7"/>
    <n v="0"/>
    <n v="0"/>
    <n v="0"/>
    <n v="0"/>
    <n v="0"/>
    <n v="0"/>
    <s v="--"/>
    <s v="--"/>
    <d v="1899-12-30T00:04:18"/>
    <d v="1899-12-30T00:00:00"/>
    <n v="0"/>
    <d v="1899-12-30T00:00:00"/>
    <s v="Não"/>
    <s v="00:00.00"/>
    <n v="1"/>
    <n v="0"/>
    <d v="1899-12-30T00:04:18"/>
    <d v="1899-12-30T00:04:18"/>
    <n v="17"/>
    <n v="26"/>
  </r>
  <r>
    <s v="Corrida"/>
    <x v="214"/>
    <s v="false"/>
    <s v="Blumenau Corrida"/>
    <n v="0.99"/>
    <n v="73"/>
    <d v="1899-12-30T00:04:06"/>
    <s v="--"/>
    <s v="--"/>
    <s v="--"/>
    <s v="--"/>
    <s v="--"/>
    <d v="1899-12-30T04:07:00"/>
    <d v="1899-12-30T03:39:00"/>
    <n v="8"/>
    <n v="17"/>
    <n v="0"/>
    <n v="0"/>
    <n v="0"/>
    <n v="0"/>
    <n v="0"/>
    <n v="0"/>
    <s v="--"/>
    <s v="--"/>
    <d v="1899-12-30T00:04:06"/>
    <d v="1899-12-30T00:00:00"/>
    <n v="0"/>
    <d v="1899-12-30T00:00:00"/>
    <s v="Não"/>
    <s v="00:00.00"/>
    <n v="1"/>
    <n v="0"/>
    <d v="1899-12-30T00:04:06"/>
    <d v="1899-12-30T00:04:06"/>
    <n v="17"/>
    <n v="27"/>
  </r>
  <r>
    <s v="Corrida"/>
    <x v="215"/>
    <s v="false"/>
    <s v="Blumenau Corrida"/>
    <n v="0.63"/>
    <n v="47"/>
    <d v="1899-12-30T00:04:02"/>
    <s v="--"/>
    <s v="--"/>
    <s v="--"/>
    <s v="--"/>
    <s v="--"/>
    <d v="1899-12-30T06:26:00"/>
    <d v="1899-12-30T05:55:00"/>
    <n v="8"/>
    <n v="9"/>
    <n v="0"/>
    <n v="0"/>
    <n v="0"/>
    <n v="0"/>
    <n v="0"/>
    <n v="0"/>
    <s v="--"/>
    <s v="--"/>
    <d v="1899-12-30T00:04:02"/>
    <d v="1899-12-30T00:00:00"/>
    <n v="0"/>
    <d v="1899-12-30T00:00:00"/>
    <s v="Não"/>
    <s v="00:00.00"/>
    <n v="1"/>
    <n v="0"/>
    <d v="1899-12-30T00:04:02"/>
    <d v="1899-12-30T00:04:02"/>
    <n v="17"/>
    <n v="27"/>
  </r>
  <r>
    <s v="Corrida"/>
    <x v="216"/>
    <s v="false"/>
    <s v="Blumenau Corrida"/>
    <n v="5.32"/>
    <n v="380"/>
    <d v="1899-12-30T00:34:44"/>
    <s v="--"/>
    <s v="--"/>
    <s v="--"/>
    <s v="--"/>
    <s v="--"/>
    <d v="1899-12-30T06:32:00"/>
    <d v="1899-12-30T04:26:00"/>
    <n v="107"/>
    <n v="117"/>
    <n v="0"/>
    <n v="0"/>
    <n v="0"/>
    <n v="0"/>
    <n v="0"/>
    <n v="0"/>
    <s v="--"/>
    <s v="--"/>
    <d v="1899-12-31T10:44:00"/>
    <d v="1899-12-30T00:00:00"/>
    <n v="0"/>
    <d v="1899-12-30T00:00:00"/>
    <s v="Não"/>
    <s v="00:00.85"/>
    <n v="15"/>
    <n v="0"/>
    <d v="1899-12-30T00:34:41"/>
    <d v="1899-12-30T00:40:49"/>
    <n v="13"/>
    <n v="54"/>
  </r>
  <r>
    <s v="Corrida"/>
    <x v="217"/>
    <s v="false"/>
    <s v="Blumenau Corrida"/>
    <n v="6.96"/>
    <n v="503"/>
    <d v="1899-12-30T00:47:17"/>
    <s v="--"/>
    <s v="--"/>
    <s v="--"/>
    <s v="--"/>
    <s v="--"/>
    <d v="1899-12-30T06:47:00"/>
    <d v="1899-12-30T04:12:00"/>
    <n v="56"/>
    <n v="49"/>
    <n v="0"/>
    <n v="0"/>
    <n v="0"/>
    <n v="0"/>
    <n v="0"/>
    <n v="0"/>
    <s v="--"/>
    <s v="--"/>
    <d v="1899-12-31T23:17:00"/>
    <d v="1899-12-30T00:00:00"/>
    <n v="0"/>
    <d v="1899-12-30T00:00:00"/>
    <s v="Não"/>
    <s v="01:00.45"/>
    <n v="15"/>
    <n v="0"/>
    <d v="1899-12-30T00:45:51"/>
    <d v="1899-12-30T00:47:17"/>
    <n v="9"/>
    <n v="24"/>
  </r>
  <r>
    <s v="Corrida"/>
    <x v="218"/>
    <s v="false"/>
    <s v="Blumenau Corrida"/>
    <n v="7.71"/>
    <n v="565"/>
    <d v="1899-12-30T00:50:19"/>
    <s v="--"/>
    <s v="--"/>
    <s v="--"/>
    <s v="--"/>
    <s v="--"/>
    <d v="1899-12-30T06:31:00"/>
    <d v="1899-12-30T03:45:00"/>
    <n v="117"/>
    <n v="122"/>
    <n v="0"/>
    <n v="0"/>
    <n v="0"/>
    <n v="0"/>
    <n v="0"/>
    <n v="0"/>
    <s v="--"/>
    <s v="--"/>
    <d v="1900-01-01T02:19:00"/>
    <d v="1899-12-30T00:00:00"/>
    <n v="0"/>
    <d v="1899-12-30T00:00:00"/>
    <s v="Não"/>
    <s v="00:00.00"/>
    <n v="1"/>
    <n v="0"/>
    <d v="1899-12-30T00:50:19"/>
    <d v="1899-12-30T00:50:19"/>
    <n v="22"/>
    <n v="65"/>
  </r>
  <r>
    <s v="Corrida"/>
    <x v="219"/>
    <s v="false"/>
    <s v="Blumenau Corrida"/>
    <n v="0.41"/>
    <n v="30"/>
    <d v="1899-12-30T00:02:13"/>
    <s v="--"/>
    <s v="--"/>
    <s v="--"/>
    <s v="--"/>
    <s v="--"/>
    <d v="1899-12-30T05:24:00"/>
    <d v="1899-12-30T05:01:00"/>
    <s v="--"/>
    <s v="--"/>
    <n v="0"/>
    <n v="0"/>
    <n v="0"/>
    <n v="0"/>
    <n v="0"/>
    <n v="0"/>
    <s v="--"/>
    <s v="--"/>
    <d v="1899-12-30T00:02:13"/>
    <d v="1899-12-30T00:00:00"/>
    <n v="0"/>
    <d v="1899-12-30T00:00:00"/>
    <s v="Não"/>
    <s v="00:00.00"/>
    <n v="1"/>
    <n v="0"/>
    <d v="1899-12-30T00:02:13"/>
    <d v="1899-12-30T00:02:13"/>
    <n v="14"/>
    <n v="15"/>
  </r>
  <r>
    <s v="Corrida"/>
    <x v="220"/>
    <s v="false"/>
    <s v="Blumenau Corrida"/>
    <n v="5.66"/>
    <n v="410"/>
    <d v="1899-12-30T00:35:17"/>
    <s v="--"/>
    <s v="--"/>
    <s v="--"/>
    <s v="--"/>
    <s v="--"/>
    <d v="1899-12-30T06:14:00"/>
    <d v="1899-12-30T04:15:00"/>
    <s v="--"/>
    <s v="--"/>
    <n v="0"/>
    <n v="0"/>
    <n v="0"/>
    <n v="0"/>
    <n v="0"/>
    <n v="0"/>
    <s v="--"/>
    <s v="--"/>
    <d v="1899-12-31T11:17:00"/>
    <d v="1899-12-30T00:00:00"/>
    <n v="0"/>
    <d v="1899-12-30T00:00:00"/>
    <s v="Não"/>
    <s v="01:29.64"/>
    <n v="11"/>
    <n v="0"/>
    <d v="1899-12-30T00:32:51"/>
    <d v="1899-12-30T00:35:17"/>
    <n v="14"/>
    <n v="15"/>
  </r>
  <r>
    <s v="Corrida"/>
    <x v="221"/>
    <s v="false"/>
    <s v="Blumenau Correr"/>
    <n v="5.42"/>
    <n v="398"/>
    <d v="1899-12-30T00:30:32"/>
    <s v="--"/>
    <s v="--"/>
    <s v="--"/>
    <s v="--"/>
    <s v="--"/>
    <d v="1899-12-30T05:38:00"/>
    <d v="1899-12-30T03:36:00"/>
    <n v="41"/>
    <n v="40"/>
    <n v="0"/>
    <n v="0"/>
    <n v="0"/>
    <n v="0"/>
    <n v="0"/>
    <n v="0"/>
    <s v="--"/>
    <s v="--"/>
    <d v="1899-12-31T06:32:00"/>
    <d v="1899-12-30T00:00:00"/>
    <n v="0"/>
    <d v="1899-12-30T00:00:00"/>
    <s v="Não"/>
    <s v="00:00.00"/>
    <n v="1"/>
    <n v="0"/>
    <d v="1899-12-30T00:30:32"/>
    <d v="1899-12-30T00:32:25"/>
    <n v="15"/>
    <n v="24"/>
  </r>
  <r>
    <s v="Corrida"/>
    <x v="222"/>
    <s v="false"/>
    <s v="Blumenau Correr"/>
    <n v="0.69"/>
    <n v="51"/>
    <d v="1899-12-30T00:04:35"/>
    <s v="--"/>
    <s v="--"/>
    <s v="--"/>
    <s v="--"/>
    <s v="--"/>
    <d v="1899-12-30T06:39:00"/>
    <d v="1899-12-30T05:54:00"/>
    <n v="7"/>
    <n v="6"/>
    <n v="0"/>
    <n v="0"/>
    <n v="0"/>
    <n v="0"/>
    <n v="0"/>
    <n v="0"/>
    <s v="--"/>
    <s v="--"/>
    <d v="1899-12-30T00:04:35"/>
    <d v="1899-12-30T00:00:00"/>
    <n v="0"/>
    <d v="1899-12-30T00:00:00"/>
    <s v="Não"/>
    <s v="00:00.00"/>
    <n v="1"/>
    <n v="0"/>
    <d v="1899-12-30T00:04:35"/>
    <d v="1899-12-30T00:04:35"/>
    <n v="9"/>
    <n v="20"/>
  </r>
  <r>
    <s v="Corrida"/>
    <x v="223"/>
    <s v="false"/>
    <s v="Blumenau Correr"/>
    <n v="1.75"/>
    <n v="92"/>
    <d v="1899-12-30T00:22:10"/>
    <s v="--"/>
    <s v="--"/>
    <s v="--"/>
    <s v="--"/>
    <s v="--"/>
    <d v="1899-12-30T12:39:00"/>
    <d v="1899-12-30T08:29:00"/>
    <n v="18"/>
    <n v="15"/>
    <n v="0"/>
    <n v="0"/>
    <n v="0"/>
    <n v="0"/>
    <n v="0"/>
    <n v="0"/>
    <s v="--"/>
    <s v="--"/>
    <d v="1899-12-30T22:10:00"/>
    <d v="1899-12-30T00:00:00"/>
    <n v="0"/>
    <d v="1899-12-30T00:00:00"/>
    <s v="Não"/>
    <s v="00:00.00"/>
    <n v="1"/>
    <n v="0"/>
    <d v="1899-12-30T00:22:10"/>
    <d v="1899-12-30T00:22:10"/>
    <n v="14"/>
    <n v="28"/>
  </r>
  <r>
    <s v="Corrida"/>
    <x v="224"/>
    <s v="false"/>
    <s v="Blumenau Correr"/>
    <n v="4.8099999999999996"/>
    <n v="343"/>
    <d v="1899-12-30T00:38:59"/>
    <s v="--"/>
    <s v="--"/>
    <s v="--"/>
    <s v="--"/>
    <s v="--"/>
    <d v="1899-12-30T08:07:00"/>
    <d v="1899-12-30T04:22:00"/>
    <n v="6"/>
    <n v="5"/>
    <n v="0"/>
    <n v="0"/>
    <n v="0"/>
    <n v="0"/>
    <n v="0"/>
    <n v="0"/>
    <s v="--"/>
    <s v="--"/>
    <d v="1899-12-31T14:59:00"/>
    <d v="1899-12-30T00:00:00"/>
    <n v="0"/>
    <d v="1899-12-30T00:00:00"/>
    <s v="Não"/>
    <s v="00:02.29"/>
    <n v="16"/>
    <n v="0"/>
    <d v="1899-12-30T00:35:38"/>
    <d v="1899-12-30T00:38:59"/>
    <n v="14"/>
    <n v="18"/>
  </r>
  <r>
    <s v="Corrida"/>
    <x v="225"/>
    <s v="false"/>
    <s v="Blumenau Correr"/>
    <n v="1.42"/>
    <n v="104"/>
    <d v="1899-12-30T00:08:19"/>
    <s v="--"/>
    <s v="--"/>
    <s v="--"/>
    <s v="--"/>
    <s v="--"/>
    <d v="1899-12-30T05:52:00"/>
    <d v="1899-12-30T04:03:00"/>
    <n v="8"/>
    <n v="19"/>
    <n v="0"/>
    <n v="0"/>
    <n v="0"/>
    <n v="0"/>
    <n v="0"/>
    <n v="0"/>
    <s v="--"/>
    <s v="--"/>
    <d v="1899-12-30T00:08:19"/>
    <d v="1899-12-30T00:00:00"/>
    <n v="0"/>
    <d v="1899-12-30T00:00:00"/>
    <s v="Não"/>
    <s v="00:00.00"/>
    <n v="1"/>
    <n v="0"/>
    <d v="1899-12-30T00:08:19"/>
    <d v="1899-12-30T00:08:19"/>
    <n v="14"/>
    <n v="28"/>
  </r>
  <r>
    <s v="Corrida"/>
    <x v="226"/>
    <s v="false"/>
    <s v="Blumenau Correr"/>
    <n v="4.04"/>
    <n v="287"/>
    <d v="1899-12-30T00:27:06"/>
    <s v="--"/>
    <s v="--"/>
    <s v="--"/>
    <s v="--"/>
    <s v="--"/>
    <d v="1899-12-30T06:43:00"/>
    <d v="1899-12-30T03:46:00"/>
    <n v="43"/>
    <n v="36"/>
    <n v="0"/>
    <n v="0"/>
    <n v="0"/>
    <n v="0"/>
    <n v="0"/>
    <n v="0"/>
    <s v="--"/>
    <s v="--"/>
    <d v="1899-12-31T03:06:00"/>
    <d v="1899-12-30T00:00:00"/>
    <n v="0"/>
    <d v="1899-12-30T00:00:00"/>
    <s v="Não"/>
    <s v="00:53.56"/>
    <n v="23"/>
    <n v="0"/>
    <d v="1899-12-30T00:26:27"/>
    <d v="1899-12-30T00:27:06"/>
    <n v="17"/>
    <n v="26"/>
  </r>
  <r>
    <s v="Corrida"/>
    <x v="227"/>
    <s v="false"/>
    <s v="Blumenau Correr"/>
    <n v="0.63"/>
    <n v="45"/>
    <d v="1899-12-30T00:03:45"/>
    <s v="--"/>
    <s v="--"/>
    <s v="--"/>
    <s v="--"/>
    <s v="--"/>
    <d v="1899-12-30T05:59:00"/>
    <d v="1899-12-30T05:10:00"/>
    <n v="2"/>
    <s v="--"/>
    <n v="0"/>
    <n v="0"/>
    <n v="0"/>
    <n v="0"/>
    <n v="0"/>
    <n v="0"/>
    <s v="--"/>
    <s v="--"/>
    <d v="1899-12-30T00:03:45"/>
    <d v="1899-12-30T00:00:00"/>
    <n v="0"/>
    <d v="1899-12-30T00:00:00"/>
    <s v="Não"/>
    <s v="00:00.00"/>
    <n v="1"/>
    <n v="0"/>
    <d v="1899-12-30T00:03:45"/>
    <d v="1899-12-30T00:03:45"/>
    <n v="17"/>
    <n v="21"/>
  </r>
  <r>
    <s v="Corrida"/>
    <x v="228"/>
    <s v="false"/>
    <s v="Blumenau Correr"/>
    <n v="8"/>
    <n v="567"/>
    <d v="1899-12-30T00:48:43"/>
    <s v="--"/>
    <s v="--"/>
    <s v="--"/>
    <s v="--"/>
    <s v="--"/>
    <d v="1899-12-30T06:05:00"/>
    <d v="1899-12-30T04:38:00"/>
    <n v="26"/>
    <n v="30"/>
    <n v="0"/>
    <n v="0"/>
    <n v="0"/>
    <n v="0"/>
    <n v="0"/>
    <n v="0"/>
    <s v="--"/>
    <s v="--"/>
    <d v="1900-01-01T00:43:00"/>
    <d v="1899-12-30T00:00:00"/>
    <n v="0"/>
    <d v="1899-12-30T00:00:00"/>
    <s v="Não"/>
    <s v="02:02.08"/>
    <n v="11"/>
    <n v="0"/>
    <d v="1899-12-30T00:48:41"/>
    <d v="1899-12-30T00:48:43"/>
    <n v="12"/>
    <n v="29"/>
  </r>
  <r>
    <s v="Corrida"/>
    <x v="229"/>
    <s v="false"/>
    <s v="Blumenau Correr"/>
    <n v="4"/>
    <n v="292"/>
    <d v="1899-12-30T00:22:08"/>
    <s v="--"/>
    <s v="--"/>
    <s v="--"/>
    <s v="--"/>
    <s v="--"/>
    <d v="1899-12-30T05:32:00"/>
    <d v="1899-12-30T05:08:00"/>
    <n v="44"/>
    <n v="42"/>
    <n v="0"/>
    <n v="0"/>
    <n v="0"/>
    <n v="0"/>
    <n v="0"/>
    <n v="0"/>
    <s v="--"/>
    <s v="--"/>
    <d v="1899-12-30T22:08:00"/>
    <d v="1899-12-30T00:00:00"/>
    <n v="0"/>
    <d v="1899-12-30T00:00:00"/>
    <s v="Não"/>
    <s v="00:00.00"/>
    <n v="1"/>
    <n v="0"/>
    <d v="1899-12-30T00:22:08"/>
    <d v="1899-12-30T00:22:08"/>
    <n v="17"/>
    <n v="27"/>
  </r>
  <r>
    <s v="Corrida"/>
    <x v="230"/>
    <s v="false"/>
    <s v="Blumenau Correr"/>
    <n v="5"/>
    <n v="360"/>
    <d v="1899-12-30T00:26:25"/>
    <s v="--"/>
    <s v="--"/>
    <s v="--"/>
    <s v="--"/>
    <s v="--"/>
    <d v="1899-12-30T05:17:00"/>
    <d v="1899-12-30T04:42:00"/>
    <n v="51"/>
    <n v="44"/>
    <n v="0"/>
    <n v="0"/>
    <n v="0"/>
    <n v="0"/>
    <n v="0"/>
    <n v="0"/>
    <s v="--"/>
    <s v="--"/>
    <d v="1899-12-31T02:25:00"/>
    <d v="1899-12-30T00:00:00"/>
    <n v="0"/>
    <d v="1899-12-30T00:00:00"/>
    <s v="Não"/>
    <s v="00:00.77"/>
    <n v="6"/>
    <n v="0"/>
    <d v="1899-12-30T00:26:24"/>
    <d v="1899-12-30T00:26:25"/>
    <n v="17"/>
    <n v="26"/>
  </r>
  <r>
    <s v="Corrida"/>
    <x v="231"/>
    <s v="false"/>
    <s v="Correr"/>
    <n v="0"/>
    <s v="--"/>
    <d v="1899-12-30T00:56:46"/>
    <s v="--"/>
    <s v="--"/>
    <s v="--"/>
    <s v="--"/>
    <s v="--"/>
    <s v="--"/>
    <s v="--"/>
    <s v="--"/>
    <s v="--"/>
    <n v="0"/>
    <n v="0"/>
    <n v="0"/>
    <n v="0"/>
    <n v="0"/>
    <n v="0"/>
    <s v="--"/>
    <s v="--"/>
    <d v="1900-01-01T08:46:00"/>
    <d v="1899-12-30T00:00:00"/>
    <n v="0"/>
    <d v="1899-12-30T00:00:00"/>
    <s v="Não"/>
    <s v="00:00.00"/>
    <n v="1"/>
    <n v="0"/>
    <d v="1899-12-30T00:00:00"/>
    <d v="1899-12-30T00:56:46"/>
    <s v="--"/>
    <s v="--"/>
  </r>
  <r>
    <s v="Corrida"/>
    <x v="232"/>
    <s v="false"/>
    <s v="Blumenau Correr"/>
    <n v="6"/>
    <n v="437"/>
    <d v="1899-12-30T00:34:36"/>
    <s v="--"/>
    <s v="--"/>
    <s v="--"/>
    <s v="--"/>
    <s v="--"/>
    <d v="1899-12-30T05:46:00"/>
    <d v="1899-12-30T04:55:00"/>
    <n v="70"/>
    <n v="67"/>
    <n v="0"/>
    <n v="0"/>
    <n v="0"/>
    <n v="0"/>
    <n v="0"/>
    <n v="0"/>
    <s v="--"/>
    <s v="--"/>
    <d v="1899-12-31T10:36:00"/>
    <d v="1899-12-30T00:00:00"/>
    <n v="0"/>
    <d v="1899-12-30T00:00:00"/>
    <s v="Não"/>
    <s v="00:00.81"/>
    <n v="8"/>
    <n v="0"/>
    <d v="1899-12-30T00:34:36"/>
    <d v="1899-12-30T00:34:36"/>
    <n v="15"/>
    <n v="27"/>
  </r>
  <r>
    <s v="Corrida"/>
    <x v="233"/>
    <s v="false"/>
    <s v="Blumenau Corrida"/>
    <n v="0.97"/>
    <n v="65"/>
    <d v="1899-12-30T00:04:56"/>
    <s v="--"/>
    <s v="--"/>
    <s v="--"/>
    <n v="151"/>
    <n v="173"/>
    <d v="1899-12-30T05:06:00"/>
    <d v="1899-12-30T02:24:00"/>
    <s v="--"/>
    <s v="--"/>
    <n v="1.3"/>
    <n v="0"/>
    <n v="0"/>
    <n v="0"/>
    <n v="0"/>
    <n v="0"/>
    <s v="--"/>
    <s v="--"/>
    <d v="1899-12-30T00:04:56"/>
    <d v="1899-12-30T00:00:00"/>
    <n v="0"/>
    <d v="1899-12-30T00:00:00"/>
    <s v="Não"/>
    <s v="00:00.00"/>
    <n v="1"/>
    <n v="0"/>
    <d v="1899-12-30T00:04:30"/>
    <d v="1899-12-30T00:05:02"/>
    <n v="11"/>
    <n v="13"/>
  </r>
  <r>
    <s v="Corrida"/>
    <x v="234"/>
    <s v="false"/>
    <s v="Blumenau Corrida"/>
    <n v="2.31"/>
    <n v="172"/>
    <d v="1899-12-30T00:11:05"/>
    <s v="--"/>
    <s v="--"/>
    <s v="--"/>
    <n v="169"/>
    <n v="177"/>
    <d v="1899-12-30T04:47:00"/>
    <d v="1899-12-30T03:57:00"/>
    <s v="--"/>
    <s v="--"/>
    <n v="1.24"/>
    <n v="0"/>
    <n v="0"/>
    <n v="0"/>
    <n v="0"/>
    <n v="0"/>
    <s v="--"/>
    <s v="--"/>
    <d v="1899-12-30T11:05:00"/>
    <d v="1899-12-30T00:00:00"/>
    <n v="0"/>
    <d v="1899-12-30T00:00:00"/>
    <s v="Não"/>
    <s v="01:41.76"/>
    <n v="3"/>
    <n v="0"/>
    <d v="1899-12-30T00:10:58"/>
    <d v="1899-12-30T00:14:25"/>
    <n v="11"/>
    <n v="13"/>
  </r>
  <r>
    <s v="Corrida"/>
    <x v="235"/>
    <s v="false"/>
    <s v="Blumenau Corrida"/>
    <n v="1.02"/>
    <n v="73"/>
    <d v="1899-12-30T00:05:51"/>
    <s v="--"/>
    <s v="--"/>
    <s v="--"/>
    <n v="159"/>
    <n v="164"/>
    <d v="1899-12-30T05:45:00"/>
    <d v="1899-12-30T05:31:00"/>
    <s v="--"/>
    <s v="--"/>
    <n v="1.0900000000000001"/>
    <n v="0"/>
    <n v="0"/>
    <n v="0"/>
    <n v="0"/>
    <n v="0"/>
    <s v="--"/>
    <s v="--"/>
    <d v="1899-12-30T00:05:51"/>
    <d v="1899-12-30T00:00:00"/>
    <n v="0"/>
    <d v="1899-12-30T00:00:00"/>
    <s v="Não"/>
    <s v="00:06.54"/>
    <n v="2"/>
    <n v="0"/>
    <d v="1899-12-30T00:05:50"/>
    <d v="1899-12-30T00:05:51"/>
    <n v="10"/>
    <n v="13"/>
  </r>
  <r>
    <s v="Corrida"/>
    <x v="236"/>
    <s v="false"/>
    <s v="Blumenau Corrida"/>
    <n v="2.34"/>
    <n v="79"/>
    <d v="1899-12-30T00:11:26"/>
    <s v="--"/>
    <s v="--"/>
    <s v="--"/>
    <n v="173"/>
    <n v="185"/>
    <d v="1899-12-30T04:53:00"/>
    <d v="1899-12-30T02:49:00"/>
    <s v="--"/>
    <s v="--"/>
    <n v="1.19"/>
    <n v="0"/>
    <n v="0"/>
    <n v="0"/>
    <n v="0"/>
    <n v="0"/>
    <s v="--"/>
    <s v="--"/>
    <d v="1899-12-30T11:26:00"/>
    <d v="1899-12-30T00:00:00"/>
    <n v="0"/>
    <d v="1899-12-30T00:00:00"/>
    <s v="Não"/>
    <s v="01:43.26"/>
    <n v="3"/>
    <n v="0"/>
    <d v="1899-12-30T00:10:41"/>
    <d v="1899-12-30T00:12:00"/>
    <n v="11"/>
    <n v="13"/>
  </r>
  <r>
    <s v="Corrida"/>
    <x v="237"/>
    <s v="false"/>
    <s v="Blumenau Corrida"/>
    <n v="0.16"/>
    <s v="--"/>
    <d v="1899-12-30T00:00:52"/>
    <s v="--"/>
    <s v="--"/>
    <s v="--"/>
    <n v="118"/>
    <n v="118"/>
    <d v="1899-12-30T05:20:00"/>
    <s v="--"/>
    <s v="--"/>
    <s v="--"/>
    <n v="1.59"/>
    <n v="0"/>
    <n v="0"/>
    <n v="0"/>
    <n v="0"/>
    <n v="0"/>
    <s v="--"/>
    <s v="--"/>
    <d v="1899-12-30T00:00:52"/>
    <d v="1899-12-30T00:00:00"/>
    <n v="0"/>
    <d v="1899-12-30T00:00:00"/>
    <s v="Não"/>
    <s v="00:00.00"/>
    <n v="1"/>
    <n v="0"/>
    <d v="1899-12-30T00:00:00"/>
    <d v="1899-12-30T00:00:57"/>
    <n v="11"/>
    <n v="13"/>
  </r>
  <r>
    <s v="Corrida"/>
    <x v="238"/>
    <s v="false"/>
    <s v="Blumenau Corrida"/>
    <n v="0.4"/>
    <n v="14"/>
    <d v="1899-12-30T00:02:19"/>
    <s v="--"/>
    <s v="--"/>
    <s v="--"/>
    <n v="157"/>
    <n v="171"/>
    <d v="1899-12-30T05:50:00"/>
    <d v="1899-12-30T04:59:00"/>
    <s v="--"/>
    <s v="--"/>
    <n v="1.0900000000000001"/>
    <n v="0"/>
    <n v="0"/>
    <n v="0"/>
    <n v="0"/>
    <n v="0"/>
    <s v="--"/>
    <s v="--"/>
    <d v="1899-12-30T00:02:19"/>
    <d v="1899-12-30T00:00:00"/>
    <n v="0"/>
    <d v="1899-12-30T00:00:00"/>
    <s v="Não"/>
    <s v="00:00.00"/>
    <n v="1"/>
    <n v="0"/>
    <d v="1899-12-30T00:02:19"/>
    <d v="1899-12-30T00:02:19"/>
    <n v="11"/>
    <n v="13"/>
  </r>
  <r>
    <s v="Corrida"/>
    <x v="239"/>
    <s v="false"/>
    <s v="Blumenau Corrida"/>
    <n v="5.09"/>
    <n v="186"/>
    <d v="1899-12-30T00:30:03"/>
    <s v="--"/>
    <s v="--"/>
    <s v="--"/>
    <n v="164"/>
    <n v="171"/>
    <d v="1899-12-30T05:54:00"/>
    <d v="1899-12-30T04:31:00"/>
    <n v="1"/>
    <n v="1"/>
    <n v="1.03"/>
    <n v="0"/>
    <n v="0"/>
    <n v="0"/>
    <n v="0"/>
    <n v="0"/>
    <s v="--"/>
    <s v="--"/>
    <d v="1899-12-31T06:03:00"/>
    <d v="1899-12-30T00:00:00"/>
    <n v="0"/>
    <d v="1899-12-30T00:00:00"/>
    <s v="Não"/>
    <s v="00:34.37"/>
    <n v="6"/>
    <n v="0"/>
    <d v="1899-12-30T00:30:02"/>
    <d v="1899-12-30T00:30:03"/>
    <n v="10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x v="0"/>
    <d v="2021-07-19T06:49:42"/>
    <s v="false"/>
    <s v="Força"/>
    <n v="0"/>
    <n v="170"/>
    <d v="1899-12-30T00:36:12"/>
    <n v="107"/>
    <n v="152"/>
    <n v="1.1000000000000001"/>
    <s v="--"/>
    <s v="--"/>
    <s v="--"/>
    <s v="--"/>
    <s v="--"/>
    <s v="--"/>
    <n v="0"/>
    <n v="0"/>
    <n v="0"/>
    <n v="0"/>
    <n v="0"/>
    <n v="0"/>
    <n v="166"/>
    <n v="20"/>
    <d v="1899-12-31T12:12:00"/>
    <d v="1899-12-30T00:00:00"/>
    <n v="0"/>
    <d v="1899-12-30T00:00:00"/>
    <s v="Não"/>
    <s v="36:12.03"/>
    <n v="1"/>
    <n v="0"/>
    <d v="1899-12-30T00:18:51"/>
    <d v="1899-12-30T00:36:12"/>
    <s v="--"/>
    <s v="--"/>
  </r>
  <r>
    <x v="1"/>
    <d v="2021-07-18T08:38:18"/>
    <s v="false"/>
    <s v="Blumenau Ciclismo"/>
    <n v="18.04"/>
    <n v="636"/>
    <d v="1899-12-30T02:03:44"/>
    <n v="116"/>
    <n v="163"/>
    <n v="2.2000000000000002"/>
    <s v="--"/>
    <s v="--"/>
    <n v="8.6999999999999993"/>
    <n v="24.6"/>
    <n v="142"/>
    <n v="145"/>
    <n v="0"/>
    <n v="0"/>
    <n v="0"/>
    <n v="0"/>
    <n v="0"/>
    <n v="0"/>
    <s v="--"/>
    <s v="--"/>
    <d v="1899-12-30T02:03:44"/>
    <d v="1899-12-30T00:00:00"/>
    <n v="0"/>
    <d v="1899-12-30T00:00:00"/>
    <s v="Não"/>
    <s v="12:25.05"/>
    <n v="4"/>
    <n v="0"/>
    <d v="1899-12-30T01:29:55"/>
    <d v="1899-12-30T02:03:44"/>
    <n v="3"/>
    <n v="41"/>
  </r>
  <r>
    <x v="2"/>
    <d v="2021-07-17T07:12:56"/>
    <s v="false"/>
    <s v="Pomerode Corrida"/>
    <n v="6.05"/>
    <n v="602"/>
    <d v="1899-12-30T00:49:39"/>
    <n v="176"/>
    <n v="218"/>
    <n v="4.5999999999999996"/>
    <n v="113"/>
    <n v="243"/>
    <d v="1899-12-30T08:13:00"/>
    <d v="1899-12-30T04:08:00"/>
    <n v="293"/>
    <n v="294"/>
    <n v="1.01"/>
    <n v="0"/>
    <n v="0"/>
    <n v="0"/>
    <n v="0"/>
    <n v="0"/>
    <s v="--"/>
    <s v="--"/>
    <d v="1900-01-01T01:39:00"/>
    <d v="1899-12-30T00:00:00"/>
    <n v="0"/>
    <d v="1899-12-30T00:00:00"/>
    <s v="Não"/>
    <s v="00:30.41"/>
    <n v="8"/>
    <n v="0"/>
    <d v="1899-12-30T00:42:10"/>
    <d v="1899-12-30T00:49:39"/>
    <n v="84"/>
    <n v="380"/>
  </r>
  <r>
    <x v="0"/>
    <d v="2021-07-13T06:56:10"/>
    <s v="false"/>
    <s v="Força"/>
    <n v="0"/>
    <n v="219"/>
    <d v="1899-12-30T00:37:39"/>
    <n v="117"/>
    <n v="160"/>
    <n v="1.7"/>
    <s v="--"/>
    <s v="--"/>
    <s v="--"/>
    <s v="--"/>
    <s v="--"/>
    <s v="--"/>
    <n v="0"/>
    <n v="0"/>
    <n v="0"/>
    <n v="0"/>
    <n v="0"/>
    <n v="0"/>
    <n v="159"/>
    <n v="20"/>
    <d v="1899-12-31T13:39:00"/>
    <d v="1899-12-30T00:00:00"/>
    <n v="0"/>
    <d v="1899-12-30T00:00:00"/>
    <s v="Não"/>
    <s v="37:38.93"/>
    <n v="1"/>
    <n v="0"/>
    <d v="1899-12-30T00:18:40"/>
    <d v="1899-12-30T00:37:39"/>
    <s v="--"/>
    <s v="--"/>
  </r>
  <r>
    <x v="2"/>
    <d v="2021-07-12T06:40:44"/>
    <s v="false"/>
    <s v="Blumenau Corrida"/>
    <n v="5.91"/>
    <n v="396"/>
    <d v="1899-12-30T00:40:01"/>
    <n v="153"/>
    <n v="189"/>
    <n v="3.2"/>
    <n v="137"/>
    <n v="181"/>
    <d v="1899-12-30T06:46:00"/>
    <d v="1899-12-30T03:52:00"/>
    <n v="36"/>
    <n v="36"/>
    <n v="1.06"/>
    <n v="0"/>
    <n v="0"/>
    <n v="0"/>
    <n v="0"/>
    <n v="0"/>
    <s v="--"/>
    <s v="--"/>
    <d v="1899-12-31T16:01:00"/>
    <d v="1899-12-30T00:00:00"/>
    <n v="0"/>
    <d v="1899-12-30T00:00:00"/>
    <s v="Não"/>
    <s v="00:01.43"/>
    <n v="8"/>
    <n v="0"/>
    <d v="1899-12-30T00:39:11"/>
    <d v="1899-12-30T00:40:47"/>
    <n v="11"/>
    <n v="21"/>
  </r>
  <r>
    <x v="2"/>
    <d v="2021-07-10T07:48:19"/>
    <s v="false"/>
    <s v="Blumenau Corrida"/>
    <n v="16.010000000000002"/>
    <n v="1233"/>
    <d v="1899-12-30T01:44:30"/>
    <n v="174"/>
    <n v="206"/>
    <n v="5"/>
    <n v="150"/>
    <n v="247"/>
    <d v="1899-12-30T06:32:00"/>
    <d v="1899-12-30T05:25:00"/>
    <n v="305"/>
    <n v="307"/>
    <n v="1.02"/>
    <n v="0"/>
    <n v="0"/>
    <n v="0"/>
    <n v="0"/>
    <n v="0"/>
    <s v="--"/>
    <s v="--"/>
    <d v="1899-12-30T01:44:30"/>
    <d v="1899-12-30T00:00:00"/>
    <n v="0"/>
    <d v="1899-12-30T00:00:00"/>
    <s v="Não"/>
    <s v="00:03.65"/>
    <n v="17"/>
    <n v="0"/>
    <d v="1899-12-30T01:44:25"/>
    <d v="1899-12-30T01:44:30"/>
    <n v="17"/>
    <n v="125"/>
  </r>
  <r>
    <x v="0"/>
    <d v="2021-07-09T07:01:28"/>
    <s v="false"/>
    <s v="Força"/>
    <n v="0"/>
    <n v="333"/>
    <d v="1899-12-30T00:53:49"/>
    <n v="125"/>
    <n v="168"/>
    <n v="2.2000000000000002"/>
    <s v="--"/>
    <s v="--"/>
    <s v="--"/>
    <s v="--"/>
    <s v="--"/>
    <s v="--"/>
    <n v="0"/>
    <n v="0"/>
    <n v="0"/>
    <n v="0"/>
    <n v="0"/>
    <n v="0"/>
    <n v="265"/>
    <n v="24"/>
    <d v="1900-01-01T05:49:00"/>
    <d v="1899-12-30T00:00:00"/>
    <n v="0"/>
    <d v="1899-12-30T00:00:00"/>
    <s v="Não"/>
    <s v="53:48.75"/>
    <n v="1"/>
    <n v="0"/>
    <d v="1899-12-30T00:29:18"/>
    <d v="1899-12-30T00:53:49"/>
    <s v="--"/>
    <s v="--"/>
  </r>
  <r>
    <x v="2"/>
    <d v="2021-07-08T17:49:32"/>
    <s v="false"/>
    <s v="Blumenau - 10k - 90 a 95%"/>
    <n v="10.01"/>
    <n v="744"/>
    <d v="1899-12-30T01:01:52"/>
    <n v="172"/>
    <n v="188"/>
    <n v="5"/>
    <n v="160"/>
    <n v="168"/>
    <d v="1899-12-30T06:11:00"/>
    <d v="1899-12-30T05:04:00"/>
    <n v="64"/>
    <n v="78"/>
    <n v="1.01"/>
    <n v="0"/>
    <n v="0"/>
    <n v="0"/>
    <n v="0"/>
    <n v="0"/>
    <s v="--"/>
    <s v="--"/>
    <d v="1899-12-30T01:01:52"/>
    <d v="1899-12-30T00:00:00"/>
    <n v="0"/>
    <d v="1899-12-30T00:00:00"/>
    <s v="Não"/>
    <s v="00:05.04"/>
    <n v="11"/>
    <n v="0"/>
    <d v="1899-12-30T01:01:43"/>
    <d v="1899-12-30T01:01:52"/>
    <n v="9"/>
    <n v="49"/>
  </r>
  <r>
    <x v="2"/>
    <d v="2021-07-03T08:08:16"/>
    <s v="false"/>
    <s v="Blumenau Corrida"/>
    <n v="14.12"/>
    <n v="1047"/>
    <d v="1899-12-30T01:30:02"/>
    <n v="170"/>
    <n v="201"/>
    <n v="5"/>
    <n v="153"/>
    <n v="244"/>
    <d v="1899-12-30T06:23:00"/>
    <d v="1899-12-30T05:32:00"/>
    <n v="175"/>
    <n v="177"/>
    <n v="1.03"/>
    <n v="0"/>
    <n v="0"/>
    <n v="0"/>
    <n v="0"/>
    <n v="0"/>
    <s v="--"/>
    <s v="--"/>
    <d v="1899-12-30T01:30:02"/>
    <d v="1899-12-30T00:00:00"/>
    <n v="0"/>
    <d v="1899-12-30T00:00:00"/>
    <s v="Não"/>
    <s v="00:36.10"/>
    <n v="15"/>
    <n v="0"/>
    <d v="1899-12-30T01:29:59"/>
    <d v="1899-12-30T01:30:02"/>
    <n v="15"/>
    <n v="64"/>
  </r>
  <r>
    <x v="0"/>
    <d v="2021-07-02T07:02:14"/>
    <s v="false"/>
    <s v="Força"/>
    <n v="0"/>
    <n v="280"/>
    <d v="1899-12-30T00:49:59"/>
    <n v="119"/>
    <n v="168"/>
    <n v="2.1"/>
    <s v="--"/>
    <s v="--"/>
    <s v="--"/>
    <s v="--"/>
    <s v="--"/>
    <s v="--"/>
    <n v="0"/>
    <n v="0"/>
    <n v="0"/>
    <n v="0"/>
    <n v="0"/>
    <n v="0"/>
    <n v="236"/>
    <n v="24"/>
    <d v="1900-01-01T01:59:00"/>
    <d v="1899-12-30T00:00:00"/>
    <n v="0"/>
    <d v="1899-12-30T00:00:00"/>
    <s v="Não"/>
    <s v="49:58.81"/>
    <n v="1"/>
    <n v="0"/>
    <d v="1899-12-30T00:26:15"/>
    <d v="1899-12-30T00:49:59"/>
    <s v="--"/>
    <s v="--"/>
  </r>
  <r>
    <x v="3"/>
    <d v="2021-07-01T18:17:01"/>
    <s v="false"/>
    <s v="8k - 95 a 100%"/>
    <n v="8.01"/>
    <n v="610"/>
    <d v="1899-12-30T00:51:57"/>
    <n v="165"/>
    <n v="176"/>
    <n v="4.3"/>
    <n v="157"/>
    <n v="180"/>
    <d v="1899-12-30T06:29:00"/>
    <d v="1899-12-30T05:31:00"/>
    <s v="--"/>
    <s v="--"/>
    <n v="0.98"/>
    <n v="0"/>
    <n v="0"/>
    <n v="0"/>
    <n v="0"/>
    <n v="0"/>
    <s v="--"/>
    <s v="--"/>
    <d v="1900-01-01T03:57:00"/>
    <d v="1899-12-30T00:00:00"/>
    <n v="0"/>
    <d v="1899-12-30T00:00:00"/>
    <s v="Não"/>
    <s v="00:02.87"/>
    <n v="9"/>
    <n v="0"/>
    <d v="1899-12-30T00:51:31"/>
    <d v="1899-12-30T00:51:57"/>
    <s v="--"/>
    <s v="--"/>
  </r>
  <r>
    <x v="0"/>
    <d v="2021-06-30T07:01:20"/>
    <s v="false"/>
    <s v="Força"/>
    <n v="0"/>
    <n v="313"/>
    <d v="1899-12-30T00:51:16"/>
    <n v="124"/>
    <n v="142"/>
    <n v="2"/>
    <s v="--"/>
    <s v="--"/>
    <s v="--"/>
    <s v="--"/>
    <s v="--"/>
    <s v="--"/>
    <n v="0"/>
    <n v="0"/>
    <n v="0"/>
    <n v="0"/>
    <n v="0"/>
    <n v="0"/>
    <n v="173"/>
    <n v="24"/>
    <d v="1900-01-01T03:16:00"/>
    <d v="1899-12-30T00:00:00"/>
    <n v="0"/>
    <d v="1899-12-30T00:00:00"/>
    <s v="Não"/>
    <s v="51:15.65"/>
    <n v="1"/>
    <n v="0"/>
    <d v="1899-12-30T00:26:38"/>
    <d v="1899-12-30T00:51:16"/>
    <s v="--"/>
    <s v="--"/>
  </r>
  <r>
    <x v="3"/>
    <d v="2021-06-29T17:25:46"/>
    <s v="false"/>
    <s v="6 x 1km com intervalo 3min parad"/>
    <n v="8.1"/>
    <n v="615"/>
    <d v="1899-12-30T01:04:46"/>
    <n v="151"/>
    <n v="183"/>
    <n v="3.5"/>
    <n v="123"/>
    <n v="210"/>
    <d v="1899-12-30T08:00:00"/>
    <d v="1899-12-30T04:54:00"/>
    <s v="--"/>
    <s v="--"/>
    <n v="0.84"/>
    <n v="0"/>
    <n v="0"/>
    <n v="0"/>
    <n v="0"/>
    <n v="0"/>
    <s v="--"/>
    <s v="--"/>
    <d v="1899-12-30T01:04:46"/>
    <d v="1899-12-30T00:00:00"/>
    <n v="0"/>
    <d v="1899-12-30T00:00:00"/>
    <s v="Não"/>
    <s v="00:02.70"/>
    <n v="15"/>
    <n v="0"/>
    <d v="1899-12-30T00:47:13"/>
    <d v="1899-12-30T01:04:46"/>
    <s v="--"/>
    <s v="--"/>
  </r>
  <r>
    <x v="0"/>
    <d v="2021-06-28T07:02:15"/>
    <s v="false"/>
    <s v="Força"/>
    <n v="0"/>
    <n v="313"/>
    <d v="1899-12-30T00:49:20"/>
    <n v="124"/>
    <n v="174"/>
    <n v="2.4"/>
    <s v="--"/>
    <s v="--"/>
    <s v="--"/>
    <s v="--"/>
    <s v="--"/>
    <s v="--"/>
    <n v="0"/>
    <n v="0"/>
    <n v="0"/>
    <n v="0"/>
    <n v="0"/>
    <n v="0"/>
    <n v="266"/>
    <n v="24"/>
    <d v="1900-01-01T01:20:00"/>
    <d v="1899-12-30T00:00:00"/>
    <n v="0"/>
    <d v="1899-12-30T00:00:00"/>
    <s v="Não"/>
    <s v="49:19.86"/>
    <n v="1"/>
    <n v="0"/>
    <d v="1899-12-30T00:25:07"/>
    <d v="1899-12-30T00:49:20"/>
    <s v="--"/>
    <s v="--"/>
  </r>
  <r>
    <x v="2"/>
    <d v="2021-06-27T09:01:30"/>
    <s v="false"/>
    <s v="Blumenau Corrida"/>
    <n v="13.95"/>
    <n v="1038"/>
    <d v="1899-12-30T01:30:02"/>
    <n v="171"/>
    <n v="201"/>
    <n v="5"/>
    <n v="150"/>
    <n v="241"/>
    <d v="1899-12-30T06:27:00"/>
    <d v="1899-12-30T05:37:00"/>
    <n v="169"/>
    <n v="178"/>
    <n v="1.03"/>
    <n v="0"/>
    <n v="0"/>
    <n v="0"/>
    <n v="0"/>
    <n v="0"/>
    <s v="--"/>
    <s v="--"/>
    <d v="1899-12-30T01:30:02"/>
    <d v="1899-12-30T00:00:00"/>
    <n v="0"/>
    <d v="1899-12-30T00:00:00"/>
    <s v="Não"/>
    <s v="05:45.15"/>
    <n v="14"/>
    <n v="0"/>
    <d v="1899-12-30T01:29:51"/>
    <d v="1899-12-30T01:30:02"/>
    <n v="10"/>
    <n v="57"/>
  </r>
  <r>
    <x v="0"/>
    <d v="2021-06-25T07:05:29"/>
    <s v="false"/>
    <s v="Força"/>
    <n v="0"/>
    <n v="319"/>
    <d v="1899-12-30T00:52:39"/>
    <n v="124"/>
    <n v="148"/>
    <n v="2"/>
    <s v="--"/>
    <s v="--"/>
    <s v="--"/>
    <s v="--"/>
    <s v="--"/>
    <s v="--"/>
    <n v="0"/>
    <n v="0"/>
    <n v="0"/>
    <n v="0"/>
    <n v="0"/>
    <n v="0"/>
    <n v="157"/>
    <n v="24"/>
    <d v="1900-01-01T04:39:00"/>
    <d v="1899-12-30T00:00:00"/>
    <n v="0"/>
    <d v="1899-12-30T00:00:00"/>
    <s v="Não"/>
    <s v="52:38.80"/>
    <n v="1"/>
    <n v="0"/>
    <d v="1899-12-30T00:25:11"/>
    <d v="1899-12-30T00:52:39"/>
    <s v="--"/>
    <s v="--"/>
  </r>
  <r>
    <x v="3"/>
    <d v="2021-06-24T18:03:30"/>
    <s v="false"/>
    <s v="10k - 90 a 95%"/>
    <n v="10.01"/>
    <n v="704"/>
    <d v="1899-12-30T00:59:41"/>
    <n v="167"/>
    <n v="185"/>
    <n v="4.9000000000000004"/>
    <n v="160"/>
    <n v="176"/>
    <d v="1899-12-30T05:58:00"/>
    <d v="1899-12-30T05:12:00"/>
    <s v="--"/>
    <s v="--"/>
    <n v="1.05"/>
    <n v="0"/>
    <n v="0"/>
    <n v="0"/>
    <n v="0"/>
    <n v="0"/>
    <s v="--"/>
    <s v="--"/>
    <d v="1900-01-01T11:41:00"/>
    <d v="1899-12-30T00:00:00"/>
    <n v="0"/>
    <d v="1899-12-30T00:00:00"/>
    <s v="Não"/>
    <s v="00:01.37"/>
    <n v="11"/>
    <n v="0"/>
    <d v="1899-12-30T00:59:34"/>
    <d v="1899-12-30T00:59:41"/>
    <s v="--"/>
    <s v="--"/>
  </r>
  <r>
    <x v="2"/>
    <d v="2021-06-22T06:51:27"/>
    <s v="false"/>
    <s v="Blumenau - 4 x 1km forte com 500m leve"/>
    <n v="8.01"/>
    <n v="560"/>
    <d v="1899-12-30T00:48:54"/>
    <n v="166"/>
    <n v="186"/>
    <n v="4.2"/>
    <n v="158"/>
    <n v="170"/>
    <d v="1899-12-30T06:06:00"/>
    <d v="1899-12-30T04:42:00"/>
    <n v="24"/>
    <n v="36"/>
    <n v="1.03"/>
    <n v="0"/>
    <n v="0"/>
    <n v="0"/>
    <n v="0"/>
    <n v="0"/>
    <s v="--"/>
    <s v="--"/>
    <d v="1900-01-01T00:54:00"/>
    <d v="1899-12-30T00:00:00"/>
    <n v="0"/>
    <d v="1899-12-30T00:00:00"/>
    <s v="Não"/>
    <s v="00:04.61"/>
    <n v="11"/>
    <n v="0"/>
    <d v="1899-12-30T00:48:50"/>
    <d v="1899-12-30T00:48:54"/>
    <n v="12"/>
    <n v="28"/>
  </r>
  <r>
    <x v="0"/>
    <d v="2021-06-21T06:55:09"/>
    <s v="false"/>
    <s v="Força"/>
    <n v="0"/>
    <n v="296"/>
    <d v="1899-12-30T00:53:04"/>
    <n v="119"/>
    <n v="164"/>
    <n v="2.1"/>
    <s v="--"/>
    <s v="--"/>
    <s v="--"/>
    <s v="--"/>
    <s v="--"/>
    <s v="--"/>
    <n v="0"/>
    <n v="0"/>
    <n v="0"/>
    <n v="0"/>
    <n v="0"/>
    <n v="0"/>
    <n v="321"/>
    <n v="27"/>
    <d v="1900-01-01T05:04:00"/>
    <d v="1899-12-30T00:00:00"/>
    <n v="0"/>
    <d v="1899-12-30T00:00:00"/>
    <s v="Não"/>
    <s v="53:03.70"/>
    <n v="1"/>
    <n v="0"/>
    <d v="1899-12-30T00:26:21"/>
    <d v="1899-12-30T00:53:04"/>
    <s v="--"/>
    <s v="--"/>
  </r>
  <r>
    <x v="3"/>
    <d v="2021-06-20T09:20:41"/>
    <s v="false"/>
    <s v="Corrida em esteira"/>
    <n v="6.19"/>
    <n v="470"/>
    <d v="1899-12-30T00:46:02"/>
    <n v="155"/>
    <n v="186"/>
    <n v="3.6"/>
    <n v="142"/>
    <n v="225"/>
    <d v="1899-12-30T07:26:00"/>
    <d v="1899-12-30T04:50:00"/>
    <s v="--"/>
    <s v="--"/>
    <n v="0.93"/>
    <n v="0"/>
    <n v="0"/>
    <n v="0"/>
    <n v="0"/>
    <n v="0"/>
    <s v="--"/>
    <s v="--"/>
    <d v="1899-12-31T22:02:00"/>
    <d v="1899-12-30T00:00:00"/>
    <n v="0"/>
    <d v="1899-12-30T00:00:00"/>
    <s v="Não"/>
    <s v="03:50.01"/>
    <n v="7"/>
    <n v="0"/>
    <d v="1899-12-30T00:43:41"/>
    <d v="1899-12-30T00:46:02"/>
    <s v="--"/>
    <s v="--"/>
  </r>
  <r>
    <x v="3"/>
    <d v="2021-06-17T17:57:56"/>
    <s v="false"/>
    <s v="8k - 90 a 95%"/>
    <n v="8.02"/>
    <n v="555"/>
    <d v="1899-12-30T00:49:54"/>
    <n v="159"/>
    <n v="172"/>
    <n v="4.0999999999999996"/>
    <n v="157"/>
    <n v="161"/>
    <d v="1899-12-30T06:13:00"/>
    <d v="1899-12-30T04:59:00"/>
    <s v="--"/>
    <s v="--"/>
    <n v="1.03"/>
    <n v="0"/>
    <n v="0"/>
    <n v="0"/>
    <n v="0"/>
    <n v="0"/>
    <s v="--"/>
    <s v="--"/>
    <d v="1900-01-01T01:54:00"/>
    <d v="1899-12-30T00:00:00"/>
    <n v="0"/>
    <d v="1899-12-30T00:00:00"/>
    <s v="Não"/>
    <s v="00:07.70"/>
    <n v="9"/>
    <n v="0"/>
    <d v="1899-12-30T00:49:53"/>
    <d v="1899-12-30T00:49:54"/>
    <s v="--"/>
    <s v="--"/>
  </r>
  <r>
    <x v="3"/>
    <d v="2021-06-15T18:11:22"/>
    <s v="false"/>
    <s v="10 x 300m moderado/forte com 100"/>
    <n v="7.01"/>
    <n v="410"/>
    <d v="1899-12-30T00:42:34"/>
    <n v="147"/>
    <n v="172"/>
    <n v="3.3"/>
    <n v="155"/>
    <n v="161"/>
    <d v="1899-12-30T06:04:00"/>
    <d v="1899-12-30T04:38:00"/>
    <s v="--"/>
    <s v="--"/>
    <n v="1.06"/>
    <n v="0"/>
    <n v="0"/>
    <n v="0"/>
    <n v="0"/>
    <n v="0"/>
    <s v="--"/>
    <s v="--"/>
    <d v="1899-12-31T18:34:00"/>
    <d v="1899-12-30T00:00:00"/>
    <n v="0"/>
    <d v="1899-12-30T00:00:00"/>
    <s v="Não"/>
    <s v="00:03.37"/>
    <n v="24"/>
    <n v="0"/>
    <d v="1899-12-30T00:42:26"/>
    <d v="1899-12-30T00:42:34"/>
    <s v="--"/>
    <s v="--"/>
  </r>
  <r>
    <x v="2"/>
    <d v="2021-06-13T08:46:56"/>
    <s v="false"/>
    <s v="Blumenau Corrida"/>
    <n v="18.399999999999999"/>
    <n v="1332"/>
    <d v="1899-12-30T02:00:01"/>
    <n v="167"/>
    <n v="192"/>
    <n v="5"/>
    <n v="154"/>
    <n v="244"/>
    <d v="1899-12-30T06:31:00"/>
    <d v="1899-12-30T05:31:00"/>
    <n v="409"/>
    <n v="377"/>
    <n v="1"/>
    <n v="0"/>
    <n v="0"/>
    <n v="0"/>
    <n v="0"/>
    <n v="0"/>
    <s v="--"/>
    <s v="--"/>
    <d v="1899-12-30T02:00:01"/>
    <d v="1899-12-30T00:00:00"/>
    <n v="0"/>
    <d v="1899-12-30T00:00:00"/>
    <s v="Não"/>
    <s v="02:23.79"/>
    <n v="19"/>
    <n v="0"/>
    <d v="1899-12-30T01:59:49"/>
    <d v="1899-12-30T02:00:01"/>
    <n v="17"/>
    <n v="160"/>
  </r>
  <r>
    <x v="0"/>
    <d v="2021-06-11T06:48:51"/>
    <s v="false"/>
    <s v="Força"/>
    <n v="0"/>
    <n v="310"/>
    <d v="1899-12-30T01:03:07"/>
    <n v="114"/>
    <n v="146"/>
    <n v="1.4"/>
    <s v="--"/>
    <s v="--"/>
    <s v="--"/>
    <s v="--"/>
    <s v="--"/>
    <s v="--"/>
    <n v="0"/>
    <n v="0"/>
    <n v="0"/>
    <n v="0"/>
    <n v="0"/>
    <n v="0"/>
    <n v="209"/>
    <n v="28"/>
    <d v="1899-12-30T01:03:07"/>
    <d v="1899-12-30T00:00:00"/>
    <n v="0"/>
    <d v="1899-12-30T00:00:00"/>
    <s v="Não"/>
    <s v="01:03:07.04"/>
    <n v="1"/>
    <n v="0"/>
    <d v="1899-12-30T00:28:09"/>
    <d v="1899-12-30T01:03:07"/>
    <s v="--"/>
    <s v="--"/>
  </r>
  <r>
    <x v="3"/>
    <d v="2021-06-10T18:33:53"/>
    <s v="false"/>
    <s v="10k - 90 a 95%"/>
    <n v="10.01"/>
    <n v="693"/>
    <d v="1899-12-30T01:01:09"/>
    <n v="165"/>
    <n v="179"/>
    <n v="5"/>
    <n v="158"/>
    <n v="167"/>
    <d v="1899-12-30T06:06:00"/>
    <d v="1899-12-30T04:38:00"/>
    <s v="--"/>
    <s v="--"/>
    <n v="1.04"/>
    <n v="0"/>
    <n v="0"/>
    <n v="0"/>
    <n v="0"/>
    <n v="0"/>
    <s v="--"/>
    <s v="--"/>
    <d v="1899-12-30T01:01:09"/>
    <d v="1899-12-30T00:00:00"/>
    <n v="0"/>
    <d v="1899-12-30T00:00:00"/>
    <s v="Não"/>
    <s v="00:04.95"/>
    <n v="11"/>
    <n v="0"/>
    <d v="1899-12-30T01:00:22"/>
    <d v="1899-12-30T01:01:09"/>
    <s v="--"/>
    <s v="--"/>
  </r>
  <r>
    <x v="3"/>
    <d v="2021-06-08T18:07:33"/>
    <s v="false"/>
    <s v="6 x 500m com intervalo 2min para"/>
    <n v="7.2"/>
    <n v="471"/>
    <d v="1899-12-30T00:54:02"/>
    <n v="144"/>
    <n v="184"/>
    <n v="3.1"/>
    <n v="130"/>
    <n v="170"/>
    <d v="1899-12-30T07:30:00"/>
    <d v="1899-12-30T04:26:00"/>
    <s v="--"/>
    <s v="--"/>
    <n v="0.93"/>
    <n v="0"/>
    <n v="0"/>
    <n v="0"/>
    <n v="0"/>
    <n v="0"/>
    <s v="--"/>
    <s v="--"/>
    <d v="1900-01-01T06:02:00"/>
    <d v="1899-12-30T00:00:00"/>
    <n v="0"/>
    <d v="1899-12-30T00:00:00"/>
    <s v="Não"/>
    <s v="00:03.37"/>
    <n v="17"/>
    <n v="0"/>
    <d v="1899-12-30T00:42:51"/>
    <d v="1899-12-30T00:54:02"/>
    <s v="--"/>
    <s v="--"/>
  </r>
  <r>
    <x v="0"/>
    <d v="2021-06-07T06:43:42"/>
    <s v="false"/>
    <s v="Força"/>
    <n v="0"/>
    <n v="262"/>
    <d v="1899-12-30T00:58:08"/>
    <n v="110"/>
    <n v="150"/>
    <n v="1.5"/>
    <s v="--"/>
    <s v="--"/>
    <s v="--"/>
    <s v="--"/>
    <s v="--"/>
    <s v="--"/>
    <n v="0"/>
    <n v="0"/>
    <n v="0"/>
    <n v="0"/>
    <n v="0"/>
    <n v="0"/>
    <n v="332"/>
    <n v="28"/>
    <d v="1900-01-01T10:08:00"/>
    <d v="1899-12-30T00:00:00"/>
    <n v="0"/>
    <d v="1899-12-30T00:00:00"/>
    <s v="Não"/>
    <s v="58:07.55"/>
    <n v="1"/>
    <n v="0"/>
    <d v="1899-12-30T00:27:58"/>
    <d v="1899-12-30T00:58:08"/>
    <s v="--"/>
    <s v="--"/>
  </r>
  <r>
    <x v="2"/>
    <d v="2021-06-06T08:52:54"/>
    <s v="false"/>
    <s v="Blumenau Corrida"/>
    <n v="13.67"/>
    <n v="1054"/>
    <d v="1899-12-30T01:30:01"/>
    <n v="174"/>
    <n v="205"/>
    <n v="5"/>
    <n v="143"/>
    <n v="244"/>
    <d v="1899-12-30T06:35:00"/>
    <d v="1899-12-30T04:15:00"/>
    <n v="327"/>
    <n v="335"/>
    <n v="1.07"/>
    <n v="0"/>
    <n v="0"/>
    <n v="0"/>
    <n v="0"/>
    <n v="0"/>
    <s v="--"/>
    <s v="--"/>
    <d v="1899-12-30T01:30:01"/>
    <d v="1899-12-30T00:00:00"/>
    <n v="0"/>
    <d v="1899-12-30T00:00:00"/>
    <s v="Não"/>
    <s v="04:05.35"/>
    <n v="14"/>
    <n v="0"/>
    <d v="1899-12-30T01:29:48"/>
    <d v="1899-12-30T01:30:01"/>
    <n v="16"/>
    <n v="123"/>
  </r>
  <r>
    <x v="2"/>
    <d v="2021-06-03T07:25:17"/>
    <s v="false"/>
    <s v="Blumenau - 10 x 400 - intervalo 1 minuto"/>
    <n v="8.65"/>
    <n v="600"/>
    <d v="1899-12-30T00:57:16"/>
    <n v="159"/>
    <n v="183"/>
    <n v="4.5999999999999996"/>
    <n v="146"/>
    <n v="249"/>
    <d v="1899-12-30T06:37:00"/>
    <d v="1899-12-30T03:53:00"/>
    <n v="22"/>
    <n v="33"/>
    <n v="1.03"/>
    <n v="0"/>
    <n v="0"/>
    <n v="0"/>
    <n v="0"/>
    <n v="0"/>
    <s v="--"/>
    <s v="--"/>
    <d v="1900-01-01T09:16:00"/>
    <d v="1899-12-30T00:00:00"/>
    <n v="0"/>
    <d v="1899-12-30T00:00:00"/>
    <s v="Não"/>
    <s v="00:04.31"/>
    <n v="25"/>
    <n v="0"/>
    <d v="1899-12-30T00:53:53"/>
    <d v="1899-12-30T00:57:16"/>
    <n v="7"/>
    <n v="25"/>
  </r>
  <r>
    <x v="2"/>
    <d v="2021-06-01T06:21:28"/>
    <s v="false"/>
    <s v="Blumenau - 10k - 90 a 95%"/>
    <n v="10.02"/>
    <n v="706"/>
    <d v="1899-12-30T01:01:55"/>
    <n v="168"/>
    <n v="190"/>
    <n v="5"/>
    <n v="156"/>
    <n v="170"/>
    <d v="1899-12-30T06:11:00"/>
    <d v="1899-12-30T05:15:00"/>
    <n v="76"/>
    <n v="76"/>
    <n v="1.04"/>
    <n v="0"/>
    <n v="0"/>
    <n v="0"/>
    <n v="0"/>
    <n v="0"/>
    <s v="--"/>
    <s v="--"/>
    <d v="1899-12-30T01:01:55"/>
    <d v="1899-12-30T00:00:00"/>
    <n v="0"/>
    <d v="1899-12-30T00:00:00"/>
    <s v="Não"/>
    <s v="00:06.79"/>
    <n v="11"/>
    <n v="0"/>
    <d v="1899-12-30T01:01:52"/>
    <d v="1899-12-30T01:01:55"/>
    <n v="12"/>
    <n v="42"/>
  </r>
  <r>
    <x v="0"/>
    <d v="2021-05-31T06:44:06"/>
    <s v="false"/>
    <s v="Força"/>
    <n v="0"/>
    <n v="242"/>
    <d v="1899-12-30T00:57:44"/>
    <n v="110"/>
    <n v="157"/>
    <n v="1.6"/>
    <s v="--"/>
    <s v="--"/>
    <s v="--"/>
    <s v="--"/>
    <s v="--"/>
    <s v="--"/>
    <n v="0"/>
    <n v="0"/>
    <n v="0"/>
    <n v="0"/>
    <n v="0"/>
    <n v="0"/>
    <n v="368"/>
    <n v="31"/>
    <d v="1900-01-01T09:44:00"/>
    <d v="1899-12-30T00:00:00"/>
    <n v="0"/>
    <d v="1899-12-30T00:00:00"/>
    <s v="Não"/>
    <s v="57:43.69"/>
    <n v="1"/>
    <n v="0"/>
    <d v="1899-12-30T00:27:05"/>
    <d v="1899-12-30T00:57:54"/>
    <s v="--"/>
    <s v="--"/>
  </r>
  <r>
    <x v="2"/>
    <d v="2021-05-30T08:30:06"/>
    <s v="false"/>
    <s v="Blumenau Corrida"/>
    <n v="16.010000000000002"/>
    <n v="1056"/>
    <d v="1899-12-30T01:42:50"/>
    <n v="163"/>
    <n v="185"/>
    <n v="5"/>
    <n v="154"/>
    <n v="168"/>
    <d v="1899-12-30T06:25:00"/>
    <d v="1899-12-30T05:22:00"/>
    <n v="273"/>
    <n v="282"/>
    <n v="1.01"/>
    <n v="0"/>
    <n v="0"/>
    <n v="0"/>
    <n v="0"/>
    <n v="0"/>
    <s v="--"/>
    <s v="--"/>
    <d v="1899-12-30T01:42:50"/>
    <d v="1899-12-30T00:00:00"/>
    <n v="0"/>
    <d v="1899-12-30T00:00:00"/>
    <s v="Não"/>
    <s v="00:02.42"/>
    <n v="17"/>
    <n v="0"/>
    <d v="1899-12-30T01:42:46"/>
    <d v="1899-12-30T01:42:50"/>
    <n v="17"/>
    <n v="114"/>
  </r>
  <r>
    <x v="0"/>
    <d v="2021-05-28T06:46:37"/>
    <s v="false"/>
    <s v="Força"/>
    <n v="0"/>
    <n v="251"/>
    <d v="1899-12-30T01:00:10"/>
    <n v="113"/>
    <n v="137"/>
    <n v="1.3"/>
    <s v="--"/>
    <s v="--"/>
    <s v="--"/>
    <s v="--"/>
    <s v="--"/>
    <s v="--"/>
    <n v="0"/>
    <n v="0"/>
    <n v="0"/>
    <n v="0"/>
    <n v="0"/>
    <n v="0"/>
    <n v="299"/>
    <n v="45"/>
    <d v="1899-12-30T01:00:10"/>
    <d v="1899-12-30T00:00:00"/>
    <n v="0"/>
    <d v="1899-12-30T00:00:00"/>
    <s v="Não"/>
    <s v="01:00:09.53"/>
    <n v="1"/>
    <n v="0"/>
    <d v="1899-12-30T00:25:43"/>
    <d v="1899-12-30T01:00:10"/>
    <s v="--"/>
    <s v="--"/>
  </r>
  <r>
    <x v="2"/>
    <d v="2021-05-27T06:23:46"/>
    <s v="false"/>
    <s v="Blumenau Corrida"/>
    <n v="10"/>
    <n v="841"/>
    <d v="1899-12-30T01:03:19"/>
    <n v="165"/>
    <n v="183"/>
    <s v="--"/>
    <s v="--"/>
    <s v="--"/>
    <d v="1899-12-30T06:20:00"/>
    <d v="1899-12-30T03:00:00"/>
    <n v="85"/>
    <n v="89"/>
    <n v="0"/>
    <n v="0"/>
    <n v="0"/>
    <n v="0"/>
    <n v="0"/>
    <n v="0"/>
    <s v="--"/>
    <s v="--"/>
    <d v="1899-12-30T01:03:19"/>
    <d v="1899-12-30T00:00:00"/>
    <n v="0"/>
    <d v="1899-12-30T00:00:00"/>
    <s v="Não"/>
    <s v="00:01.41"/>
    <n v="11"/>
    <n v="0"/>
    <d v="1899-12-30T01:02:18"/>
    <d v="1899-12-30T01:03:19"/>
    <n v="14"/>
    <n v="40"/>
  </r>
  <r>
    <x v="2"/>
    <d v="2021-05-25T17:46:46"/>
    <s v="false"/>
    <s v="Blumenau Corrida"/>
    <n v="9.2100000000000009"/>
    <n v="742"/>
    <d v="1899-12-30T00:59:57"/>
    <n v="159"/>
    <n v="182"/>
    <s v="--"/>
    <s v="--"/>
    <s v="--"/>
    <d v="1899-12-30T06:31:00"/>
    <d v="1899-12-30T00:52:00"/>
    <n v="32"/>
    <n v="32"/>
    <n v="0"/>
    <n v="0"/>
    <n v="0"/>
    <n v="0"/>
    <n v="0"/>
    <n v="0"/>
    <s v="--"/>
    <s v="--"/>
    <d v="1900-01-01T11:57:00"/>
    <d v="1899-12-30T00:00:00"/>
    <n v="0"/>
    <d v="1899-12-30T00:00:00"/>
    <s v="Não"/>
    <s v="00:56.73"/>
    <n v="14"/>
    <n v="0"/>
    <d v="1899-12-30T00:59:18"/>
    <d v="1899-12-30T00:59:57"/>
    <n v="10"/>
    <n v="25"/>
  </r>
  <r>
    <x v="2"/>
    <d v="2021-05-20T06:25:31"/>
    <s v="false"/>
    <s v="Blumenau Corrida"/>
    <n v="10.08"/>
    <n v="826"/>
    <d v="1899-12-30T01:00:51"/>
    <n v="167"/>
    <n v="184"/>
    <s v="--"/>
    <s v="--"/>
    <s v="--"/>
    <d v="1899-12-30T06:02:00"/>
    <d v="1899-12-30T04:27:00"/>
    <n v="37"/>
    <n v="50"/>
    <n v="0"/>
    <n v="0"/>
    <n v="0"/>
    <n v="0"/>
    <n v="0"/>
    <n v="0"/>
    <s v="--"/>
    <s v="--"/>
    <d v="1899-12-30T01:00:51"/>
    <d v="1899-12-30T00:00:00"/>
    <n v="0"/>
    <d v="1899-12-30T00:00:00"/>
    <s v="Não"/>
    <s v="02:59.52"/>
    <n v="9"/>
    <n v="0"/>
    <d v="1899-12-30T01:00:49"/>
    <d v="1899-12-30T01:00:51"/>
    <n v="9"/>
    <n v="26"/>
  </r>
  <r>
    <x v="2"/>
    <d v="2021-05-15T07:42:16"/>
    <s v="false"/>
    <s v="Blumenau Corrida"/>
    <n v="11.24"/>
    <n v="953"/>
    <d v="1899-12-30T01:12:08"/>
    <n v="164"/>
    <n v="179"/>
    <s v="--"/>
    <s v="--"/>
    <s v="--"/>
    <d v="1899-12-30T06:25:00"/>
    <d v="1899-12-30T01:45:00"/>
    <n v="125"/>
    <n v="131"/>
    <n v="0"/>
    <n v="0"/>
    <n v="0"/>
    <n v="0"/>
    <n v="0"/>
    <n v="0"/>
    <s v="--"/>
    <s v="--"/>
    <d v="1899-12-30T01:12:08"/>
    <d v="1899-12-30T00:00:00"/>
    <n v="0"/>
    <d v="1899-12-30T00:00:00"/>
    <s v="Não"/>
    <s v="01:30.82"/>
    <n v="12"/>
    <n v="0"/>
    <d v="1899-12-30T01:12:04"/>
    <d v="1899-12-30T01:12:08"/>
    <n v="15"/>
    <n v="59"/>
  </r>
  <r>
    <x v="2"/>
    <d v="2021-05-13T17:33:02"/>
    <s v="false"/>
    <s v="Blumenau Corrida"/>
    <n v="9.01"/>
    <n v="701"/>
    <d v="1899-12-30T00:54:32"/>
    <n v="162"/>
    <n v="187"/>
    <s v="--"/>
    <s v="--"/>
    <s v="--"/>
    <d v="1899-12-30T06:03:00"/>
    <d v="1899-12-30T03:57:00"/>
    <n v="29"/>
    <n v="43"/>
    <n v="0"/>
    <n v="0"/>
    <n v="0"/>
    <n v="0"/>
    <n v="0"/>
    <n v="0"/>
    <s v="--"/>
    <s v="--"/>
    <d v="1900-01-01T06:32:00"/>
    <d v="1899-12-30T00:00:00"/>
    <n v="0"/>
    <d v="1899-12-30T00:00:00"/>
    <s v="Não"/>
    <s v="00:02.00"/>
    <n v="10"/>
    <n v="0"/>
    <d v="1899-12-30T00:54:31"/>
    <d v="1899-12-30T00:54:32"/>
    <n v="12"/>
    <n v="28"/>
  </r>
  <r>
    <x v="2"/>
    <d v="2021-05-08T07:35:22"/>
    <s v="false"/>
    <s v="Blumenau Corrida"/>
    <n v="16.149999999999999"/>
    <n v="1374"/>
    <d v="1899-12-30T01:40:01"/>
    <n v="168"/>
    <n v="181"/>
    <s v="--"/>
    <s v="--"/>
    <s v="--"/>
    <d v="1899-12-30T06:11:00"/>
    <d v="1899-12-30T01:00:00"/>
    <n v="255"/>
    <n v="270"/>
    <n v="0"/>
    <n v="0"/>
    <n v="0"/>
    <n v="0"/>
    <n v="0"/>
    <n v="0"/>
    <s v="--"/>
    <s v="--"/>
    <d v="1899-12-30T01:40:01"/>
    <d v="1899-12-30T00:00:00"/>
    <n v="0"/>
    <d v="1899-12-30T00:00:00"/>
    <s v="Não"/>
    <s v="00:54.30"/>
    <n v="17"/>
    <n v="0"/>
    <d v="1899-12-30T01:39:55"/>
    <d v="1899-12-30T01:40:01"/>
    <n v="20"/>
    <n v="117"/>
  </r>
  <r>
    <x v="2"/>
    <d v="2021-05-06T06:48:38"/>
    <s v="false"/>
    <s v="Blumenau Corrida"/>
    <n v="7"/>
    <n v="573"/>
    <d v="1899-12-30T00:43:19"/>
    <n v="164"/>
    <n v="176"/>
    <s v="--"/>
    <s v="--"/>
    <s v="--"/>
    <d v="1899-12-30T06:11:00"/>
    <d v="1899-12-30T05:39:00"/>
    <n v="35"/>
    <n v="36"/>
    <n v="0"/>
    <n v="0"/>
    <n v="0"/>
    <n v="0"/>
    <n v="0"/>
    <n v="0"/>
    <s v="--"/>
    <s v="--"/>
    <d v="1899-12-31T19:19:00"/>
    <d v="1899-12-30T00:00:00"/>
    <n v="0"/>
    <d v="1899-12-30T00:00:00"/>
    <s v="Não"/>
    <s v="00:00.63"/>
    <n v="8"/>
    <n v="0"/>
    <d v="1899-12-30T00:43:17"/>
    <d v="1899-12-30T00:43:19"/>
    <n v="12"/>
    <n v="29"/>
  </r>
  <r>
    <x v="2"/>
    <d v="2021-05-04T17:46:36"/>
    <s v="false"/>
    <s v="Blumenau Corrida"/>
    <n v="10"/>
    <n v="863"/>
    <d v="1899-12-30T01:02:00"/>
    <n v="169"/>
    <n v="185"/>
    <s v="--"/>
    <s v="--"/>
    <s v="--"/>
    <d v="1899-12-30T06:12:00"/>
    <d v="1899-12-30T05:16:00"/>
    <n v="64"/>
    <n v="64"/>
    <n v="0"/>
    <n v="0"/>
    <n v="0"/>
    <n v="0"/>
    <n v="0"/>
    <n v="0"/>
    <s v="--"/>
    <s v="--"/>
    <d v="1899-12-30T01:02:00"/>
    <d v="1899-12-30T00:00:00"/>
    <n v="0"/>
    <d v="1899-12-30T00:00:00"/>
    <s v="Não"/>
    <s v="06:00.32"/>
    <n v="10"/>
    <n v="0"/>
    <d v="1899-12-30T01:01:57"/>
    <d v="1899-12-30T01:02:00"/>
    <n v="10"/>
    <n v="34"/>
  </r>
  <r>
    <x v="2"/>
    <d v="2021-04-29T18:01:38"/>
    <s v="false"/>
    <s v="Blumenau Corrida"/>
    <n v="10"/>
    <n v="826"/>
    <d v="1899-12-30T01:02:14"/>
    <n v="165"/>
    <n v="181"/>
    <s v="--"/>
    <s v="--"/>
    <s v="--"/>
    <d v="1899-12-30T06:13:00"/>
    <d v="1899-12-30T05:01:00"/>
    <n v="57"/>
    <n v="51"/>
    <n v="0"/>
    <n v="0"/>
    <n v="0"/>
    <n v="0"/>
    <n v="0"/>
    <n v="0"/>
    <s v="--"/>
    <s v="--"/>
    <d v="1899-12-30T01:02:14"/>
    <d v="1899-12-30T00:00:00"/>
    <n v="0"/>
    <d v="1899-12-30T00:00:00"/>
    <s v="Não"/>
    <s v="02:40.24"/>
    <n v="11"/>
    <n v="0"/>
    <d v="1899-12-30T01:02:12"/>
    <d v="1899-12-30T01:02:14"/>
    <n v="10"/>
    <n v="34"/>
  </r>
  <r>
    <x v="2"/>
    <d v="2021-04-27T06:47:04"/>
    <s v="false"/>
    <s v="Blumenau Corrida"/>
    <n v="8"/>
    <n v="649"/>
    <d v="1899-12-30T00:50:18"/>
    <n v="163"/>
    <n v="181"/>
    <s v="--"/>
    <s v="--"/>
    <s v="--"/>
    <d v="1899-12-30T06:17:00"/>
    <d v="1899-12-30T04:41:00"/>
    <n v="23"/>
    <n v="18"/>
    <n v="0"/>
    <n v="0"/>
    <n v="0"/>
    <n v="0"/>
    <n v="0"/>
    <n v="0"/>
    <s v="--"/>
    <s v="--"/>
    <d v="1900-01-01T02:18:00"/>
    <d v="1899-12-30T00:00:00"/>
    <n v="0"/>
    <d v="1899-12-30T00:00:00"/>
    <s v="Não"/>
    <s v="00:59.48"/>
    <n v="14"/>
    <n v="0"/>
    <d v="1899-12-30T00:44:34"/>
    <d v="1899-12-30T00:50:18"/>
    <n v="12"/>
    <n v="22"/>
  </r>
  <r>
    <x v="2"/>
    <d v="2021-04-24T07:32:10"/>
    <s v="false"/>
    <s v="Blumenau Corrida"/>
    <n v="15.01"/>
    <n v="1358"/>
    <d v="1899-12-30T01:34:50"/>
    <n v="172"/>
    <n v="187"/>
    <s v="--"/>
    <s v="--"/>
    <s v="--"/>
    <d v="1899-12-30T06:19:00"/>
    <d v="1899-12-30T03:28:00"/>
    <n v="205"/>
    <n v="198"/>
    <n v="0"/>
    <n v="0"/>
    <n v="0"/>
    <n v="0"/>
    <n v="0"/>
    <n v="0"/>
    <s v="--"/>
    <s v="--"/>
    <d v="1899-12-30T01:34:50"/>
    <d v="1899-12-30T00:00:00"/>
    <n v="0"/>
    <d v="1899-12-30T00:00:00"/>
    <s v="Não"/>
    <s v="00:02.74"/>
    <n v="16"/>
    <n v="0"/>
    <d v="1899-12-30T01:34:47"/>
    <d v="1899-12-30T01:34:50"/>
    <n v="14"/>
    <n v="60"/>
  </r>
  <r>
    <x v="2"/>
    <d v="2021-04-20T06:35:48"/>
    <s v="false"/>
    <s v="Blumenau Corrida"/>
    <n v="8.01"/>
    <n v="649"/>
    <d v="1899-12-30T00:48:55"/>
    <n v="165"/>
    <n v="229"/>
    <s v="--"/>
    <s v="--"/>
    <s v="--"/>
    <d v="1899-12-30T06:06:00"/>
    <d v="1899-12-30T02:25:00"/>
    <n v="92"/>
    <n v="92"/>
    <n v="0"/>
    <n v="0"/>
    <n v="0"/>
    <n v="0"/>
    <n v="0"/>
    <n v="0"/>
    <s v="--"/>
    <s v="--"/>
    <d v="1900-01-01T00:55:00"/>
    <d v="1899-12-30T00:00:00"/>
    <n v="0"/>
    <d v="1899-12-30T00:00:00"/>
    <s v="Não"/>
    <s v="00:02.84"/>
    <n v="9"/>
    <n v="0"/>
    <d v="1899-12-30T00:48:52"/>
    <d v="1899-12-30T00:48:55"/>
    <n v="10"/>
    <n v="37"/>
  </r>
  <r>
    <x v="2"/>
    <d v="2021-04-17T07:15:56"/>
    <s v="false"/>
    <s v="Blumenau Corrida"/>
    <n v="10.01"/>
    <n v="877"/>
    <d v="1899-12-30T00:58:41"/>
    <n v="176"/>
    <n v="184"/>
    <s v="--"/>
    <s v="--"/>
    <s v="--"/>
    <d v="1899-12-30T05:52:00"/>
    <d v="1899-12-30T04:01:00"/>
    <n v="32"/>
    <n v="39"/>
    <n v="0"/>
    <n v="0"/>
    <n v="0"/>
    <n v="0"/>
    <n v="0"/>
    <n v="0"/>
    <s v="--"/>
    <s v="--"/>
    <d v="1900-01-01T10:41:00"/>
    <d v="1899-12-30T00:00:00"/>
    <n v="0"/>
    <d v="1899-12-30T00:00:00"/>
    <s v="Não"/>
    <s v="00:02.73"/>
    <n v="11"/>
    <n v="0"/>
    <d v="1899-12-30T00:58:39"/>
    <d v="1899-12-30T00:58:41"/>
    <n v="10"/>
    <n v="26"/>
  </r>
  <r>
    <x v="2"/>
    <d v="2021-04-13T19:10:35"/>
    <s v="false"/>
    <s v="Blumenau Corrida"/>
    <n v="5.03"/>
    <n v="414"/>
    <d v="1899-12-30T00:34:56"/>
    <n v="156"/>
    <n v="180"/>
    <s v="--"/>
    <s v="--"/>
    <s v="--"/>
    <d v="1899-12-30T06:56:00"/>
    <d v="1899-12-30T04:00:00"/>
    <n v="103"/>
    <n v="102"/>
    <n v="0"/>
    <n v="0"/>
    <n v="0"/>
    <n v="0"/>
    <n v="0"/>
    <n v="0"/>
    <s v="--"/>
    <s v="--"/>
    <d v="1899-12-31T10:56:00"/>
    <d v="1899-12-30T00:00:00"/>
    <n v="0"/>
    <d v="1899-12-30T00:00:00"/>
    <s v="Não"/>
    <s v="02:19.44"/>
    <n v="8"/>
    <n v="0"/>
    <d v="1899-12-30T00:29:10"/>
    <d v="1899-12-30T00:34:56"/>
    <n v="11"/>
    <n v="25"/>
  </r>
  <r>
    <x v="2"/>
    <d v="2021-04-13T18:17:18"/>
    <s v="false"/>
    <s v="Corrida"/>
    <n v="0.01"/>
    <s v="--"/>
    <d v="1899-12-30T00:00:06"/>
    <n v="66"/>
    <n v="70"/>
    <n v="1"/>
    <n v="60"/>
    <n v="120"/>
    <d v="1899-12-30T13:13:00"/>
    <d v="1899-12-30T07:28:00"/>
    <s v="--"/>
    <s v="--"/>
    <n v="1.26"/>
    <n v="0"/>
    <n v="0"/>
    <n v="0"/>
    <n v="0"/>
    <n v="0"/>
    <s v="--"/>
    <s v="--"/>
    <d v="1899-12-30T00:00:06"/>
    <d v="1899-12-30T00:00:00"/>
    <n v="0"/>
    <d v="1899-12-30T00:00:00"/>
    <s v="Não"/>
    <s v="00:01.16"/>
    <n v="2"/>
    <n v="0"/>
    <d v="1899-12-30T00:00:03"/>
    <d v="1899-12-30T00:00:19"/>
    <s v="--"/>
    <s v="--"/>
  </r>
  <r>
    <x v="2"/>
    <d v="2021-04-10T07:20:00"/>
    <s v="false"/>
    <s v="Blumenau - Run Workout"/>
    <n v="7.01"/>
    <n v="471"/>
    <d v="1899-12-30T00:38:21"/>
    <n v="179"/>
    <n v="190"/>
    <n v="4.5999999999999996"/>
    <n v="166"/>
    <n v="174"/>
    <d v="1899-12-30T05:28:00"/>
    <d v="1899-12-30T05:12:00"/>
    <n v="3"/>
    <n v="17"/>
    <n v="1.1000000000000001"/>
    <n v="0"/>
    <n v="0"/>
    <n v="0"/>
    <n v="0"/>
    <n v="0"/>
    <s v="--"/>
    <s v="--"/>
    <d v="1899-12-31T14:21:00"/>
    <d v="1899-12-30T00:00:00"/>
    <n v="0"/>
    <d v="1899-12-30T00:00:00"/>
    <s v="Não"/>
    <s v="00:04.80"/>
    <n v="2"/>
    <n v="0"/>
    <d v="1899-12-30T00:38:21"/>
    <d v="1899-12-30T00:38:21"/>
    <n v="12"/>
    <n v="28"/>
  </r>
  <r>
    <x v="2"/>
    <d v="2021-04-08T17:39:09"/>
    <s v="false"/>
    <s v="Corrida"/>
    <n v="10.029999999999999"/>
    <n v="663"/>
    <d v="1899-12-30T00:57:27"/>
    <n v="174"/>
    <n v="188"/>
    <n v="5"/>
    <n v="160"/>
    <n v="168"/>
    <d v="1899-12-30T05:44:00"/>
    <d v="1899-12-30T04:49:00"/>
    <s v="--"/>
    <s v="--"/>
    <n v="1.0900000000000001"/>
    <n v="0"/>
    <n v="0"/>
    <n v="0"/>
    <n v="0"/>
    <n v="0"/>
    <s v="--"/>
    <s v="--"/>
    <d v="1900-01-01T09:27:00"/>
    <d v="1899-12-30T00:00:00"/>
    <n v="0"/>
    <d v="1899-12-30T00:00:00"/>
    <s v="Não"/>
    <s v="00:08.53"/>
    <n v="11"/>
    <n v="0"/>
    <d v="1899-12-30T00:57:26"/>
    <d v="1899-12-30T00:57:27"/>
    <s v="--"/>
    <s v="--"/>
  </r>
  <r>
    <x v="2"/>
    <d v="2021-04-06T17:51:05"/>
    <s v="false"/>
    <s v="Blumenau - 15 x 400 - intervalo 1 minuto caminhando"/>
    <n v="11.35"/>
    <n v="774"/>
    <d v="1899-12-30T01:10:25"/>
    <n v="168"/>
    <n v="187"/>
    <n v="5"/>
    <n v="154"/>
    <n v="175"/>
    <d v="1899-12-30T06:12:00"/>
    <d v="1899-12-30T02:30:00"/>
    <n v="13"/>
    <n v="20"/>
    <n v="1.03"/>
    <n v="0"/>
    <n v="0"/>
    <n v="0"/>
    <n v="0"/>
    <n v="0"/>
    <s v="--"/>
    <s v="--"/>
    <d v="1899-12-30T01:10:25"/>
    <d v="1899-12-30T00:00:00"/>
    <n v="0"/>
    <d v="1899-12-30T00:00:00"/>
    <s v="Não"/>
    <s v="00:01.31"/>
    <n v="33"/>
    <n v="0"/>
    <d v="1899-12-30T01:10:08"/>
    <d v="1899-12-30T01:10:25"/>
    <n v="9"/>
    <n v="26"/>
  </r>
  <r>
    <x v="2"/>
    <d v="2021-04-02T07:00:18"/>
    <s v="false"/>
    <s v="Blumenau - 4 x 2km com intervalo 3min caminhando"/>
    <n v="11.18"/>
    <n v="687"/>
    <d v="1899-12-30T01:08:33"/>
    <n v="165"/>
    <n v="186"/>
    <n v="4.0999999999999996"/>
    <n v="150"/>
    <n v="171"/>
    <d v="1899-12-30T06:08:00"/>
    <d v="1899-12-30T04:36:00"/>
    <n v="35"/>
    <n v="37"/>
    <n v="1.08"/>
    <n v="0"/>
    <n v="0"/>
    <n v="0"/>
    <n v="0"/>
    <n v="0"/>
    <s v="--"/>
    <s v="--"/>
    <d v="1899-12-30T01:08:33"/>
    <d v="1899-12-30T00:00:00"/>
    <n v="0"/>
    <d v="1899-12-30T00:00:00"/>
    <s v="Não"/>
    <s v="03:00.00"/>
    <n v="10"/>
    <n v="0"/>
    <d v="1899-12-30T01:08:32"/>
    <d v="1899-12-30T01:08:51"/>
    <n v="9"/>
    <n v="25"/>
  </r>
  <r>
    <x v="2"/>
    <d v="2021-03-30T17:41:01"/>
    <s v="false"/>
    <s v="Blumenau - 12 x 300m moderado/forte com 100m leve"/>
    <n v="8.3000000000000007"/>
    <n v="484"/>
    <d v="1899-12-30T00:57:04"/>
    <n v="157"/>
    <n v="229"/>
    <s v="--"/>
    <n v="142"/>
    <n v="177"/>
    <d v="1899-12-30T06:52:00"/>
    <d v="1899-12-30T03:47:00"/>
    <n v="35"/>
    <n v="37"/>
    <n v="1"/>
    <n v="0"/>
    <n v="0"/>
    <n v="0"/>
    <n v="0"/>
    <n v="0"/>
    <s v="--"/>
    <s v="--"/>
    <d v="1900-01-01T09:04:00"/>
    <d v="1899-12-30T00:00:00"/>
    <n v="0"/>
    <d v="1899-12-30T00:00:00"/>
    <s v="Não"/>
    <s v="00:45.62"/>
    <n v="27"/>
    <n v="0"/>
    <d v="1899-12-30T00:56:45"/>
    <d v="1899-12-30T00:57:04"/>
    <n v="9"/>
    <n v="26"/>
  </r>
  <r>
    <x v="2"/>
    <d v="2021-03-27T07:13:10"/>
    <s v="false"/>
    <s v="Blumenau Corrida"/>
    <n v="12.34"/>
    <n v="904"/>
    <d v="1899-12-30T01:20:02"/>
    <n v="173"/>
    <n v="188"/>
    <n v="5"/>
    <n v="152"/>
    <n v="169"/>
    <d v="1899-12-30T06:29:00"/>
    <d v="1899-12-30T05:23:00"/>
    <n v="156"/>
    <n v="165"/>
    <n v="1.01"/>
    <n v="0"/>
    <n v="0"/>
    <n v="0"/>
    <n v="0"/>
    <n v="0"/>
    <s v="--"/>
    <s v="--"/>
    <d v="1899-12-30T01:20:02"/>
    <d v="1899-12-30T00:00:00"/>
    <n v="0"/>
    <d v="1899-12-30T00:00:00"/>
    <s v="Não"/>
    <s v="02:03.27"/>
    <n v="13"/>
    <n v="0"/>
    <d v="1899-12-30T01:20:00"/>
    <d v="1899-12-30T01:20:02"/>
    <n v="16"/>
    <n v="109"/>
  </r>
  <r>
    <x v="2"/>
    <d v="2021-03-23T17:41:33"/>
    <s v="false"/>
    <s v="Blumenau - Progressivo - leve p/ forte"/>
    <n v="6.01"/>
    <n v="396"/>
    <d v="1899-12-30T00:37:11"/>
    <n v="164"/>
    <n v="187"/>
    <n v="3.8"/>
    <n v="159"/>
    <n v="171"/>
    <d v="1899-12-30T06:11:00"/>
    <d v="1899-12-30T04:51:00"/>
    <s v="--"/>
    <n v="13"/>
    <n v="1.01"/>
    <n v="0"/>
    <n v="0"/>
    <n v="0"/>
    <n v="0"/>
    <n v="0"/>
    <s v="--"/>
    <s v="--"/>
    <d v="1899-12-31T13:11:00"/>
    <d v="1899-12-30T00:00:00"/>
    <n v="0"/>
    <d v="1899-12-30T00:00:00"/>
    <s v="Não"/>
    <s v="00:03.92"/>
    <n v="4"/>
    <n v="0"/>
    <d v="1899-12-30T00:37:11"/>
    <d v="1899-12-30T00:37:11"/>
    <n v="9"/>
    <n v="25"/>
  </r>
  <r>
    <x v="2"/>
    <d v="2021-03-21T08:03:17"/>
    <s v="false"/>
    <s v="Blumenau Corrida"/>
    <n v="9.42"/>
    <n v="693"/>
    <d v="1899-12-30T01:00:01"/>
    <n v="175"/>
    <n v="188"/>
    <n v="5"/>
    <n v="156"/>
    <n v="172"/>
    <d v="1899-12-30T06:22:00"/>
    <d v="1899-12-30T04:27:00"/>
    <n v="29"/>
    <n v="34"/>
    <n v="1.01"/>
    <n v="0"/>
    <n v="0"/>
    <n v="0"/>
    <n v="0"/>
    <n v="0"/>
    <s v="--"/>
    <s v="--"/>
    <d v="1899-12-30T01:00:01"/>
    <d v="1899-12-30T00:00:00"/>
    <n v="0"/>
    <d v="1899-12-30T00:00:00"/>
    <s v="Não"/>
    <s v="03:26.45"/>
    <n v="10"/>
    <n v="0"/>
    <d v="1899-12-30T00:59:59"/>
    <d v="1899-12-30T01:00:01"/>
    <n v="9"/>
    <n v="26"/>
  </r>
  <r>
    <x v="2"/>
    <d v="2021-03-18T06:15:35"/>
    <s v="false"/>
    <s v="Blumenau - 6 x 2:30 - 2:30 com 2km aquec e 2km desaquec"/>
    <n v="9.41"/>
    <n v="673"/>
    <d v="1899-12-30T01:02:37"/>
    <n v="168"/>
    <n v="192"/>
    <n v="4.5"/>
    <n v="151"/>
    <n v="171"/>
    <d v="1899-12-30T06:39:00"/>
    <d v="1899-12-30T04:13:00"/>
    <n v="12"/>
    <n v="14"/>
    <n v="0.99"/>
    <n v="0"/>
    <n v="0"/>
    <n v="0"/>
    <n v="0"/>
    <n v="0"/>
    <s v="--"/>
    <s v="--"/>
    <d v="1899-12-30T01:02:37"/>
    <d v="1899-12-30T00:00:00"/>
    <n v="0"/>
    <d v="1899-12-30T00:00:00"/>
    <s v="Não"/>
    <s v="02:30.00"/>
    <n v="15"/>
    <n v="0"/>
    <d v="1899-12-30T01:02:19"/>
    <d v="1899-12-30T01:02:37"/>
    <n v="12"/>
    <n v="30"/>
  </r>
  <r>
    <x v="2"/>
    <d v="2021-03-16T06:06:17"/>
    <s v="false"/>
    <s v="Blumenau Corrida"/>
    <n v="10.02"/>
    <n v="723"/>
    <d v="1899-12-30T01:07:48"/>
    <n v="164"/>
    <n v="185"/>
    <n v="4.2"/>
    <n v="148"/>
    <n v="166"/>
    <d v="1899-12-30T06:46:00"/>
    <d v="1899-12-30T05:35:00"/>
    <n v="115"/>
    <n v="121"/>
    <n v="1"/>
    <n v="0"/>
    <n v="0"/>
    <n v="0"/>
    <n v="0"/>
    <n v="0"/>
    <s v="--"/>
    <s v="--"/>
    <d v="1899-12-30T01:07:48"/>
    <d v="1899-12-30T00:00:00"/>
    <n v="0"/>
    <d v="1899-12-30T00:00:00"/>
    <s v="Não"/>
    <s v="00:04.70"/>
    <n v="11"/>
    <n v="0"/>
    <d v="1899-12-30T01:07:46"/>
    <d v="1899-12-30T01:07:48"/>
    <n v="17"/>
    <n v="51"/>
  </r>
  <r>
    <x v="2"/>
    <d v="2021-03-07T07:54:09"/>
    <s v="false"/>
    <s v="Blumenau Corrida"/>
    <n v="15.39"/>
    <n v="1115"/>
    <d v="1899-12-30T01:41:24"/>
    <n v="168"/>
    <n v="184"/>
    <n v="4.5999999999999996"/>
    <n v="146"/>
    <n v="170"/>
    <d v="1899-12-30T06:35:00"/>
    <d v="1899-12-30T05:19:00"/>
    <n v="289"/>
    <n v="268"/>
    <n v="1.03"/>
    <n v="0"/>
    <n v="0"/>
    <n v="0"/>
    <n v="0"/>
    <n v="0"/>
    <s v="--"/>
    <s v="--"/>
    <d v="1899-12-30T01:41:24"/>
    <d v="1899-12-30T00:00:00"/>
    <n v="0"/>
    <d v="1899-12-30T00:00:00"/>
    <s v="Não"/>
    <s v="02:10.21"/>
    <n v="16"/>
    <n v="0"/>
    <d v="1899-12-30T01:41:14"/>
    <d v="1899-12-30T01:41:24"/>
    <n v="17"/>
    <n v="126"/>
  </r>
  <r>
    <x v="2"/>
    <d v="2021-03-04T06:30:41"/>
    <s v="false"/>
    <s v="Blumenau Corrida"/>
    <n v="8.01"/>
    <n v="547"/>
    <d v="1899-12-30T00:49:14"/>
    <n v="166"/>
    <n v="181"/>
    <n v="4.0999999999999996"/>
    <n v="161"/>
    <n v="168"/>
    <d v="1899-12-30T06:09:00"/>
    <d v="1899-12-30T05:21:00"/>
    <n v="96"/>
    <n v="98"/>
    <n v="1.01"/>
    <n v="0"/>
    <n v="0"/>
    <n v="0"/>
    <n v="0"/>
    <n v="0"/>
    <s v="--"/>
    <s v="--"/>
    <d v="1900-01-01T01:14:00"/>
    <d v="1899-12-30T00:00:00"/>
    <n v="0"/>
    <d v="1899-12-30T00:00:00"/>
    <s v="Não"/>
    <s v="00:02.66"/>
    <n v="9"/>
    <n v="0"/>
    <d v="1899-12-30T00:49:12"/>
    <d v="1899-12-30T00:49:14"/>
    <n v="17"/>
    <n v="52"/>
  </r>
  <r>
    <x v="2"/>
    <d v="2021-03-02T06:30:54"/>
    <s v="false"/>
    <s v="Blumenau - 10 X 1'30 subida&quot;"/>
    <n v="7.77"/>
    <n v="528"/>
    <d v="1899-12-30T01:12:42"/>
    <n v="145"/>
    <n v="182"/>
    <n v="3.2"/>
    <n v="135"/>
    <n v="177"/>
    <d v="1899-12-30T09:22:00"/>
    <d v="1899-12-30T02:31:00"/>
    <n v="256"/>
    <n v="265"/>
    <n v="0.79"/>
    <n v="0"/>
    <n v="0"/>
    <n v="0"/>
    <n v="0"/>
    <n v="0"/>
    <s v="--"/>
    <s v="--"/>
    <d v="1899-12-30T01:12:42"/>
    <d v="1899-12-30T00:00:00"/>
    <n v="0"/>
    <d v="1899-12-30T00:00:00"/>
    <s v="Não"/>
    <s v="00:04.61"/>
    <n v="23"/>
    <n v="0"/>
    <d v="1899-12-30T01:11:02"/>
    <d v="1899-12-30T01:12:42"/>
    <n v="10"/>
    <n v="42"/>
  </r>
  <r>
    <x v="2"/>
    <d v="2021-02-25T06:33:07"/>
    <s v="false"/>
    <s v="Blumenau - 2 x 5km com intervalo 5min caminhando"/>
    <n v="11.15"/>
    <n v="704"/>
    <d v="1899-12-30T01:09:08"/>
    <n v="167"/>
    <n v="188"/>
    <n v="4.5"/>
    <n v="155"/>
    <n v="173"/>
    <d v="1899-12-30T06:12:00"/>
    <d v="1899-12-30T02:30:00"/>
    <n v="25"/>
    <n v="32"/>
    <n v="1.03"/>
    <n v="0"/>
    <n v="0"/>
    <n v="0"/>
    <n v="0"/>
    <n v="0"/>
    <s v="--"/>
    <s v="--"/>
    <d v="1899-12-30T01:09:08"/>
    <d v="1899-12-30T00:00:00"/>
    <n v="0"/>
    <d v="1899-12-30T00:00:00"/>
    <s v="Não"/>
    <s v="03:18.82"/>
    <n v="5"/>
    <n v="0"/>
    <d v="1899-12-30T01:09:02"/>
    <d v="1899-12-30T01:09:08"/>
    <n v="10"/>
    <n v="26"/>
  </r>
  <r>
    <x v="2"/>
    <d v="2021-02-23T06:26:33"/>
    <s v="false"/>
    <s v="Blumenau - 3 x 2km com intervalo 3min caminhando"/>
    <n v="9.27"/>
    <n v="548"/>
    <d v="1899-12-30T01:01:33"/>
    <n v="163"/>
    <n v="188"/>
    <n v="4.3"/>
    <n v="144"/>
    <n v="171"/>
    <d v="1899-12-30T06:38:00"/>
    <d v="1899-12-30T04:44:00"/>
    <n v="10"/>
    <n v="14"/>
    <n v="1.02"/>
    <n v="0"/>
    <n v="0"/>
    <n v="0"/>
    <n v="0"/>
    <n v="0"/>
    <s v="--"/>
    <s v="--"/>
    <d v="1899-12-30T01:01:33"/>
    <d v="1899-12-30T00:00:00"/>
    <n v="0"/>
    <d v="1899-12-30T00:00:00"/>
    <s v="Não"/>
    <s v="03:00.00"/>
    <n v="8"/>
    <n v="0"/>
    <d v="1899-12-30T01:01:32"/>
    <d v="1899-12-30T01:01:33"/>
    <n v="12"/>
    <n v="29"/>
  </r>
  <r>
    <x v="2"/>
    <d v="2021-02-21T06:36:56"/>
    <s v="false"/>
    <s v="Ilhota Corrida"/>
    <n v="9.32"/>
    <n v="349"/>
    <d v="1899-12-30T03:42:39"/>
    <s v="--"/>
    <s v="--"/>
    <s v="--"/>
    <n v="54"/>
    <n v="244"/>
    <d v="1899-12-30T23:53:00"/>
    <d v="1899-12-30T02:46:00"/>
    <n v="658"/>
    <n v="666"/>
    <n v="0.82"/>
    <n v="0"/>
    <n v="0"/>
    <n v="0"/>
    <n v="0"/>
    <n v="0"/>
    <s v="--"/>
    <s v="--"/>
    <d v="1899-12-30T03:42:39"/>
    <d v="1899-12-30T00:00:00"/>
    <n v="0"/>
    <d v="1899-12-30T00:00:00"/>
    <s v="Não"/>
    <s v="05:16.08"/>
    <n v="10"/>
    <n v="0"/>
    <d v="1899-12-30T01:55:57"/>
    <d v="1899-12-30T03:42:39"/>
    <n v="218"/>
    <n v="805"/>
  </r>
  <r>
    <x v="2"/>
    <d v="2021-02-20T07:14:03"/>
    <s v="false"/>
    <s v="Blumenau Corrida"/>
    <n v="14.01"/>
    <n v="1011"/>
    <d v="1899-12-30T01:33:35"/>
    <n v="169"/>
    <n v="186"/>
    <n v="5"/>
    <n v="147"/>
    <n v="180"/>
    <d v="1899-12-30T06:41:00"/>
    <d v="1899-12-30T04:44:00"/>
    <n v="224"/>
    <n v="233"/>
    <n v="1.02"/>
    <n v="0"/>
    <n v="0"/>
    <n v="0"/>
    <n v="0"/>
    <n v="0"/>
    <s v="--"/>
    <s v="--"/>
    <d v="1899-12-30T01:33:35"/>
    <d v="1899-12-30T00:00:00"/>
    <n v="0"/>
    <d v="1899-12-30T00:00:00"/>
    <s v="Não"/>
    <s v="00:05.93"/>
    <n v="15"/>
    <n v="0"/>
    <d v="1899-12-30T01:33:33"/>
    <d v="1899-12-30T01:33:35"/>
    <n v="16"/>
    <n v="111"/>
  </r>
  <r>
    <x v="2"/>
    <d v="2021-02-18T06:37:03"/>
    <s v="false"/>
    <s v="Blumenau - Run Workout"/>
    <n v="10.01"/>
    <n v="683"/>
    <d v="1899-12-30T01:00:54"/>
    <n v="172"/>
    <n v="186"/>
    <n v="5"/>
    <n v="155"/>
    <n v="171"/>
    <d v="1899-12-30T06:05:00"/>
    <d v="1899-12-30T02:01:00"/>
    <n v="158"/>
    <n v="161"/>
    <n v="1.06"/>
    <n v="0"/>
    <n v="0"/>
    <n v="0"/>
    <n v="0"/>
    <n v="0"/>
    <s v="--"/>
    <s v="--"/>
    <d v="1899-12-30T01:00:54"/>
    <d v="1899-12-30T00:00:00"/>
    <n v="0"/>
    <d v="1899-12-30T00:00:00"/>
    <s v="Não"/>
    <s v="00:03.16"/>
    <n v="2"/>
    <n v="0"/>
    <d v="1899-12-30T01:00:35"/>
    <d v="1899-12-30T01:00:54"/>
    <n v="-35"/>
    <n v="56"/>
  </r>
  <r>
    <x v="2"/>
    <d v="2021-02-16T18:01:02"/>
    <s v="false"/>
    <s v="Blumenau - 4 x 1km com intervalo 3min caminhando"/>
    <n v="9.44"/>
    <n v="593"/>
    <d v="1899-12-30T01:09:36"/>
    <n v="157"/>
    <n v="187"/>
    <n v="3.8"/>
    <n v="137"/>
    <n v="168"/>
    <d v="1899-12-30T07:22:00"/>
    <d v="1899-12-30T04:27:00"/>
    <n v="22"/>
    <n v="24"/>
    <n v="0.97"/>
    <n v="0"/>
    <n v="0"/>
    <n v="0"/>
    <n v="0"/>
    <n v="0"/>
    <s v="--"/>
    <s v="--"/>
    <d v="1899-12-30T01:09:36"/>
    <d v="1899-12-30T00:00:00"/>
    <n v="0"/>
    <d v="1899-12-30T00:00:00"/>
    <s v="Não"/>
    <s v="03:00.00"/>
    <n v="11"/>
    <n v="0"/>
    <d v="1899-12-30T01:07:23"/>
    <d v="1899-12-30T01:09:36"/>
    <n v="9"/>
    <n v="26"/>
  </r>
  <r>
    <x v="2"/>
    <d v="2021-02-14T08:18:42"/>
    <s v="false"/>
    <s v="Blumenau Corrida"/>
    <n v="12.52"/>
    <n v="960"/>
    <d v="1899-12-30T01:27:17"/>
    <n v="174"/>
    <n v="188"/>
    <n v="5"/>
    <n v="143"/>
    <n v="170"/>
    <d v="1899-12-30T06:58:00"/>
    <d v="1899-12-30T05:25:00"/>
    <n v="259"/>
    <n v="240"/>
    <n v="1"/>
    <n v="0"/>
    <n v="0"/>
    <n v="0"/>
    <n v="0"/>
    <n v="0"/>
    <s v="--"/>
    <s v="--"/>
    <d v="1899-12-30T01:27:17"/>
    <d v="1899-12-30T00:00:00"/>
    <n v="0"/>
    <d v="1899-12-30T00:00:00"/>
    <s v="Não"/>
    <s v="03:00.45"/>
    <n v="13"/>
    <n v="0"/>
    <d v="1899-12-30T01:24:57"/>
    <d v="1899-12-30T01:27:17"/>
    <n v="18"/>
    <n v="127"/>
  </r>
  <r>
    <x v="2"/>
    <d v="2021-02-11T06:38:53"/>
    <s v="false"/>
    <s v="Blumenau - Run Workout"/>
    <n v="8.6300000000000008"/>
    <n v="583"/>
    <d v="1899-12-30T00:54:28"/>
    <n v="172"/>
    <n v="188"/>
    <n v="4.7"/>
    <n v="154"/>
    <n v="172"/>
    <d v="1899-12-30T06:19:00"/>
    <d v="1899-12-30T03:53:00"/>
    <n v="67"/>
    <n v="74"/>
    <n v="1.02"/>
    <n v="0"/>
    <n v="0"/>
    <n v="0"/>
    <n v="0"/>
    <n v="0"/>
    <s v="--"/>
    <s v="--"/>
    <d v="1900-01-01T06:28:00"/>
    <d v="1899-12-30T00:00:00"/>
    <n v="0"/>
    <d v="1899-12-30T00:00:00"/>
    <s v="Não"/>
    <s v="06:57.48"/>
    <n v="2"/>
    <n v="0"/>
    <d v="1899-12-30T00:54:20"/>
    <d v="1899-12-30T00:54:28"/>
    <n v="9"/>
    <n v="49"/>
  </r>
  <r>
    <x v="2"/>
    <d v="2021-02-09T06:29:20"/>
    <s v="false"/>
    <s v="Blumenau - 10 x 400 - intervalo 1 minuto"/>
    <n v="8.3000000000000007"/>
    <n v="562"/>
    <d v="1899-12-30T00:56:10"/>
    <n v="163"/>
    <n v="183"/>
    <n v="4.0999999999999996"/>
    <n v="139"/>
    <n v="173"/>
    <d v="1899-12-30T06:46:00"/>
    <d v="1899-12-30T03:16:00"/>
    <n v="10"/>
    <n v="20"/>
    <n v="1.07"/>
    <n v="0"/>
    <n v="0"/>
    <n v="0"/>
    <n v="0"/>
    <n v="0"/>
    <s v="--"/>
    <s v="--"/>
    <d v="1900-01-01T08:10:00"/>
    <d v="1899-12-30T00:00:00"/>
    <n v="0"/>
    <d v="1899-12-30T00:00:00"/>
    <s v="Não"/>
    <s v="00:02.67"/>
    <n v="23"/>
    <n v="0"/>
    <d v="1899-12-30T00:47:22"/>
    <d v="1899-12-30T00:56:10"/>
    <n v="9"/>
    <n v="26"/>
  </r>
  <r>
    <x v="2"/>
    <d v="2021-02-06T07:20:28"/>
    <s v="false"/>
    <s v="Blumenau - Run Workout"/>
    <n v="10.01"/>
    <n v="697"/>
    <d v="1899-12-30T01:06:23"/>
    <n v="168"/>
    <n v="181"/>
    <n v="4.5"/>
    <n v="146"/>
    <n v="171"/>
    <d v="1899-12-30T06:38:00"/>
    <d v="1899-12-30T03:11:00"/>
    <n v="126"/>
    <n v="126"/>
    <n v="1.04"/>
    <n v="0"/>
    <n v="0"/>
    <n v="0"/>
    <n v="0"/>
    <n v="0"/>
    <s v="--"/>
    <s v="--"/>
    <d v="1899-12-30T01:06:23"/>
    <d v="1899-12-30T00:00:00"/>
    <n v="0"/>
    <d v="1899-12-30T00:00:00"/>
    <s v="Não"/>
    <s v="20:26.31"/>
    <n v="2"/>
    <n v="0"/>
    <d v="1899-12-30T01:06:23"/>
    <d v="1899-12-30T01:06:23"/>
    <n v="17"/>
    <n v="50"/>
  </r>
  <r>
    <x v="2"/>
    <d v="2021-02-02T06:34:54"/>
    <s v="false"/>
    <s v="Blumenau - Run Workout"/>
    <n v="7"/>
    <n v="445"/>
    <d v="1899-12-30T00:44:30"/>
    <n v="163"/>
    <n v="180"/>
    <n v="3.9"/>
    <n v="155"/>
    <n v="170"/>
    <d v="1899-12-30T06:21:00"/>
    <d v="1899-12-30T01:43:00"/>
    <n v="53"/>
    <n v="64"/>
    <n v="1.02"/>
    <n v="0"/>
    <n v="0"/>
    <n v="0"/>
    <n v="0"/>
    <n v="0"/>
    <s v="--"/>
    <s v="--"/>
    <d v="1899-12-31T20:30:00"/>
    <d v="1899-12-30T00:00:00"/>
    <n v="0"/>
    <d v="1899-12-30T00:00:00"/>
    <s v="Não"/>
    <s v="00:03.29"/>
    <n v="2"/>
    <n v="0"/>
    <d v="1899-12-30T00:44:30"/>
    <d v="1899-12-30T00:44:30"/>
    <n v="9"/>
    <n v="49"/>
  </r>
  <r>
    <x v="2"/>
    <d v="2021-01-30T07:09:55"/>
    <s v="false"/>
    <s v="Gaspar Corrida"/>
    <n v="16.73"/>
    <n v="1528"/>
    <d v="1899-12-30T02:43:39"/>
    <n v="168"/>
    <n v="201"/>
    <n v="5"/>
    <n v="102"/>
    <n v="173"/>
    <d v="1899-12-30T09:47:00"/>
    <d v="1899-12-30T04:41:00"/>
    <n v="870"/>
    <n v="691"/>
    <n v="0.97"/>
    <n v="0"/>
    <n v="0"/>
    <n v="0"/>
    <n v="0"/>
    <n v="0"/>
    <s v="--"/>
    <s v="--"/>
    <d v="1899-12-30T02:43:39"/>
    <d v="1899-12-30T00:00:00"/>
    <n v="0"/>
    <d v="1899-12-30T00:00:00"/>
    <s v="Não"/>
    <s v="04:47.11"/>
    <n v="17"/>
    <n v="0"/>
    <d v="1899-12-30T02:20:35"/>
    <d v="1899-12-30T02:44:34"/>
    <n v="115"/>
    <n v="802"/>
  </r>
  <r>
    <x v="2"/>
    <d v="2021-01-28T06:33:35"/>
    <s v="false"/>
    <s v="Blumenau - Run Workout"/>
    <n v="8.64"/>
    <n v="588"/>
    <d v="1899-12-30T00:59:34"/>
    <n v="168"/>
    <n v="185"/>
    <n v="5"/>
    <n v="149"/>
    <n v="171"/>
    <d v="1899-12-30T06:54:00"/>
    <d v="1899-12-30T03:31:00"/>
    <n v="62"/>
    <n v="69"/>
    <n v="0.97"/>
    <n v="0"/>
    <n v="0"/>
    <n v="0"/>
    <n v="0"/>
    <n v="0"/>
    <s v="--"/>
    <s v="--"/>
    <d v="1900-01-01T11:34:00"/>
    <d v="1899-12-30T00:00:00"/>
    <n v="0"/>
    <d v="1899-12-30T00:00:00"/>
    <s v="Não"/>
    <s v="07:55.08"/>
    <n v="2"/>
    <n v="0"/>
    <d v="1899-12-30T00:58:39"/>
    <d v="1899-12-30T00:59:34"/>
    <n v="9"/>
    <n v="49"/>
  </r>
  <r>
    <x v="2"/>
    <d v="2021-01-26T06:33:32"/>
    <s v="false"/>
    <s v="Blumenau - Teste de 5km"/>
    <n v="8.36"/>
    <n v="523"/>
    <d v="1899-12-30T01:01:25"/>
    <n v="164"/>
    <n v="190"/>
    <n v="5"/>
    <n v="140"/>
    <n v="173"/>
    <d v="1899-12-30T07:21:00"/>
    <d v="1899-12-30T03:53:00"/>
    <n v="18"/>
    <n v="23"/>
    <n v="1.04"/>
    <n v="0"/>
    <n v="0"/>
    <n v="0"/>
    <n v="0"/>
    <n v="0"/>
    <s v="--"/>
    <s v="--"/>
    <d v="1899-12-30T01:01:25"/>
    <d v="1899-12-30T00:00:00"/>
    <n v="0"/>
    <d v="1899-12-30T00:00:00"/>
    <s v="Não"/>
    <s v="00:20.00"/>
    <n v="15"/>
    <n v="0"/>
    <d v="1899-12-30T00:58:30"/>
    <d v="1899-12-30T01:01:25"/>
    <n v="9"/>
    <n v="26"/>
  </r>
  <r>
    <x v="2"/>
    <d v="2021-01-23T07:17:01"/>
    <s v="false"/>
    <s v="Blumenau - Teste de 1km SUBIDA"/>
    <n v="7.89"/>
    <n v="531"/>
    <d v="1899-12-30T01:07:03"/>
    <n v="161"/>
    <n v="191"/>
    <n v="4.8"/>
    <n v="125"/>
    <n v="170"/>
    <d v="1899-12-30T08:30:00"/>
    <d v="1899-12-30T04:23:00"/>
    <n v="129"/>
    <n v="125"/>
    <n v="0.94"/>
    <n v="0"/>
    <n v="0"/>
    <n v="0"/>
    <n v="0"/>
    <n v="0"/>
    <s v="--"/>
    <s v="--"/>
    <d v="1899-12-30T01:07:03"/>
    <d v="1899-12-30T00:00:00"/>
    <n v="0"/>
    <d v="1899-12-30T00:00:00"/>
    <s v="Não"/>
    <s v="00:20.00"/>
    <n v="15"/>
    <n v="0"/>
    <d v="1899-12-30T01:02:59"/>
    <d v="1899-12-30T01:07:03"/>
    <n v="9"/>
    <n v="138"/>
  </r>
  <r>
    <x v="2"/>
    <d v="2021-01-19T06:34:00"/>
    <s v="false"/>
    <s v="Blumenau - Teste de 1km"/>
    <n v="6.52"/>
    <n v="353"/>
    <d v="1899-12-30T00:53:29"/>
    <n v="147"/>
    <n v="192"/>
    <n v="3.9"/>
    <n v="130"/>
    <n v="186"/>
    <d v="1899-12-30T08:12:00"/>
    <d v="1899-12-30T02:42:00"/>
    <n v="14"/>
    <n v="16"/>
    <n v="0.9"/>
    <n v="0"/>
    <n v="0"/>
    <n v="0"/>
    <n v="0"/>
    <n v="0"/>
    <s v="--"/>
    <s v="--"/>
    <d v="1900-01-01T05:29:00"/>
    <d v="1899-12-30T00:00:00"/>
    <n v="0"/>
    <d v="1899-12-30T00:00:00"/>
    <s v="Não"/>
    <s v="00:20.00"/>
    <n v="15"/>
    <n v="0"/>
    <d v="1899-12-30T00:51:02"/>
    <d v="1899-12-30T00:53:29"/>
    <n v="9"/>
    <n v="26"/>
  </r>
  <r>
    <x v="2"/>
    <d v="2021-01-16T07:10:16"/>
    <s v="false"/>
    <s v="Blumenau Corrida"/>
    <n v="5.91"/>
    <n v="383"/>
    <d v="1899-12-30T00:37:58"/>
    <n v="169"/>
    <n v="184"/>
    <n v="4.8"/>
    <n v="150"/>
    <n v="168"/>
    <d v="1899-12-30T06:26:00"/>
    <d v="1899-12-30T04:47:00"/>
    <n v="67"/>
    <n v="57"/>
    <n v="1.04"/>
    <n v="0"/>
    <n v="0"/>
    <n v="0"/>
    <n v="0"/>
    <n v="0"/>
    <s v="--"/>
    <s v="--"/>
    <d v="1899-12-31T13:58:00"/>
    <d v="1899-12-30T00:00:00"/>
    <n v="0"/>
    <d v="1899-12-30T00:00:00"/>
    <s v="Não"/>
    <s v="05:47.76"/>
    <n v="6"/>
    <n v="0"/>
    <d v="1899-12-30T00:37:57"/>
    <d v="1899-12-30T00:37:58"/>
    <n v="22"/>
    <n v="60"/>
  </r>
  <r>
    <x v="2"/>
    <d v="2021-01-14T06:37:16"/>
    <s v="false"/>
    <s v="Blumenau Corrida"/>
    <n v="8.01"/>
    <n v="521"/>
    <d v="1899-12-30T00:51:12"/>
    <n v="172"/>
    <n v="186"/>
    <n v="5"/>
    <n v="149"/>
    <n v="170"/>
    <d v="1899-12-30T06:23:00"/>
    <d v="1899-12-30T05:27:00"/>
    <n v="44"/>
    <n v="55"/>
    <n v="1.05"/>
    <n v="0"/>
    <n v="0"/>
    <n v="0"/>
    <n v="0"/>
    <n v="0"/>
    <s v="--"/>
    <s v="--"/>
    <d v="1900-01-01T03:12:00"/>
    <d v="1899-12-30T00:00:00"/>
    <n v="0"/>
    <d v="1899-12-30T00:00:00"/>
    <s v="Não"/>
    <s v="00:05.40"/>
    <n v="9"/>
    <n v="0"/>
    <d v="1899-12-30T00:50:56"/>
    <d v="1899-12-30T00:51:12"/>
    <n v="9"/>
    <n v="49"/>
  </r>
  <r>
    <x v="2"/>
    <d v="2021-01-12T07:08:13"/>
    <s v="false"/>
    <s v="Blumenau Corrida"/>
    <n v="8.01"/>
    <n v="550"/>
    <d v="1899-12-30T00:51:24"/>
    <n v="177"/>
    <n v="195"/>
    <n v="5"/>
    <n v="147"/>
    <n v="170"/>
    <d v="1899-12-30T06:25:00"/>
    <d v="1899-12-30T05:12:00"/>
    <n v="76"/>
    <n v="83"/>
    <n v="1.06"/>
    <n v="0"/>
    <n v="0"/>
    <n v="0"/>
    <n v="0"/>
    <n v="0"/>
    <s v="--"/>
    <s v="--"/>
    <d v="1900-01-01T03:24:00"/>
    <d v="1899-12-30T00:00:00"/>
    <n v="0"/>
    <d v="1899-12-30T00:00:00"/>
    <s v="Não"/>
    <s v="00:02.05"/>
    <n v="9"/>
    <n v="0"/>
    <d v="1899-12-30T00:51:22"/>
    <d v="1899-12-30T00:51:24"/>
    <n v="17"/>
    <n v="51"/>
  </r>
  <r>
    <x v="2"/>
    <d v="2020-12-31T10:06:13"/>
    <s v="false"/>
    <s v="Corrida"/>
    <n v="8.01"/>
    <n v="601"/>
    <d v="1899-12-30T00:48:30"/>
    <s v="--"/>
    <s v="--"/>
    <s v="--"/>
    <n v="156"/>
    <n v="164"/>
    <d v="1899-12-30T06:03:00"/>
    <d v="1899-12-30T04:59:00"/>
    <s v="--"/>
    <s v="--"/>
    <n v="1.06"/>
    <n v="0"/>
    <n v="0"/>
    <n v="0"/>
    <n v="0"/>
    <n v="0"/>
    <s v="--"/>
    <s v="--"/>
    <d v="1900-01-01T00:30:00"/>
    <d v="1899-12-30T00:00:00"/>
    <n v="0"/>
    <d v="1899-12-30T00:00:00"/>
    <s v="Não"/>
    <s v="00:02.35"/>
    <n v="9"/>
    <n v="0"/>
    <d v="1899-12-30T00:48:28"/>
    <d v="1899-12-30T00:48:30"/>
    <s v="--"/>
    <s v="--"/>
  </r>
  <r>
    <x v="2"/>
    <d v="2020-12-26T06:53:23"/>
    <s v="false"/>
    <s v="Corrida"/>
    <n v="12.01"/>
    <n v="900"/>
    <d v="1899-12-30T01:14:12"/>
    <s v="--"/>
    <s v="--"/>
    <s v="--"/>
    <n v="153"/>
    <n v="164"/>
    <d v="1899-12-30T06:11:00"/>
    <d v="1899-12-30T05:03:00"/>
    <s v="--"/>
    <s v="--"/>
    <n v="1.06"/>
    <n v="0"/>
    <n v="0"/>
    <n v="0"/>
    <n v="0"/>
    <n v="0"/>
    <s v="--"/>
    <s v="--"/>
    <d v="1899-12-30T01:14:12"/>
    <d v="1899-12-30T00:00:00"/>
    <n v="0"/>
    <d v="1899-12-30T00:00:00"/>
    <s v="Não"/>
    <s v="00:04.68"/>
    <n v="13"/>
    <n v="0"/>
    <d v="1899-12-30T01:14:10"/>
    <d v="1899-12-30T01:14:12"/>
    <s v="--"/>
    <s v="--"/>
  </r>
  <r>
    <x v="2"/>
    <d v="2020-12-22T06:37:37"/>
    <s v="false"/>
    <s v="Blumenau - 10 x 400 - intervalo 1 minuto"/>
    <n v="8.4499999999999993"/>
    <n v="585"/>
    <d v="1899-12-30T01:07:14"/>
    <s v="--"/>
    <s v="--"/>
    <s v="--"/>
    <n v="126"/>
    <n v="181"/>
    <d v="1899-12-30T07:57:00"/>
    <d v="1899-12-30T03:41:00"/>
    <n v="13"/>
    <n v="17"/>
    <n v="0.98"/>
    <n v="0"/>
    <n v="0"/>
    <n v="0"/>
    <n v="0"/>
    <n v="0"/>
    <s v="--"/>
    <s v="--"/>
    <d v="1899-12-30T01:07:14"/>
    <d v="1899-12-30T00:00:00"/>
    <n v="0"/>
    <d v="1899-12-30T00:00:00"/>
    <s v="Não"/>
    <s v="01:00.00"/>
    <n v="23"/>
    <n v="0"/>
    <d v="1899-12-30T00:58:50"/>
    <d v="1899-12-30T01:07:14"/>
    <n v="12"/>
    <n v="29"/>
  </r>
  <r>
    <x v="2"/>
    <d v="2020-12-20T20:48:46"/>
    <s v="false"/>
    <s v="Corrida"/>
    <n v="3.01"/>
    <n v="156"/>
    <d v="1899-12-30T00:34:40"/>
    <s v="--"/>
    <s v="--"/>
    <s v="--"/>
    <n v="112"/>
    <n v="130"/>
    <d v="1899-12-30T11:31:00"/>
    <d v="1899-12-30T09:30:00"/>
    <s v="--"/>
    <s v="--"/>
    <n v="0.78"/>
    <n v="0"/>
    <n v="0"/>
    <n v="0"/>
    <n v="0"/>
    <n v="0"/>
    <s v="--"/>
    <s v="--"/>
    <d v="1899-12-31T10:40:00"/>
    <d v="1899-12-30T00:00:00"/>
    <n v="0"/>
    <d v="1899-12-30T00:00:00"/>
    <s v="Não"/>
    <s v="00:07.04"/>
    <n v="4"/>
    <n v="0"/>
    <d v="1899-12-30T00:34:40"/>
    <d v="1899-12-30T00:34:40"/>
    <s v="--"/>
    <s v="--"/>
  </r>
  <r>
    <x v="2"/>
    <d v="2020-12-17T06:37:53"/>
    <s v="false"/>
    <s v="Blumenau - 8 x 500m com intervalo 2min caminhando"/>
    <n v="7.42"/>
    <n v="515"/>
    <d v="1899-12-30T00:52:59"/>
    <s v="--"/>
    <s v="--"/>
    <s v="--"/>
    <n v="138"/>
    <n v="240"/>
    <d v="1899-12-30T07:08:00"/>
    <d v="1899-12-30T03:44:00"/>
    <n v="15"/>
    <n v="17"/>
    <n v="0.98"/>
    <n v="0"/>
    <n v="0"/>
    <n v="0"/>
    <n v="0"/>
    <n v="0"/>
    <s v="--"/>
    <s v="--"/>
    <d v="1900-01-01T04:59:00"/>
    <d v="1899-12-30T00:00:00"/>
    <n v="0"/>
    <d v="1899-12-30T00:00:00"/>
    <s v="Não"/>
    <s v="02:00.00"/>
    <n v="18"/>
    <n v="0"/>
    <d v="1899-12-30T00:52:55"/>
    <d v="1899-12-30T00:52:59"/>
    <n v="12"/>
    <n v="29"/>
  </r>
  <r>
    <x v="2"/>
    <d v="2020-12-15T06:28:31"/>
    <s v="false"/>
    <s v="Corrida"/>
    <n v="8"/>
    <n v="565"/>
    <d v="1899-12-30T00:58:13"/>
    <s v="--"/>
    <s v="--"/>
    <s v="--"/>
    <n v="133"/>
    <n v="164"/>
    <d v="1899-12-30T07:16:00"/>
    <d v="1899-12-30T05:31:00"/>
    <s v="--"/>
    <s v="--"/>
    <n v="1.02"/>
    <n v="0"/>
    <n v="0"/>
    <n v="0"/>
    <n v="0"/>
    <n v="0"/>
    <s v="--"/>
    <s v="--"/>
    <d v="1900-01-01T10:13:00"/>
    <d v="1899-12-30T00:00:00"/>
    <n v="0"/>
    <d v="1899-12-30T00:00:00"/>
    <s v="Não"/>
    <s v="00:05.71"/>
    <n v="9"/>
    <n v="0"/>
    <d v="1899-12-30T00:58:11"/>
    <d v="1899-12-30T00:58:13"/>
    <s v="--"/>
    <s v="--"/>
  </r>
  <r>
    <x v="2"/>
    <d v="2020-12-13T07:22:58"/>
    <s v="false"/>
    <s v="Gaspar Corrida"/>
    <n v="13.44"/>
    <n v="885"/>
    <d v="1899-12-30T01:52:17"/>
    <s v="--"/>
    <s v="--"/>
    <s v="--"/>
    <n v="127"/>
    <n v="246"/>
    <d v="1899-12-30T08:21:00"/>
    <d v="1899-12-30T02:42:00"/>
    <n v="449"/>
    <n v="496"/>
    <n v="0.94"/>
    <n v="0"/>
    <n v="0"/>
    <n v="0"/>
    <n v="0"/>
    <n v="0"/>
    <s v="--"/>
    <s v="--"/>
    <d v="1899-12-30T01:52:17"/>
    <d v="1899-12-30T00:00:00"/>
    <n v="0"/>
    <d v="1899-12-30T00:00:00"/>
    <s v="Não"/>
    <s v="03:07.57"/>
    <n v="14"/>
    <n v="0"/>
    <d v="1899-12-30T01:48:39"/>
    <d v="1899-12-30T01:52:17"/>
    <n v="90"/>
    <n v="374"/>
  </r>
  <r>
    <x v="2"/>
    <d v="2020-12-10T06:43:18"/>
    <s v="false"/>
    <s v="Blumenau Corrida"/>
    <n v="7.34"/>
    <n v="505"/>
    <d v="1899-12-30T00:54:00"/>
    <s v="--"/>
    <s v="--"/>
    <s v="--"/>
    <n v="139"/>
    <n v="175"/>
    <d v="1899-12-30T07:22:00"/>
    <d v="1899-12-30T03:42:00"/>
    <n v="19"/>
    <n v="21"/>
    <n v="0.95"/>
    <n v="0"/>
    <n v="0"/>
    <n v="0"/>
    <n v="0"/>
    <n v="0"/>
    <s v="--"/>
    <s v="--"/>
    <d v="1900-01-01T06:00:00"/>
    <d v="1899-12-30T00:00:00"/>
    <n v="0"/>
    <d v="1899-12-30T00:00:00"/>
    <s v="Não"/>
    <s v="12:23.58"/>
    <n v="3"/>
    <n v="0"/>
    <d v="1899-12-30T00:54:00"/>
    <d v="1899-12-30T00:54:00"/>
    <n v="12"/>
    <n v="28"/>
  </r>
  <r>
    <x v="2"/>
    <d v="2020-12-08T06:34:04"/>
    <s v="false"/>
    <s v="Blumenau Corrida"/>
    <n v="7.38"/>
    <n v="496"/>
    <d v="1899-12-30T00:52:47"/>
    <s v="--"/>
    <s v="--"/>
    <s v="--"/>
    <n v="139"/>
    <n v="173"/>
    <d v="1899-12-30T07:09:00"/>
    <d v="1899-12-30T03:41:00"/>
    <n v="15"/>
    <n v="17"/>
    <n v="0.97"/>
    <n v="0"/>
    <n v="0"/>
    <n v="0"/>
    <n v="0"/>
    <n v="0"/>
    <s v="--"/>
    <s v="--"/>
    <d v="1900-01-01T04:47:00"/>
    <d v="1899-12-30T00:00:00"/>
    <n v="0"/>
    <d v="1899-12-30T00:00:00"/>
    <s v="Não"/>
    <s v="01:00.00"/>
    <n v="8"/>
    <n v="0"/>
    <d v="1899-12-30T00:52:25"/>
    <d v="1899-12-30T00:53:22"/>
    <n v="12"/>
    <n v="29"/>
  </r>
  <r>
    <x v="2"/>
    <d v="2020-12-05T07:09:03"/>
    <s v="false"/>
    <s v="Blumenau Corrida"/>
    <n v="7.54"/>
    <n v="536"/>
    <d v="1899-12-30T00:51:05"/>
    <s v="--"/>
    <s v="--"/>
    <s v="--"/>
    <n v="134"/>
    <n v="246"/>
    <d v="1899-12-30T06:46:00"/>
    <d v="1899-12-30T04:18:00"/>
    <n v="22"/>
    <n v="27"/>
    <n v="1.2"/>
    <n v="0"/>
    <n v="0"/>
    <n v="0"/>
    <n v="0"/>
    <n v="0"/>
    <s v="--"/>
    <s v="--"/>
    <d v="1900-01-01T03:05:00"/>
    <d v="1899-12-30T00:00:00"/>
    <n v="0"/>
    <d v="1899-12-30T00:00:00"/>
    <s v="Não"/>
    <s v="04:00.00"/>
    <n v="8"/>
    <n v="0"/>
    <d v="1899-12-30T00:44:04"/>
    <d v="1899-12-30T00:51:33"/>
    <n v="12"/>
    <n v="30"/>
  </r>
  <r>
    <x v="2"/>
    <d v="2020-12-01T18:34:24"/>
    <s v="false"/>
    <s v="Corrida"/>
    <n v="6.79"/>
    <n v="494"/>
    <d v="1899-12-30T00:40:03"/>
    <s v="--"/>
    <s v="--"/>
    <s v="--"/>
    <n v="155"/>
    <n v="161"/>
    <d v="1899-12-30T05:54:00"/>
    <d v="1899-12-30T05:19:00"/>
    <s v="--"/>
    <s v="--"/>
    <n v="1.0900000000000001"/>
    <n v="0"/>
    <n v="0"/>
    <n v="0"/>
    <n v="0"/>
    <n v="0"/>
    <s v="--"/>
    <s v="--"/>
    <d v="1899-12-31T16:03:00"/>
    <d v="1899-12-30T00:00:00"/>
    <n v="0"/>
    <d v="1899-12-30T00:00:00"/>
    <s v="Não"/>
    <s v="04:33.26"/>
    <n v="7"/>
    <n v="0"/>
    <d v="1899-12-30T00:40:02"/>
    <d v="1899-12-30T00:40:03"/>
    <s v="--"/>
    <s v="--"/>
  </r>
  <r>
    <x v="2"/>
    <d v="2020-11-28T06:10:16"/>
    <s v="false"/>
    <s v="Ilhota Corrida"/>
    <n v="22.01"/>
    <n v="1437"/>
    <d v="1899-12-30T02:50:34"/>
    <s v="--"/>
    <s v="--"/>
    <s v="--"/>
    <n v="124"/>
    <n v="182"/>
    <d v="1899-12-30T07:45:00"/>
    <d v="1899-12-30T04:20:00"/>
    <n v="858"/>
    <n v="861"/>
    <n v="1.04"/>
    <n v="0"/>
    <n v="0"/>
    <n v="0"/>
    <n v="0"/>
    <n v="0"/>
    <s v="--"/>
    <s v="--"/>
    <d v="1899-12-30T02:50:34"/>
    <d v="1899-12-30T00:00:00"/>
    <n v="0"/>
    <d v="1899-12-30T00:00:00"/>
    <s v="Não"/>
    <s v="00:05.52"/>
    <n v="23"/>
    <n v="0"/>
    <d v="1899-12-30T02:49:22"/>
    <d v="1899-12-30T02:50:34"/>
    <n v="209"/>
    <n v="514"/>
  </r>
  <r>
    <x v="2"/>
    <d v="2020-11-26T06:26:45"/>
    <s v="false"/>
    <s v="Blumenau Corrida"/>
    <n v="10.119999999999999"/>
    <n v="728"/>
    <d v="1899-12-30T01:02:06"/>
    <s v="--"/>
    <s v="--"/>
    <s v="--"/>
    <n v="158"/>
    <n v="171"/>
    <d v="1899-12-30T06:08:00"/>
    <d v="1899-12-30T04:59:00"/>
    <n v="45"/>
    <n v="50"/>
    <n v="1.03"/>
    <n v="0"/>
    <n v="0"/>
    <n v="0"/>
    <n v="0"/>
    <n v="0"/>
    <s v="--"/>
    <s v="--"/>
    <d v="1899-12-30T01:02:06"/>
    <d v="1899-12-30T00:00:00"/>
    <n v="0"/>
    <d v="1899-12-30T00:00:00"/>
    <s v="Não"/>
    <s v="01:21.53"/>
    <n v="11"/>
    <n v="0"/>
    <d v="1899-12-30T01:02:04"/>
    <d v="1899-12-30T01:02:06"/>
    <n v="12"/>
    <n v="41"/>
  </r>
  <r>
    <x v="2"/>
    <d v="2020-11-24T06:51:15"/>
    <s v="false"/>
    <s v="Blumenau Corrida"/>
    <n v="10.43"/>
    <n v="700"/>
    <d v="1899-12-30T01:13:12"/>
    <s v="--"/>
    <s v="--"/>
    <s v="--"/>
    <n v="134"/>
    <n v="173"/>
    <d v="1899-12-30T07:01:00"/>
    <d v="1899-12-30T03:59:00"/>
    <n v="32"/>
    <n v="35"/>
    <n v="1.02"/>
    <n v="0"/>
    <n v="0"/>
    <n v="0"/>
    <n v="0"/>
    <n v="0"/>
    <s v="--"/>
    <s v="--"/>
    <d v="1899-12-30T01:13:12"/>
    <d v="1899-12-30T00:00:00"/>
    <n v="0"/>
    <d v="1899-12-30T00:00:00"/>
    <s v="Não"/>
    <s v="01:00.00"/>
    <n v="26"/>
    <n v="0"/>
    <d v="1899-12-30T01:10:21"/>
    <d v="1899-12-30T01:13:12"/>
    <n v="12"/>
    <n v="28"/>
  </r>
  <r>
    <x v="2"/>
    <d v="2020-11-21T07:31:30"/>
    <s v="false"/>
    <s v="Blumenau Corrida"/>
    <n v="10.01"/>
    <n v="694"/>
    <d v="1899-12-30T01:03:31"/>
    <s v="--"/>
    <s v="--"/>
    <s v="--"/>
    <n v="151"/>
    <n v="168"/>
    <d v="1899-12-30T06:21:00"/>
    <d v="1899-12-30T04:08:00"/>
    <n v="143"/>
    <n v="144"/>
    <n v="1.04"/>
    <n v="0"/>
    <n v="0"/>
    <n v="0"/>
    <n v="0"/>
    <n v="0"/>
    <s v="--"/>
    <s v="--"/>
    <d v="1899-12-30T01:03:31"/>
    <d v="1899-12-30T00:00:00"/>
    <n v="0"/>
    <d v="1899-12-30T00:00:00"/>
    <s v="Não"/>
    <s v="00:01.88"/>
    <n v="11"/>
    <n v="0"/>
    <d v="1899-12-30T01:03:27"/>
    <d v="1899-12-30T01:03:31"/>
    <n v="20"/>
    <n v="78"/>
  </r>
  <r>
    <x v="2"/>
    <d v="2020-11-19T06:58:23"/>
    <s v="false"/>
    <s v="Corrida"/>
    <n v="5.01"/>
    <n v="365"/>
    <d v="1899-12-30T00:29:34"/>
    <s v="--"/>
    <s v="--"/>
    <s v="--"/>
    <n v="157"/>
    <n v="167"/>
    <d v="1899-12-30T05:54:00"/>
    <d v="1899-12-30T05:18:00"/>
    <s v="--"/>
    <s v="--"/>
    <n v="1.08"/>
    <n v="0"/>
    <n v="0"/>
    <n v="0"/>
    <n v="0"/>
    <n v="0"/>
    <s v="--"/>
    <s v="--"/>
    <d v="1899-12-31T05:34:00"/>
    <d v="1899-12-30T00:00:00"/>
    <n v="0"/>
    <d v="1899-12-30T00:00:00"/>
    <s v="Não"/>
    <s v="00:02.80"/>
    <n v="6"/>
    <n v="0"/>
    <d v="1899-12-30T00:29:33"/>
    <d v="1899-12-30T00:29:34"/>
    <s v="--"/>
    <s v="--"/>
  </r>
  <r>
    <x v="2"/>
    <d v="2020-11-17T06:39:41"/>
    <s v="false"/>
    <s v="Blumenau - 2 x 5km progressivo"/>
    <n v="9.82"/>
    <n v="713"/>
    <d v="1899-12-30T00:57:25"/>
    <s v="--"/>
    <s v="--"/>
    <s v="--"/>
    <n v="160"/>
    <n v="171"/>
    <d v="1899-12-30T05:51:00"/>
    <d v="1899-12-30T03:50:00"/>
    <n v="42"/>
    <n v="45"/>
    <n v="1.06"/>
    <n v="0"/>
    <n v="0"/>
    <n v="0"/>
    <n v="0"/>
    <n v="0"/>
    <s v="--"/>
    <s v="--"/>
    <d v="1900-01-01T09:25:00"/>
    <d v="1899-12-30T00:00:00"/>
    <n v="0"/>
    <d v="1899-12-30T00:00:00"/>
    <s v="Não"/>
    <s v="00:03.08"/>
    <n v="11"/>
    <n v="0"/>
    <d v="1899-12-30T00:57:23"/>
    <d v="1899-12-30T00:57:37"/>
    <n v="12"/>
    <n v="41"/>
  </r>
  <r>
    <x v="2"/>
    <d v="2020-11-15T07:56:58"/>
    <s v="false"/>
    <s v="Blumenau Corrida"/>
    <n v="12.01"/>
    <n v="843"/>
    <d v="1899-12-30T01:20:55"/>
    <s v="--"/>
    <s v="--"/>
    <s v="--"/>
    <n v="151"/>
    <n v="169"/>
    <d v="1899-12-30T06:44:00"/>
    <d v="1899-12-30T01:30:00"/>
    <n v="178"/>
    <n v="170"/>
    <n v="0.98"/>
    <n v="0"/>
    <n v="0"/>
    <n v="0"/>
    <n v="0"/>
    <n v="0"/>
    <s v="--"/>
    <s v="--"/>
    <d v="1899-12-30T01:20:55"/>
    <d v="1899-12-30T00:00:00"/>
    <n v="0"/>
    <d v="1899-12-30T00:00:00"/>
    <s v="Não"/>
    <s v="00:01.65"/>
    <n v="13"/>
    <n v="0"/>
    <d v="1899-12-30T01:19:30"/>
    <d v="1899-12-30T01:20:55"/>
    <n v="-6"/>
    <n v="78"/>
  </r>
  <r>
    <x v="2"/>
    <d v="2020-11-12T18:45:39"/>
    <s v="false"/>
    <s v="8 x 800m com intervalo 2min caminhando"/>
    <n v="8.84"/>
    <n v="607"/>
    <d v="1899-12-30T00:59:01"/>
    <s v="--"/>
    <s v="--"/>
    <s v="--"/>
    <n v="143"/>
    <n v="168"/>
    <d v="1899-12-30T06:41:00"/>
    <d v="1899-12-30T05:01:00"/>
    <s v="--"/>
    <s v="--"/>
    <n v="1.03"/>
    <n v="0"/>
    <n v="0"/>
    <n v="0"/>
    <n v="0"/>
    <n v="0"/>
    <s v="--"/>
    <s v="--"/>
    <d v="1900-01-01T11:01:00"/>
    <d v="1899-12-30T00:00:00"/>
    <n v="0"/>
    <d v="1899-12-30T00:00:00"/>
    <s v="Não"/>
    <s v="00:06.03"/>
    <n v="18"/>
    <n v="0"/>
    <d v="1899-12-30T00:58:57"/>
    <d v="1899-12-30T00:59:01"/>
    <s v="--"/>
    <s v="--"/>
  </r>
  <r>
    <x v="2"/>
    <d v="2020-11-10T06:36:49"/>
    <s v="false"/>
    <s v="Corrida"/>
    <n v="10.029999999999999"/>
    <n v="732"/>
    <d v="1899-12-30T01:03:26"/>
    <s v="--"/>
    <s v="--"/>
    <s v="--"/>
    <n v="156"/>
    <n v="164"/>
    <d v="1899-12-30T06:19:00"/>
    <d v="1899-12-30T05:38:00"/>
    <s v="--"/>
    <s v="--"/>
    <n v="1.02"/>
    <n v="0"/>
    <n v="0"/>
    <n v="0"/>
    <n v="0"/>
    <n v="0"/>
    <s v="--"/>
    <s v="--"/>
    <d v="1899-12-30T01:03:26"/>
    <d v="1899-12-30T00:00:00"/>
    <n v="0"/>
    <d v="1899-12-30T00:00:00"/>
    <s v="Não"/>
    <s v="00:12.12"/>
    <n v="11"/>
    <n v="0"/>
    <d v="1899-12-30T01:03:24"/>
    <d v="1899-12-30T01:03:26"/>
    <s v="--"/>
    <s v="--"/>
  </r>
  <r>
    <x v="2"/>
    <d v="2020-11-07T07:35:14"/>
    <s v="false"/>
    <s v="Blumenau - 10 x 200m SUBIDA"/>
    <n v="9.66"/>
    <n v="642"/>
    <d v="1899-12-30T01:10:38"/>
    <s v="--"/>
    <s v="--"/>
    <s v="--"/>
    <n v="144"/>
    <n v="175"/>
    <d v="1899-12-30T07:19:00"/>
    <d v="1899-12-30T04:55:00"/>
    <n v="176"/>
    <n v="179"/>
    <n v="0.94"/>
    <n v="0"/>
    <n v="0"/>
    <n v="0"/>
    <n v="0"/>
    <n v="0"/>
    <s v="--"/>
    <s v="--"/>
    <d v="1899-12-30T01:10:38"/>
    <d v="1899-12-30T00:00:00"/>
    <n v="0"/>
    <d v="1899-12-30T00:00:00"/>
    <s v="Não"/>
    <s v="01:06.85"/>
    <n v="22"/>
    <n v="0"/>
    <d v="1899-12-30T01:10:31"/>
    <d v="1899-12-30T01:11:49"/>
    <n v="12"/>
    <n v="40"/>
  </r>
  <r>
    <x v="2"/>
    <d v="2020-11-05T06:39:04"/>
    <s v="false"/>
    <s v="Blumenau Corrida"/>
    <n v="10.01"/>
    <n v="720"/>
    <d v="1899-12-30T00:58:46"/>
    <s v="--"/>
    <s v="--"/>
    <s v="--"/>
    <n v="161"/>
    <n v="171"/>
    <d v="1899-12-30T05:52:00"/>
    <d v="1899-12-30T05:12:00"/>
    <n v="71"/>
    <n v="75"/>
    <n v="1.05"/>
    <n v="0"/>
    <n v="0"/>
    <n v="0"/>
    <n v="0"/>
    <n v="0"/>
    <s v="--"/>
    <s v="--"/>
    <d v="1900-01-01T10:46:00"/>
    <d v="1899-12-30T00:00:00"/>
    <n v="0"/>
    <d v="1899-12-30T00:00:00"/>
    <s v="Não"/>
    <s v="00:02.86"/>
    <n v="11"/>
    <n v="0"/>
    <d v="1899-12-30T00:58:44"/>
    <d v="1899-12-30T00:58:46"/>
    <n v="12"/>
    <n v="56"/>
  </r>
  <r>
    <x v="2"/>
    <d v="2020-10-31T07:40:01"/>
    <s v="false"/>
    <s v="Blumenau Corrida"/>
    <n v="7.01"/>
    <n v="511"/>
    <d v="1899-12-30T00:42:09"/>
    <s v="--"/>
    <s v="--"/>
    <s v="--"/>
    <n v="161"/>
    <n v="170"/>
    <d v="1899-12-30T06:01:00"/>
    <d v="1899-12-30T05:04:00"/>
    <n v="75"/>
    <n v="77"/>
    <n v="1.03"/>
    <n v="0"/>
    <n v="0"/>
    <n v="0"/>
    <n v="0"/>
    <n v="0"/>
    <s v="--"/>
    <s v="--"/>
    <d v="1899-12-31T18:09:00"/>
    <d v="1899-12-30T00:00:00"/>
    <n v="0"/>
    <d v="1899-12-30T00:00:00"/>
    <s v="Não"/>
    <s v="00:03.85"/>
    <n v="8"/>
    <n v="0"/>
    <d v="1899-12-30T00:42:07"/>
    <d v="1899-12-30T00:42:09"/>
    <n v="20"/>
    <n v="63"/>
  </r>
  <r>
    <x v="2"/>
    <d v="2020-10-29T06:43:47"/>
    <s v="false"/>
    <s v="Blumenau Corrida"/>
    <n v="7.01"/>
    <n v="513"/>
    <d v="1899-12-30T00:41:18"/>
    <s v="--"/>
    <s v="--"/>
    <s v="--"/>
    <n v="159"/>
    <n v="170"/>
    <d v="1899-12-30T05:54:00"/>
    <d v="1899-12-30T05:13:00"/>
    <n v="53"/>
    <n v="54"/>
    <n v="1.07"/>
    <n v="0"/>
    <n v="0"/>
    <n v="0"/>
    <n v="0"/>
    <n v="0"/>
    <s v="--"/>
    <s v="--"/>
    <d v="1899-12-31T17:18:00"/>
    <d v="1899-12-30T00:00:00"/>
    <n v="0"/>
    <d v="1899-12-30T00:00:00"/>
    <s v="Não"/>
    <s v="00:02.58"/>
    <n v="8"/>
    <n v="0"/>
    <d v="1899-12-30T00:41:17"/>
    <d v="1899-12-30T00:41:18"/>
    <n v="12"/>
    <n v="56"/>
  </r>
  <r>
    <x v="2"/>
    <d v="2020-10-27T19:11:01"/>
    <s v="false"/>
    <s v="2 x 3km com intervalo 3min caminhando"/>
    <n v="7.56"/>
    <n v="539"/>
    <d v="1899-12-30T00:46:06"/>
    <s v="--"/>
    <s v="--"/>
    <s v="--"/>
    <n v="151"/>
    <n v="170"/>
    <d v="1899-12-30T06:06:00"/>
    <d v="1899-12-30T04:59:00"/>
    <s v="--"/>
    <s v="--"/>
    <n v="1.07"/>
    <n v="0"/>
    <n v="0"/>
    <n v="0"/>
    <n v="0"/>
    <n v="0"/>
    <s v="--"/>
    <s v="--"/>
    <d v="1899-12-31T22:06:00"/>
    <d v="1899-12-30T00:00:00"/>
    <n v="0"/>
    <d v="1899-12-30T00:00:00"/>
    <s v="Não"/>
    <s v="00:50.52"/>
    <n v="6"/>
    <n v="0"/>
    <d v="1899-12-30T00:45:41"/>
    <d v="1899-12-30T00:46:06"/>
    <s v="--"/>
    <s v="--"/>
  </r>
  <r>
    <x v="2"/>
    <d v="2020-10-24T07:58:44"/>
    <s v="false"/>
    <s v="Blumenau Corrida"/>
    <n v="11.58"/>
    <n v="834"/>
    <d v="1899-12-30T01:14:13"/>
    <s v="--"/>
    <s v="--"/>
    <s v="--"/>
    <n v="158"/>
    <n v="173"/>
    <d v="1899-12-30T06:24:00"/>
    <d v="1899-12-30T05:12:00"/>
    <n v="166"/>
    <n v="171"/>
    <n v="0.99"/>
    <n v="0"/>
    <n v="0"/>
    <n v="0"/>
    <n v="0"/>
    <n v="0"/>
    <s v="--"/>
    <s v="--"/>
    <d v="1899-12-30T01:14:13"/>
    <d v="1899-12-30T00:00:00"/>
    <n v="0"/>
    <d v="1899-12-30T00:00:00"/>
    <s v="Não"/>
    <s v="03:30.65"/>
    <n v="12"/>
    <n v="0"/>
    <d v="1899-12-30T01:14:12"/>
    <d v="1899-12-30T01:14:13"/>
    <n v="20"/>
    <n v="116"/>
  </r>
  <r>
    <x v="2"/>
    <d v="2020-10-22T18:09:48"/>
    <s v="false"/>
    <s v="6 x 1km com intervalo 3min parado"/>
    <n v="7.29"/>
    <n v="528"/>
    <d v="1899-12-30T00:55:44"/>
    <s v="--"/>
    <s v="--"/>
    <s v="--"/>
    <n v="114"/>
    <n v="170"/>
    <d v="1899-12-30T07:39:00"/>
    <d v="1899-12-30T04:36:00"/>
    <s v="--"/>
    <s v="--"/>
    <n v="1.1000000000000001"/>
    <n v="0"/>
    <n v="0"/>
    <n v="0"/>
    <n v="0"/>
    <n v="0"/>
    <s v="--"/>
    <s v="--"/>
    <d v="1900-01-01T07:44:00"/>
    <d v="1899-12-30T00:00:00"/>
    <n v="0"/>
    <d v="1899-12-30T00:00:00"/>
    <s v="Não"/>
    <s v="00:01.54"/>
    <n v="14"/>
    <n v="0"/>
    <d v="1899-12-30T00:47:54"/>
    <d v="1899-12-30T00:55:44"/>
    <s v="--"/>
    <s v="--"/>
  </r>
  <r>
    <x v="2"/>
    <d v="2020-10-20T06:33:32"/>
    <s v="false"/>
    <s v="Blumenau Corrida"/>
    <n v="10.01"/>
    <n v="731"/>
    <d v="1899-12-30T00:59:07"/>
    <s v="--"/>
    <s v="--"/>
    <s v="--"/>
    <n v="162"/>
    <n v="171"/>
    <d v="1899-12-30T05:54:00"/>
    <d v="1899-12-30T05:26:00"/>
    <n v="75"/>
    <n v="85"/>
    <n v="1.04"/>
    <n v="0"/>
    <n v="0"/>
    <n v="0"/>
    <n v="0"/>
    <n v="0"/>
    <s v="--"/>
    <s v="--"/>
    <d v="1900-01-01T11:07:00"/>
    <d v="1899-12-30T00:00:00"/>
    <n v="0"/>
    <d v="1899-12-30T00:00:00"/>
    <s v="Não"/>
    <s v="00:03.02"/>
    <n v="11"/>
    <n v="0"/>
    <d v="1899-12-30T00:59:05"/>
    <d v="1899-12-30T00:59:07"/>
    <n v="12"/>
    <n v="56"/>
  </r>
  <r>
    <x v="2"/>
    <d v="2020-10-18T08:25:22"/>
    <s v="false"/>
    <s v="Blumenau - 4 x 2km com intervalo 3min caminhando"/>
    <n v="11.2"/>
    <n v="776"/>
    <d v="1899-12-30T01:14:31"/>
    <s v="--"/>
    <s v="--"/>
    <s v="--"/>
    <n v="149"/>
    <n v="170"/>
    <d v="1899-12-30T06:39:00"/>
    <d v="1899-12-30T04:23:00"/>
    <n v="97"/>
    <n v="98"/>
    <n v="0.99"/>
    <n v="0"/>
    <n v="0"/>
    <n v="0"/>
    <n v="0"/>
    <n v="0"/>
    <s v="--"/>
    <s v="--"/>
    <d v="1899-12-30T01:14:31"/>
    <d v="1899-12-30T00:00:00"/>
    <n v="0"/>
    <d v="1899-12-30T00:00:00"/>
    <s v="Não"/>
    <s v="03:00.00"/>
    <n v="10"/>
    <n v="0"/>
    <d v="1899-12-30T01:14:30"/>
    <d v="1899-12-30T01:14:31"/>
    <n v="15"/>
    <n v="60"/>
  </r>
  <r>
    <x v="2"/>
    <d v="2020-10-15T06:38:53"/>
    <s v="false"/>
    <s v="Blumenau Corrida"/>
    <n v="10.01"/>
    <n v="720"/>
    <d v="1899-12-30T00:56:38"/>
    <s v="--"/>
    <s v="--"/>
    <s v="--"/>
    <n v="157"/>
    <n v="173"/>
    <d v="1899-12-30T05:40:00"/>
    <d v="1899-12-30T04:48:00"/>
    <n v="66"/>
    <n v="67"/>
    <n v="1.1200000000000001"/>
    <n v="0"/>
    <n v="0"/>
    <n v="0"/>
    <n v="0"/>
    <n v="0"/>
    <s v="--"/>
    <s v="--"/>
    <d v="1900-01-01T08:38:00"/>
    <d v="1899-12-30T00:00:00"/>
    <n v="0"/>
    <d v="1899-12-30T00:00:00"/>
    <s v="Não"/>
    <s v="00:02.06"/>
    <n v="11"/>
    <n v="0"/>
    <d v="1899-12-30T00:56:36"/>
    <d v="1899-12-30T00:56:38"/>
    <n v="12"/>
    <n v="56"/>
  </r>
  <r>
    <x v="2"/>
    <d v="2020-10-13T06:55:16"/>
    <s v="false"/>
    <s v="Blumenau - 8 x 600m com intervalo 2min caminhando"/>
    <n v="9.25"/>
    <n v="621"/>
    <d v="1899-12-30T01:03:17"/>
    <s v="--"/>
    <s v="--"/>
    <s v="--"/>
    <n v="142"/>
    <n v="169"/>
    <d v="1899-12-30T06:50:00"/>
    <d v="1899-12-30T04:49:00"/>
    <n v="17"/>
    <n v="23"/>
    <n v="1.02"/>
    <n v="0"/>
    <n v="0"/>
    <n v="0"/>
    <n v="0"/>
    <n v="0"/>
    <s v="--"/>
    <s v="--"/>
    <d v="1899-12-30T01:03:17"/>
    <d v="1899-12-30T00:00:00"/>
    <n v="0"/>
    <d v="1899-12-30T00:00:00"/>
    <s v="Não"/>
    <s v="02:00.00"/>
    <n v="18"/>
    <n v="0"/>
    <d v="1899-12-30T01:03:16"/>
    <d v="1899-12-30T01:03:17"/>
    <n v="12"/>
    <n v="28"/>
  </r>
  <r>
    <x v="2"/>
    <d v="2020-10-10T07:16:20"/>
    <s v="false"/>
    <s v="Blumenau Corrida"/>
    <n v="10.01"/>
    <n v="718"/>
    <d v="1899-12-30T00:59:33"/>
    <s v="--"/>
    <s v="--"/>
    <s v="--"/>
    <n v="159"/>
    <n v="173"/>
    <d v="1899-12-30T05:57:00"/>
    <d v="1899-12-30T03:55:00"/>
    <n v="118"/>
    <n v="125"/>
    <n v="1.05"/>
    <n v="0"/>
    <n v="0"/>
    <n v="0"/>
    <n v="0"/>
    <n v="0"/>
    <s v="--"/>
    <s v="--"/>
    <d v="1900-01-01T11:33:00"/>
    <d v="1899-12-30T00:00:00"/>
    <n v="0"/>
    <d v="1899-12-30T00:00:00"/>
    <s v="Não"/>
    <s v="00:01.42"/>
    <n v="11"/>
    <n v="0"/>
    <d v="1899-12-30T00:59:15"/>
    <d v="1899-12-30T00:59:33"/>
    <n v="20"/>
    <n v="59"/>
  </r>
  <r>
    <x v="2"/>
    <d v="2020-10-06T06:44:21"/>
    <s v="false"/>
    <s v="Blumenau Corrida"/>
    <n v="7.62"/>
    <n v="561"/>
    <d v="1899-12-30T00:45:01"/>
    <s v="--"/>
    <s v="--"/>
    <s v="--"/>
    <n v="163"/>
    <n v="171"/>
    <d v="1899-12-30T05:55:00"/>
    <d v="1899-12-30T04:08:00"/>
    <n v="48"/>
    <n v="62"/>
    <n v="1.04"/>
    <n v="0"/>
    <n v="0"/>
    <n v="0"/>
    <n v="0"/>
    <n v="0"/>
    <s v="--"/>
    <s v="--"/>
    <d v="1899-12-31T21:01:00"/>
    <d v="1899-12-30T00:00:00"/>
    <n v="0"/>
    <d v="1899-12-30T00:00:00"/>
    <s v="Não"/>
    <s v="03:27.49"/>
    <n v="8"/>
    <n v="0"/>
    <d v="1899-12-30T00:44:53"/>
    <d v="1899-12-30T00:45:01"/>
    <n v="12"/>
    <n v="56"/>
  </r>
  <r>
    <x v="2"/>
    <d v="2020-10-04T09:13:23"/>
    <s v="false"/>
    <s v="Blumenau Corrida"/>
    <n v="10.01"/>
    <n v="730"/>
    <d v="1899-12-30T00:57:39"/>
    <s v="--"/>
    <s v="--"/>
    <s v="--"/>
    <n v="164"/>
    <n v="173"/>
    <d v="1899-12-30T05:46:00"/>
    <d v="1899-12-30T05:02:00"/>
    <n v="57"/>
    <n v="59"/>
    <n v="1.06"/>
    <n v="0"/>
    <n v="0"/>
    <n v="0"/>
    <n v="0"/>
    <n v="0"/>
    <s v="--"/>
    <s v="--"/>
    <d v="1900-01-01T09:39:00"/>
    <d v="1899-12-30T00:00:00"/>
    <n v="0"/>
    <d v="1899-12-30T00:00:00"/>
    <s v="Não"/>
    <s v="00:02.88"/>
    <n v="11"/>
    <n v="0"/>
    <d v="1899-12-30T00:57:37"/>
    <d v="1899-12-30T00:57:39"/>
    <n v="12"/>
    <n v="56"/>
  </r>
  <r>
    <x v="2"/>
    <d v="2020-10-01T06:44:56"/>
    <s v="false"/>
    <s v="Blumenau - Progressivo - leve p/ forte"/>
    <n v="6.01"/>
    <n v="444"/>
    <d v="1899-12-30T00:37:21"/>
    <s v="--"/>
    <s v="--"/>
    <s v="--"/>
    <n v="162"/>
    <n v="170"/>
    <d v="1899-12-30T06:13:00"/>
    <d v="1899-12-30T05:07:00"/>
    <n v="6"/>
    <n v="22"/>
    <n v="0.99"/>
    <n v="0"/>
    <n v="0"/>
    <n v="0"/>
    <n v="0"/>
    <n v="0"/>
    <s v="--"/>
    <s v="--"/>
    <d v="1899-12-31T13:21:00"/>
    <d v="1899-12-30T00:00:00"/>
    <n v="0"/>
    <d v="1899-12-30T00:00:00"/>
    <s v="Não"/>
    <s v="00:03.76"/>
    <n v="4"/>
    <n v="0"/>
    <d v="1899-12-30T00:37:19"/>
    <d v="1899-12-30T00:37:21"/>
    <n v="12"/>
    <n v="29"/>
  </r>
  <r>
    <x v="2"/>
    <d v="2020-09-29T06:40:27"/>
    <s v="false"/>
    <s v="Blumenau - Run Workout"/>
    <n v="9.01"/>
    <n v="665"/>
    <d v="1899-12-30T00:55:23"/>
    <s v="--"/>
    <s v="--"/>
    <s v="--"/>
    <n v="162"/>
    <n v="171"/>
    <d v="1899-12-30T06:09:00"/>
    <d v="1899-12-30T04:43:00"/>
    <n v="10"/>
    <n v="17"/>
    <n v="1"/>
    <n v="0"/>
    <n v="0"/>
    <n v="0"/>
    <n v="0"/>
    <n v="0"/>
    <s v="--"/>
    <s v="--"/>
    <d v="1900-01-01T07:23:00"/>
    <d v="1899-12-30T00:00:00"/>
    <n v="0"/>
    <d v="1899-12-30T00:00:00"/>
    <s v="Não"/>
    <s v="00:02.98"/>
    <n v="4"/>
    <n v="0"/>
    <d v="1899-12-30T00:55:23"/>
    <d v="1899-12-30T00:55:23"/>
    <n v="12"/>
    <n v="29"/>
  </r>
  <r>
    <x v="2"/>
    <d v="2020-09-27T07:52:59"/>
    <s v="false"/>
    <s v="Blumenau - 10 x 1min Moderado/Forte - 2min leve"/>
    <n v="7.87"/>
    <n v="577"/>
    <d v="1899-12-30T00:50:11"/>
    <s v="--"/>
    <s v="--"/>
    <s v="--"/>
    <n v="161"/>
    <n v="169"/>
    <d v="1899-12-30T06:23:00"/>
    <d v="1899-12-30T04:05:00"/>
    <n v="7"/>
    <n v="21"/>
    <n v="0.97"/>
    <n v="0"/>
    <n v="0"/>
    <n v="0"/>
    <n v="0"/>
    <n v="0"/>
    <s v="--"/>
    <s v="--"/>
    <d v="1900-01-01T02:11:00"/>
    <d v="1899-12-30T00:00:00"/>
    <n v="0"/>
    <d v="1899-12-30T00:00:00"/>
    <s v="Não"/>
    <s v="00:07.58"/>
    <n v="22"/>
    <n v="0"/>
    <d v="1899-12-30T00:50:10"/>
    <d v="1899-12-30T00:50:11"/>
    <n v="12"/>
    <n v="29"/>
  </r>
  <r>
    <x v="2"/>
    <d v="2020-09-24T07:09:25"/>
    <s v="false"/>
    <s v="Blumenau Corrida"/>
    <n v="8.0299999999999994"/>
    <n v="579"/>
    <d v="1899-12-30T00:47:55"/>
    <s v="--"/>
    <s v="--"/>
    <s v="--"/>
    <n v="160"/>
    <n v="173"/>
    <d v="1899-12-30T05:58:00"/>
    <d v="1899-12-30T04:25:00"/>
    <n v="82"/>
    <n v="83"/>
    <n v="1.05"/>
    <n v="0"/>
    <n v="0"/>
    <n v="0"/>
    <n v="0"/>
    <n v="0"/>
    <s v="--"/>
    <s v="--"/>
    <d v="1899-12-31T23:55:00"/>
    <d v="1899-12-30T00:00:00"/>
    <n v="0"/>
    <d v="1899-12-30T00:00:00"/>
    <s v="Não"/>
    <s v="00:09.28"/>
    <n v="9"/>
    <n v="0"/>
    <d v="1899-12-30T00:47:54"/>
    <d v="1899-12-30T00:47:55"/>
    <n v="22"/>
    <n v="61"/>
  </r>
  <r>
    <x v="2"/>
    <d v="2020-09-22T07:12:19"/>
    <s v="false"/>
    <s v="Blumenau Corrida"/>
    <n v="5.3"/>
    <n v="374"/>
    <d v="1899-12-30T00:34:34"/>
    <s v="--"/>
    <s v="--"/>
    <s v="--"/>
    <n v="121"/>
    <n v="173"/>
    <d v="1899-12-30T06:32:00"/>
    <d v="1899-12-30T00:17:00"/>
    <n v="9"/>
    <n v="12"/>
    <n v="1.24"/>
    <n v="0"/>
    <n v="0"/>
    <n v="0"/>
    <n v="0"/>
    <n v="0"/>
    <s v="--"/>
    <s v="--"/>
    <d v="1899-12-31T10:34:00"/>
    <d v="1899-12-30T00:00:00"/>
    <n v="0"/>
    <d v="1899-12-30T00:00:00"/>
    <s v="Não"/>
    <s v="00:03.91"/>
    <n v="22"/>
    <n v="0"/>
    <d v="1899-12-30T00:26:42"/>
    <d v="1899-12-30T00:34:36"/>
    <n v="12"/>
    <n v="23"/>
  </r>
  <r>
    <x v="2"/>
    <d v="2020-09-22T07:05:21"/>
    <s v="false"/>
    <s v="Blumenau Corrida"/>
    <n v="1.06"/>
    <n v="76"/>
    <d v="1899-12-30T00:06:37"/>
    <s v="--"/>
    <s v="--"/>
    <s v="--"/>
    <n v="155"/>
    <n v="162"/>
    <d v="1899-12-30T06:16:00"/>
    <d v="1899-12-30T05:42:00"/>
    <s v="--"/>
    <n v="8"/>
    <n v="1.03"/>
    <n v="0"/>
    <n v="0"/>
    <n v="0"/>
    <n v="0"/>
    <n v="0"/>
    <s v="--"/>
    <s v="--"/>
    <d v="1899-12-30T00:06:37"/>
    <d v="1899-12-30T00:00:00"/>
    <n v="0"/>
    <d v="1899-12-30T00:00:00"/>
    <s v="Não"/>
    <s v="00:09.83"/>
    <n v="3"/>
    <n v="0"/>
    <d v="1899-12-30T00:06:37"/>
    <d v="1899-12-30T00:06:38"/>
    <n v="18"/>
    <n v="29"/>
  </r>
  <r>
    <x v="2"/>
    <d v="2020-09-20T08:21:23"/>
    <s v="false"/>
    <s v="Blumenau Corrida"/>
    <n v="8.01"/>
    <n v="586"/>
    <d v="1899-12-30T00:46:36"/>
    <s v="--"/>
    <s v="--"/>
    <s v="--"/>
    <n v="160"/>
    <n v="169"/>
    <d v="1899-12-30T05:49:00"/>
    <d v="1899-12-30T03:30:00"/>
    <n v="48"/>
    <n v="48"/>
    <n v="1.07"/>
    <n v="0"/>
    <n v="0"/>
    <n v="0"/>
    <n v="0"/>
    <n v="0"/>
    <s v="--"/>
    <s v="--"/>
    <d v="1899-12-31T22:36:00"/>
    <d v="1899-12-30T00:00:00"/>
    <n v="0"/>
    <d v="1899-12-30T00:00:00"/>
    <s v="Não"/>
    <s v="00:02.36"/>
    <n v="9"/>
    <n v="0"/>
    <d v="1899-12-30T00:46:34"/>
    <d v="1899-12-30T00:46:36"/>
    <n v="12"/>
    <n v="56"/>
  </r>
  <r>
    <x v="2"/>
    <d v="2020-09-17T07:09:10"/>
    <s v="false"/>
    <s v="Corrida"/>
    <n v="6.53"/>
    <n v="462"/>
    <d v="1899-12-30T00:40:57"/>
    <s v="--"/>
    <s v="--"/>
    <s v="--"/>
    <n v="142"/>
    <n v="168"/>
    <d v="1899-12-30T06:16:00"/>
    <d v="1899-12-30T04:56:00"/>
    <s v="--"/>
    <s v="--"/>
    <n v="1.1200000000000001"/>
    <n v="0"/>
    <n v="0"/>
    <n v="0"/>
    <n v="0"/>
    <n v="0"/>
    <s v="--"/>
    <s v="--"/>
    <d v="1899-12-31T16:57:00"/>
    <d v="1899-12-30T00:00:00"/>
    <n v="0"/>
    <d v="1899-12-30T00:00:00"/>
    <s v="Não"/>
    <s v="00:01.79"/>
    <n v="18"/>
    <n v="0"/>
    <d v="1899-12-30T00:39:43"/>
    <d v="1899-12-30T00:41:00"/>
    <s v="--"/>
    <s v="--"/>
  </r>
  <r>
    <x v="2"/>
    <d v="2020-09-15T07:05:19"/>
    <s v="false"/>
    <s v="Blumenau Corrida"/>
    <n v="5.0999999999999996"/>
    <n v="372"/>
    <d v="1899-12-30T00:30:03"/>
    <s v="--"/>
    <s v="--"/>
    <s v="--"/>
    <n v="157"/>
    <n v="164"/>
    <d v="1899-12-30T05:54:00"/>
    <d v="1899-12-30T05:32:00"/>
    <n v="18"/>
    <n v="21"/>
    <n v="1.08"/>
    <n v="0"/>
    <n v="0"/>
    <n v="0"/>
    <n v="0"/>
    <n v="0"/>
    <s v="--"/>
    <s v="--"/>
    <d v="1899-12-31T06:03:00"/>
    <d v="1899-12-30T00:00:00"/>
    <n v="0"/>
    <d v="1899-12-30T00:00:00"/>
    <s v="Não"/>
    <s v="00:33.33"/>
    <n v="6"/>
    <n v="0"/>
    <d v="1899-12-30T00:30:02"/>
    <d v="1899-12-30T00:30:03"/>
    <n v="12"/>
    <n v="33"/>
  </r>
  <r>
    <x v="2"/>
    <d v="2020-09-10T07:08:57"/>
    <s v="false"/>
    <s v="Blumenau Corrida"/>
    <n v="7.01"/>
    <n v="504"/>
    <d v="1899-12-30T00:41:19"/>
    <s v="--"/>
    <s v="--"/>
    <s v="--"/>
    <n v="158"/>
    <n v="169"/>
    <d v="1899-12-30T05:54:00"/>
    <d v="1899-12-30T05:01:00"/>
    <n v="29"/>
    <n v="34"/>
    <n v="1.07"/>
    <n v="0"/>
    <n v="0"/>
    <n v="0"/>
    <n v="0"/>
    <n v="0"/>
    <s v="--"/>
    <s v="--"/>
    <d v="1899-12-31T17:19:00"/>
    <d v="1899-12-30T00:00:00"/>
    <n v="0"/>
    <d v="1899-12-30T00:00:00"/>
    <s v="Não"/>
    <s v="00:02.74"/>
    <n v="8"/>
    <n v="0"/>
    <d v="1899-12-30T00:41:17"/>
    <d v="1899-12-30T00:41:19"/>
    <n v="12"/>
    <n v="37"/>
  </r>
  <r>
    <x v="2"/>
    <d v="2020-09-08T07:02:57"/>
    <s v="false"/>
    <s v="8 x 400m com intervalo 2min caminhando"/>
    <n v="7.61"/>
    <n v="528"/>
    <d v="1899-12-30T00:53:38"/>
    <s v="--"/>
    <s v="--"/>
    <s v="--"/>
    <n v="135"/>
    <n v="236"/>
    <d v="1899-12-30T07:03:00"/>
    <d v="1899-12-30T04:38:00"/>
    <s v="--"/>
    <s v="--"/>
    <n v="1.04"/>
    <n v="0"/>
    <n v="0"/>
    <n v="0"/>
    <n v="0"/>
    <n v="0"/>
    <s v="--"/>
    <s v="--"/>
    <d v="1900-01-01T05:38:00"/>
    <d v="1899-12-30T00:00:00"/>
    <n v="0"/>
    <d v="1899-12-30T00:00:00"/>
    <s v="Não"/>
    <s v="00:02.94"/>
    <n v="19"/>
    <n v="0"/>
    <d v="1899-12-30T00:52:43"/>
    <d v="1899-12-30T00:53:55"/>
    <s v="--"/>
    <s v="--"/>
  </r>
  <r>
    <x v="2"/>
    <d v="2020-09-06T08:36:41"/>
    <s v="false"/>
    <s v="Blumenau Corrida"/>
    <n v="7.01"/>
    <n v="517"/>
    <d v="1899-12-30T00:40:46"/>
    <s v="--"/>
    <s v="--"/>
    <s v="--"/>
    <n v="159"/>
    <n v="170"/>
    <d v="1899-12-30T05:49:00"/>
    <d v="1899-12-30T01:10:00"/>
    <n v="68"/>
    <n v="71"/>
    <n v="1.08"/>
    <n v="0"/>
    <n v="0"/>
    <n v="0"/>
    <n v="0"/>
    <n v="0"/>
    <s v="--"/>
    <s v="--"/>
    <d v="1899-12-31T16:46:00"/>
    <d v="1899-12-30T00:00:00"/>
    <n v="0"/>
    <d v="1899-12-30T00:00:00"/>
    <s v="Não"/>
    <s v="00:03.94"/>
    <n v="8"/>
    <n v="0"/>
    <d v="1899-12-30T00:40:39"/>
    <d v="1899-12-30T00:40:46"/>
    <n v="-3"/>
    <n v="59"/>
  </r>
  <r>
    <x v="2"/>
    <d v="2020-09-03T07:09:45"/>
    <s v="false"/>
    <s v="Blumenau - Progressivo 3 etapas"/>
    <n v="6.01"/>
    <n v="435"/>
    <d v="1899-12-30T00:34:16"/>
    <s v="--"/>
    <s v="--"/>
    <s v="--"/>
    <n v="157"/>
    <n v="169"/>
    <d v="1899-12-30T05:42:00"/>
    <d v="1899-12-30T03:25:00"/>
    <n v="8"/>
    <n v="14"/>
    <n v="1.1100000000000001"/>
    <n v="0"/>
    <n v="0"/>
    <n v="0"/>
    <n v="0"/>
    <n v="0"/>
    <s v="--"/>
    <s v="--"/>
    <d v="1899-12-31T10:16:00"/>
    <d v="1899-12-30T00:00:00"/>
    <n v="0"/>
    <d v="1899-12-30T00:00:00"/>
    <s v="Não"/>
    <s v="00:03.43"/>
    <n v="7"/>
    <n v="0"/>
    <d v="1899-12-30T00:34:15"/>
    <d v="1899-12-30T00:34:16"/>
    <n v="12"/>
    <n v="29"/>
  </r>
  <r>
    <x v="2"/>
    <d v="2020-09-01T07:12:23"/>
    <s v="false"/>
    <s v="4 x 1km com intervalo 3min caminhando"/>
    <n v="5.87"/>
    <n v="406"/>
    <d v="1899-12-30T00:41:47"/>
    <s v="--"/>
    <s v="--"/>
    <s v="--"/>
    <n v="132"/>
    <n v="160"/>
    <d v="1899-12-30T07:07:00"/>
    <d v="1899-12-30T05:07:00"/>
    <s v="--"/>
    <s v="--"/>
    <n v="1.04"/>
    <n v="0"/>
    <n v="0"/>
    <n v="0"/>
    <n v="0"/>
    <n v="0"/>
    <s v="--"/>
    <s v="--"/>
    <d v="1899-12-31T17:47:00"/>
    <d v="1899-12-30T00:00:00"/>
    <n v="0"/>
    <d v="1899-12-30T00:00:00"/>
    <s v="Não"/>
    <s v="00:02.53"/>
    <n v="10"/>
    <n v="0"/>
    <d v="1899-12-30T00:41:07"/>
    <d v="1899-12-30T00:41:47"/>
    <s v="--"/>
    <s v="--"/>
  </r>
  <r>
    <x v="2"/>
    <d v="2020-08-29T07:59:57"/>
    <s v="false"/>
    <s v="Blumenau Corrida"/>
    <n v="7"/>
    <n v="511"/>
    <d v="1899-12-30T00:43:00"/>
    <s v="--"/>
    <s v="--"/>
    <s v="--"/>
    <n v="155"/>
    <n v="169"/>
    <d v="1899-12-30T06:08:00"/>
    <d v="1899-12-30T04:27:00"/>
    <n v="98"/>
    <n v="82"/>
    <n v="1.05"/>
    <n v="0"/>
    <n v="0"/>
    <n v="0"/>
    <n v="0"/>
    <n v="0"/>
    <s v="--"/>
    <s v="--"/>
    <d v="1899-12-31T19:00:00"/>
    <d v="1899-12-30T00:00:00"/>
    <n v="0"/>
    <d v="1899-12-30T00:00:00"/>
    <s v="Não"/>
    <s v="00:01.62"/>
    <n v="8"/>
    <n v="0"/>
    <d v="1899-12-30T00:42:59"/>
    <d v="1899-12-30T00:43:00"/>
    <n v="22"/>
    <n v="60"/>
  </r>
  <r>
    <x v="2"/>
    <d v="2020-08-27T07:10:51"/>
    <s v="false"/>
    <s v="Blumenau - 6 x 500m com intervalo 2min parado"/>
    <n v="5.24"/>
    <n v="375"/>
    <d v="1899-12-30T00:39:19"/>
    <s v="--"/>
    <s v="--"/>
    <s v="--"/>
    <n v="115"/>
    <n v="176"/>
    <d v="1899-12-30T07:30:00"/>
    <d v="1899-12-30T00:52:00"/>
    <n v="9"/>
    <n v="11"/>
    <n v="1.1200000000000001"/>
    <n v="0"/>
    <n v="0"/>
    <n v="0"/>
    <n v="0"/>
    <n v="0"/>
    <s v="--"/>
    <s v="--"/>
    <d v="1899-12-31T15:19:00"/>
    <d v="1899-12-30T00:00:00"/>
    <n v="0"/>
    <d v="1899-12-30T00:00:00"/>
    <s v="Não"/>
    <s v="00:03.92"/>
    <n v="15"/>
    <n v="0"/>
    <d v="1899-12-30T00:28:37"/>
    <d v="1899-12-30T00:39:19"/>
    <n v="12"/>
    <n v="22"/>
  </r>
  <r>
    <x v="2"/>
    <d v="2020-08-25T07:15:46"/>
    <s v="false"/>
    <s v="Blumenau Corrida"/>
    <n v="6.01"/>
    <n v="439"/>
    <d v="1899-12-30T00:35:24"/>
    <s v="--"/>
    <s v="--"/>
    <s v="--"/>
    <n v="160"/>
    <n v="167"/>
    <d v="1899-12-30T05:53:00"/>
    <d v="1899-12-30T03:49:00"/>
    <n v="46"/>
    <n v="49"/>
    <n v="1.06"/>
    <n v="0"/>
    <n v="0"/>
    <n v="0"/>
    <n v="0"/>
    <n v="0"/>
    <s v="--"/>
    <s v="--"/>
    <d v="1899-12-31T11:24:00"/>
    <d v="1899-12-30T00:00:00"/>
    <n v="0"/>
    <d v="1899-12-30T00:00:00"/>
    <s v="Não"/>
    <s v="00:01.95"/>
    <n v="7"/>
    <n v="0"/>
    <d v="1899-12-30T00:35:22"/>
    <d v="1899-12-30T00:35:24"/>
    <n v="21"/>
    <n v="54"/>
  </r>
  <r>
    <x v="2"/>
    <d v="2020-08-22T09:33:13"/>
    <s v="false"/>
    <s v="Blumenau - Run Workout"/>
    <n v="6.04"/>
    <n v="446"/>
    <d v="1899-12-30T00:39:17"/>
    <n v="177"/>
    <n v="191"/>
    <n v="4.9000000000000004"/>
    <n v="153"/>
    <n v="168"/>
    <d v="1899-12-30T06:30:00"/>
    <d v="1899-12-30T04:45:00"/>
    <n v="96"/>
    <n v="73"/>
    <n v="1"/>
    <n v="0"/>
    <n v="0"/>
    <n v="0"/>
    <n v="0"/>
    <n v="0"/>
    <s v="--"/>
    <s v="--"/>
    <d v="1899-12-31T15:17:00"/>
    <d v="1899-12-30T00:00:00"/>
    <n v="0"/>
    <d v="1899-12-30T00:00:00"/>
    <s v="Não"/>
    <s v="00:21.46"/>
    <n v="10"/>
    <n v="0"/>
    <d v="1899-12-30T00:38:43"/>
    <d v="1899-12-30T00:39:17"/>
    <n v="21"/>
    <n v="59"/>
  </r>
  <r>
    <x v="2"/>
    <d v="2020-08-20T07:08:44"/>
    <s v="false"/>
    <s v="Corrida"/>
    <n v="5.01"/>
    <n v="333"/>
    <d v="1899-12-30T00:30:45"/>
    <n v="171"/>
    <n v="182"/>
    <n v="4"/>
    <n v="152"/>
    <n v="158"/>
    <d v="1899-12-30T06:08:00"/>
    <d v="1899-12-30T05:39:00"/>
    <s v="--"/>
    <s v="--"/>
    <n v="1.08"/>
    <n v="0"/>
    <n v="0"/>
    <n v="0"/>
    <n v="0"/>
    <n v="0"/>
    <s v="--"/>
    <s v="--"/>
    <d v="1899-12-31T06:45:00"/>
    <d v="1899-12-30T00:00:00"/>
    <n v="0"/>
    <d v="1899-12-30T00:00:00"/>
    <s v="Não"/>
    <s v="00:04.51"/>
    <n v="6"/>
    <n v="0"/>
    <d v="1899-12-30T00:30:43"/>
    <d v="1899-12-30T00:30:45"/>
    <s v="--"/>
    <s v="--"/>
  </r>
  <r>
    <x v="2"/>
    <d v="2020-08-18T07:07:53"/>
    <s v="false"/>
    <s v="5 x 500m com intervalo 2min caminhando"/>
    <n v="4.51"/>
    <n v="320"/>
    <d v="1899-12-30T00:32:50"/>
    <n v="158"/>
    <n v="179"/>
    <n v="3.4"/>
    <n v="132"/>
    <n v="158"/>
    <d v="1899-12-30T07:17:00"/>
    <d v="1899-12-30T05:14:00"/>
    <s v="--"/>
    <s v="--"/>
    <n v="1.03"/>
    <n v="0"/>
    <n v="0"/>
    <n v="0"/>
    <n v="0"/>
    <n v="0"/>
    <s v="--"/>
    <s v="--"/>
    <d v="1899-12-31T08:50:00"/>
    <d v="1899-12-30T00:00:00"/>
    <n v="0"/>
    <d v="1899-12-30T00:00:00"/>
    <s v="Não"/>
    <s v="00:04.47"/>
    <n v="12"/>
    <n v="0"/>
    <d v="1899-12-30T00:30:18"/>
    <d v="1899-12-30T00:32:50"/>
    <n v="53"/>
    <n v="53"/>
  </r>
  <r>
    <x v="2"/>
    <d v="2020-08-15T09:13:51"/>
    <s v="false"/>
    <s v="Corrida"/>
    <n v="5.01"/>
    <n v="335"/>
    <d v="1899-12-30T00:29:07"/>
    <n v="177"/>
    <n v="190"/>
    <n v="4.5"/>
    <n v="153"/>
    <n v="159"/>
    <d v="1899-12-30T05:49:00"/>
    <d v="1899-12-30T05:24:00"/>
    <s v="--"/>
    <s v="--"/>
    <n v="1.1200000000000001"/>
    <n v="0"/>
    <n v="0"/>
    <n v="0"/>
    <n v="0"/>
    <n v="0"/>
    <s v="--"/>
    <s v="--"/>
    <d v="1899-12-31T05:07:00"/>
    <d v="1899-12-30T00:00:00"/>
    <n v="0"/>
    <d v="1899-12-30T00:00:00"/>
    <s v="Não"/>
    <s v="00:04.11"/>
    <n v="6"/>
    <n v="0"/>
    <d v="1899-12-30T00:29:06"/>
    <d v="1899-12-30T00:29:07"/>
    <s v="--"/>
    <s v="--"/>
  </r>
  <r>
    <x v="2"/>
    <d v="2020-08-13T17:37:19"/>
    <s v="false"/>
    <s v="5 x 400m com intervalo 2min caminhando"/>
    <n v="3.89"/>
    <n v="277"/>
    <d v="1899-12-30T00:27:25"/>
    <n v="162"/>
    <n v="187"/>
    <n v="3.5"/>
    <n v="132"/>
    <n v="160"/>
    <d v="1899-12-30T07:02:00"/>
    <d v="1899-12-30T04:31:00"/>
    <s v="--"/>
    <s v="--"/>
    <n v="1.06"/>
    <n v="0"/>
    <n v="0"/>
    <n v="0"/>
    <n v="0"/>
    <n v="0"/>
    <s v="--"/>
    <s v="--"/>
    <d v="1899-12-31T03:25:00"/>
    <d v="1899-12-30T00:00:00"/>
    <n v="0"/>
    <d v="1899-12-30T00:00:00"/>
    <s v="Não"/>
    <s v="00:02.34"/>
    <n v="12"/>
    <n v="0"/>
    <d v="1899-12-30T00:24:54"/>
    <d v="1899-12-30T00:27:25"/>
    <s v="--"/>
    <s v="--"/>
  </r>
  <r>
    <x v="2"/>
    <d v="2020-08-11T07:09:15"/>
    <s v="false"/>
    <s v="Blumenau Corrida"/>
    <n v="4.01"/>
    <n v="272"/>
    <d v="1899-12-30T00:24:06"/>
    <n v="176"/>
    <n v="190"/>
    <n v="4.2"/>
    <n v="157"/>
    <n v="164"/>
    <d v="1899-12-30T06:01:00"/>
    <d v="1899-12-30T03:50:00"/>
    <n v="7"/>
    <n v="14"/>
    <n v="1.06"/>
    <n v="0"/>
    <n v="0"/>
    <n v="0"/>
    <n v="0"/>
    <n v="0"/>
    <s v="--"/>
    <s v="--"/>
    <d v="1899-12-31T00:06:00"/>
    <d v="1899-12-30T00:00:00"/>
    <n v="0"/>
    <d v="1899-12-30T00:00:00"/>
    <s v="Não"/>
    <s v="00:03.34"/>
    <n v="5"/>
    <n v="0"/>
    <d v="1899-12-30T00:24:06"/>
    <d v="1899-12-30T00:24:06"/>
    <n v="12"/>
    <n v="29"/>
  </r>
  <r>
    <x v="2"/>
    <d v="2020-08-08T07:17:47"/>
    <s v="false"/>
    <s v="Blumenau - Run Workout"/>
    <n v="3.01"/>
    <n v="205"/>
    <d v="1899-12-30T00:18:48"/>
    <n v="173"/>
    <n v="188"/>
    <n v="3.6"/>
    <n v="157"/>
    <n v="165"/>
    <d v="1899-12-30T06:15:00"/>
    <d v="1899-12-30T03:57:00"/>
    <n v="13"/>
    <n v="19"/>
    <n v="1.02"/>
    <n v="0"/>
    <n v="0"/>
    <n v="0"/>
    <n v="0"/>
    <n v="0"/>
    <s v="--"/>
    <s v="--"/>
    <d v="1899-12-30T18:48:00"/>
    <d v="1899-12-30T00:00:00"/>
    <n v="0"/>
    <d v="1899-12-30T00:00:00"/>
    <s v="Não"/>
    <s v="00:05.08"/>
    <n v="11"/>
    <n v="0"/>
    <d v="1899-12-30T00:18:47"/>
    <d v="1899-12-30T00:18:48"/>
    <n v="12"/>
    <n v="30"/>
  </r>
  <r>
    <x v="2"/>
    <d v="2020-08-06T07:15:12"/>
    <s v="false"/>
    <s v="Blumenau Corrida"/>
    <n v="3.51"/>
    <n v="243"/>
    <d v="1899-12-30T00:20:57"/>
    <n v="178"/>
    <n v="191"/>
    <n v="4"/>
    <n v="157"/>
    <n v="164"/>
    <d v="1899-12-30T05:59:00"/>
    <d v="1899-12-30T04:34:00"/>
    <n v="10"/>
    <n v="16"/>
    <n v="1.07"/>
    <n v="0"/>
    <n v="0"/>
    <n v="0"/>
    <n v="0"/>
    <n v="0"/>
    <s v="--"/>
    <s v="--"/>
    <d v="1899-12-30T20:57:00"/>
    <d v="1899-12-30T00:00:00"/>
    <n v="0"/>
    <d v="1899-12-30T00:00:00"/>
    <s v="Não"/>
    <s v="03:00.08"/>
    <n v="4"/>
    <n v="0"/>
    <d v="1899-12-30T00:20:56"/>
    <d v="1899-12-30T00:20:57"/>
    <n v="12"/>
    <n v="33"/>
  </r>
  <r>
    <x v="2"/>
    <d v="2020-08-04T07:18:02"/>
    <s v="false"/>
    <s v="Blumenau - Run Workout"/>
    <n v="3.9"/>
    <n v="296"/>
    <d v="1899-12-30T00:28:25"/>
    <n v="165"/>
    <n v="185"/>
    <n v="3.7"/>
    <n v="141"/>
    <n v="164"/>
    <d v="1899-12-30T07:17:00"/>
    <d v="1899-12-30T04:10:00"/>
    <n v="26"/>
    <n v="21"/>
    <n v="0.96"/>
    <n v="0"/>
    <n v="0"/>
    <n v="0"/>
    <n v="0"/>
    <n v="0"/>
    <s v="--"/>
    <s v="--"/>
    <d v="1899-12-31T04:25:00"/>
    <d v="1899-12-30T00:00:00"/>
    <n v="0"/>
    <d v="1899-12-30T00:00:00"/>
    <s v="Não"/>
    <s v="00:02.91"/>
    <n v="7"/>
    <n v="0"/>
    <d v="1899-12-30T00:28:14"/>
    <d v="1899-12-30T00:28:25"/>
    <n v="12"/>
    <n v="31"/>
  </r>
  <r>
    <x v="2"/>
    <d v="2020-08-02T08:46:30"/>
    <s v="false"/>
    <s v="Blumenau Corrida"/>
    <n v="3.01"/>
    <n v="211"/>
    <d v="1899-12-30T00:18:09"/>
    <n v="177"/>
    <n v="191"/>
    <n v="3.8"/>
    <n v="157"/>
    <n v="164"/>
    <d v="1899-12-30T06:02:00"/>
    <d v="1899-12-30T05:42:00"/>
    <n v="8"/>
    <n v="14"/>
    <n v="1.06"/>
    <n v="0"/>
    <n v="0"/>
    <n v="0"/>
    <n v="0"/>
    <n v="0"/>
    <s v="--"/>
    <s v="--"/>
    <d v="1899-12-30T18:09:00"/>
    <d v="1899-12-30T00:00:00"/>
    <n v="0"/>
    <d v="1899-12-30T00:00:00"/>
    <s v="Não"/>
    <s v="00:03.33"/>
    <n v="4"/>
    <n v="0"/>
    <d v="1899-12-30T00:18:08"/>
    <d v="1899-12-30T00:18:09"/>
    <n v="12"/>
    <n v="29"/>
  </r>
  <r>
    <x v="2"/>
    <d v="2020-07-28T07:17:22"/>
    <s v="false"/>
    <s v="Blumenau Corrida"/>
    <n v="3.01"/>
    <n v="207"/>
    <d v="1899-12-30T00:18:14"/>
    <n v="173"/>
    <n v="189"/>
    <n v="3.6"/>
    <n v="156"/>
    <n v="162"/>
    <d v="1899-12-30T06:03:00"/>
    <d v="1899-12-30T05:41:00"/>
    <n v="5"/>
    <n v="16"/>
    <n v="1.06"/>
    <n v="0"/>
    <n v="0"/>
    <n v="0"/>
    <n v="0"/>
    <n v="0"/>
    <s v="--"/>
    <s v="--"/>
    <d v="1899-12-30T18:14:00"/>
    <d v="1899-12-30T00:00:00"/>
    <n v="0"/>
    <d v="1899-12-30T00:00:00"/>
    <s v="Não"/>
    <s v="00:03.54"/>
    <n v="4"/>
    <n v="0"/>
    <d v="1899-12-30T00:18:13"/>
    <d v="1899-12-30T00:18:14"/>
    <n v="12"/>
    <n v="29"/>
  </r>
  <r>
    <x v="2"/>
    <d v="2020-07-26T08:56:06"/>
    <s v="false"/>
    <s v="Blumenau Corrida"/>
    <n v="3.2"/>
    <n v="234"/>
    <d v="1899-12-30T00:24:36"/>
    <n v="153"/>
    <n v="176"/>
    <n v="3.1"/>
    <n v="128"/>
    <n v="160"/>
    <d v="1899-12-30T07:41:00"/>
    <d v="1899-12-30T02:26:00"/>
    <n v="63"/>
    <n v="60"/>
    <n v="1.01"/>
    <n v="0"/>
    <n v="0"/>
    <n v="0"/>
    <n v="0"/>
    <n v="0"/>
    <s v="--"/>
    <s v="--"/>
    <d v="1899-12-31T00:36:00"/>
    <d v="1899-12-30T00:00:00"/>
    <n v="0"/>
    <d v="1899-12-30T00:00:00"/>
    <s v="Não"/>
    <s v="02:59.17"/>
    <n v="8"/>
    <n v="0"/>
    <d v="1899-12-30T00:24:34"/>
    <d v="1899-12-30T00:24:36"/>
    <n v="11"/>
    <n v="37"/>
  </r>
  <r>
    <x v="2"/>
    <d v="2020-07-23T18:24:30"/>
    <s v="false"/>
    <s v="Blumenau Corrida"/>
    <n v="2.5099999999999998"/>
    <n v="171"/>
    <d v="1899-12-30T00:16:08"/>
    <n v="161"/>
    <n v="177"/>
    <n v="3.1"/>
    <n v="152"/>
    <n v="158"/>
    <d v="1899-12-30T06:26:00"/>
    <d v="1899-12-30T04:11:00"/>
    <n v="81"/>
    <n v="88"/>
    <n v="1.01"/>
    <n v="0"/>
    <n v="0"/>
    <n v="0"/>
    <n v="0"/>
    <n v="0"/>
    <s v="--"/>
    <s v="--"/>
    <d v="1899-12-30T16:08:00"/>
    <d v="1899-12-30T00:00:00"/>
    <n v="0"/>
    <d v="1899-12-30T00:00:00"/>
    <s v="Não"/>
    <s v="03:14.96"/>
    <n v="3"/>
    <n v="0"/>
    <d v="1899-12-30T00:16:07"/>
    <d v="1899-12-30T00:16:08"/>
    <n v="19"/>
    <n v="56"/>
  </r>
  <r>
    <x v="2"/>
    <d v="2020-07-21T06:59:19"/>
    <s v="false"/>
    <s v="Blumenau - Run Workout"/>
    <n v="3.91"/>
    <n v="282"/>
    <d v="1899-12-30T00:27:31"/>
    <n v="162"/>
    <n v="182"/>
    <n v="3.6"/>
    <n v="142"/>
    <n v="160"/>
    <d v="1899-12-30T07:03:00"/>
    <d v="1899-12-30T03:50:00"/>
    <n v="13"/>
    <n v="19"/>
    <n v="0.99"/>
    <n v="0"/>
    <n v="0"/>
    <n v="0"/>
    <n v="0"/>
    <n v="0"/>
    <s v="--"/>
    <s v="--"/>
    <d v="1899-12-31T03:31:00"/>
    <d v="1899-12-30T00:00:00"/>
    <n v="0"/>
    <d v="1899-12-30T00:00:00"/>
    <s v="Não"/>
    <s v="00:03.15"/>
    <n v="7"/>
    <n v="0"/>
    <d v="1899-12-30T00:27:31"/>
    <d v="1899-12-30T00:27:31"/>
    <n v="12"/>
    <n v="28"/>
  </r>
  <r>
    <x v="2"/>
    <d v="2020-07-18T08:25:23"/>
    <s v="false"/>
    <s v="Blumenau Corrida"/>
    <n v="2.0099999999999998"/>
    <n v="140"/>
    <d v="1899-12-30T00:11:55"/>
    <n v="174"/>
    <n v="191"/>
    <n v="3.2"/>
    <n v="155"/>
    <n v="162"/>
    <d v="1899-12-30T05:56:00"/>
    <d v="1899-12-30T02:00:00"/>
    <n v="4"/>
    <n v="12"/>
    <n v="1.08"/>
    <n v="0"/>
    <n v="0"/>
    <n v="0"/>
    <n v="0"/>
    <n v="0"/>
    <s v="--"/>
    <s v="--"/>
    <d v="1899-12-30T11:55:00"/>
    <d v="1899-12-30T00:00:00"/>
    <n v="0"/>
    <d v="1899-12-30T00:00:00"/>
    <s v="Não"/>
    <s v="00:02.78"/>
    <n v="3"/>
    <n v="0"/>
    <d v="1899-12-30T00:11:55"/>
    <d v="1899-12-30T00:11:55"/>
    <n v="17"/>
    <n v="31"/>
  </r>
  <r>
    <x v="2"/>
    <d v="2020-07-16T18:20:29"/>
    <s v="false"/>
    <s v="Run Workout"/>
    <n v="3.81"/>
    <n v="290"/>
    <d v="1899-12-30T00:34:44"/>
    <n v="139"/>
    <n v="172"/>
    <n v="3.2"/>
    <n v="116"/>
    <n v="160"/>
    <d v="1899-12-30T09:08:00"/>
    <d v="1899-12-30T04:57:00"/>
    <s v="--"/>
    <s v="--"/>
    <n v="0.92"/>
    <n v="0"/>
    <n v="0"/>
    <n v="0"/>
    <n v="0"/>
    <n v="0"/>
    <s v="--"/>
    <s v="--"/>
    <d v="1899-12-31T10:44:00"/>
    <d v="1899-12-30T00:00:00"/>
    <n v="0"/>
    <d v="1899-12-30T00:00:00"/>
    <s v="Não"/>
    <s v="00:03.23"/>
    <n v="10"/>
    <n v="0"/>
    <d v="1899-12-30T00:32:12"/>
    <d v="1899-12-30T00:34:44"/>
    <s v="--"/>
    <s v="--"/>
  </r>
  <r>
    <x v="2"/>
    <d v="2020-07-14T06:57:06"/>
    <s v="false"/>
    <s v="Corrida"/>
    <n v="2.58"/>
    <n v="200"/>
    <d v="1899-12-30T00:30:01"/>
    <n v="122"/>
    <n v="135"/>
    <n v="1.9"/>
    <n v="107"/>
    <n v="135"/>
    <d v="1899-12-30T11:39:00"/>
    <d v="1899-12-30T08:53:00"/>
    <s v="--"/>
    <s v="--"/>
    <n v="0.8"/>
    <n v="0"/>
    <n v="0"/>
    <n v="0"/>
    <n v="0"/>
    <n v="0"/>
    <s v="--"/>
    <s v="--"/>
    <d v="1899-12-31T06:01:00"/>
    <d v="1899-12-30T00:00:00"/>
    <n v="0"/>
    <d v="1899-12-30T00:00:00"/>
    <s v="Não"/>
    <s v="07:00.73"/>
    <n v="3"/>
    <n v="0"/>
    <d v="1899-12-30T00:29:27"/>
    <d v="1899-12-30T00:30:01"/>
    <s v="--"/>
    <s v="--"/>
  </r>
  <r>
    <x v="2"/>
    <d v="2020-07-11T08:17:04"/>
    <s v="false"/>
    <s v="Blumenau Corrida"/>
    <n v="2.0099999999999998"/>
    <n v="141"/>
    <d v="1899-12-30T00:11:39"/>
    <n v="176"/>
    <n v="190"/>
    <n v="3.3"/>
    <n v="157"/>
    <n v="162"/>
    <d v="1899-12-30T05:48:00"/>
    <d v="1899-12-30T04:50:00"/>
    <s v="--"/>
    <n v="6"/>
    <n v="1.1000000000000001"/>
    <n v="0"/>
    <n v="0"/>
    <n v="0"/>
    <n v="0"/>
    <n v="0"/>
    <s v="--"/>
    <s v="--"/>
    <d v="1899-12-30T11:39:00"/>
    <d v="1899-12-30T00:00:00"/>
    <n v="0"/>
    <d v="1899-12-30T00:00:00"/>
    <s v="Não"/>
    <s v="00:04.06"/>
    <n v="3"/>
    <n v="0"/>
    <d v="1899-12-30T00:11:39"/>
    <d v="1899-12-30T00:11:39"/>
    <n v="16"/>
    <n v="32"/>
  </r>
  <r>
    <x v="2"/>
    <d v="2020-07-09T07:01:05"/>
    <s v="false"/>
    <s v="Blumenau - Run Workout"/>
    <n v="3.84"/>
    <n v="325"/>
    <d v="1899-12-30T00:27:52"/>
    <n v="169"/>
    <n v="188"/>
    <n v="4.2"/>
    <n v="141"/>
    <n v="163"/>
    <d v="1899-12-30T07:16:00"/>
    <d v="1899-12-30T05:47:00"/>
    <n v="15"/>
    <n v="23"/>
    <n v="0.96"/>
    <n v="0"/>
    <n v="0"/>
    <n v="0"/>
    <n v="0"/>
    <n v="0"/>
    <s v="--"/>
    <s v="--"/>
    <d v="1899-12-31T03:52:00"/>
    <d v="1899-12-30T00:00:00"/>
    <n v="0"/>
    <d v="1899-12-30T00:00:00"/>
    <s v="Não"/>
    <s v="00:04.85"/>
    <n v="7"/>
    <n v="0"/>
    <d v="1899-12-30T00:27:50"/>
    <d v="1899-12-30T00:27:52"/>
    <n v="12"/>
    <n v="31"/>
  </r>
  <r>
    <x v="2"/>
    <d v="2020-07-07T07:12:25"/>
    <s v="false"/>
    <s v="Corrida"/>
    <n v="2.0099999999999998"/>
    <n v="145"/>
    <d v="1899-12-30T00:12:37"/>
    <n v="166"/>
    <n v="180"/>
    <n v="3.1"/>
    <n v="152"/>
    <n v="158"/>
    <d v="1899-12-30T06:17:00"/>
    <d v="1899-12-30T05:42:00"/>
    <s v="--"/>
    <s v="--"/>
    <n v="1.05"/>
    <n v="0"/>
    <n v="0"/>
    <n v="0"/>
    <n v="0"/>
    <n v="0"/>
    <s v="--"/>
    <s v="--"/>
    <d v="1899-12-30T12:37:00"/>
    <d v="1899-12-30T00:00:00"/>
    <n v="0"/>
    <d v="1899-12-30T00:00:00"/>
    <s v="Não"/>
    <s v="00:02.55"/>
    <n v="3"/>
    <n v="0"/>
    <d v="1899-12-30T00:12:33"/>
    <d v="1899-12-30T00:12:37"/>
    <s v="--"/>
    <s v="--"/>
  </r>
  <r>
    <x v="2"/>
    <d v="2020-06-24T19:11:00"/>
    <s v="false"/>
    <s v="Blumenau Corrida"/>
    <n v="1.95"/>
    <n v="142"/>
    <d v="1899-12-30T00:12:31"/>
    <s v="--"/>
    <s v="--"/>
    <s v="--"/>
    <n v="149"/>
    <n v="160"/>
    <d v="1899-12-30T06:24:00"/>
    <d v="1899-12-30T03:36:00"/>
    <n v="13"/>
    <n v="11"/>
    <n v="1.05"/>
    <n v="0"/>
    <n v="0"/>
    <n v="0"/>
    <n v="0"/>
    <n v="0"/>
    <s v="--"/>
    <s v="--"/>
    <d v="1899-12-30T12:31:00"/>
    <d v="1899-12-30T00:00:00"/>
    <n v="0"/>
    <d v="1899-12-30T00:00:00"/>
    <s v="Não"/>
    <s v="00:01.60"/>
    <n v="4"/>
    <n v="0"/>
    <d v="1899-12-30T00:12:12"/>
    <d v="1899-12-30T00:23:59"/>
    <n v="17"/>
    <n v="33"/>
  </r>
  <r>
    <x v="1"/>
    <d v="2020-06-22T06:55:17"/>
    <s v="false"/>
    <s v="Blumenau Ciclismo"/>
    <n v="11.53"/>
    <n v="554"/>
    <d v="1899-12-30T00:44:58"/>
    <n v="167"/>
    <n v="185"/>
    <n v="5"/>
    <s v="--"/>
    <s v="--"/>
    <n v="15.4"/>
    <n v="38.299999999999997"/>
    <n v="106"/>
    <n v="111"/>
    <n v="0"/>
    <n v="0"/>
    <n v="0"/>
    <n v="0"/>
    <n v="0"/>
    <n v="0"/>
    <s v="--"/>
    <s v="--"/>
    <d v="1899-12-31T20:58:00"/>
    <d v="1899-12-30T00:00:00"/>
    <n v="0"/>
    <d v="1899-12-30T00:00:00"/>
    <s v="Não"/>
    <s v="10:01.20"/>
    <n v="3"/>
    <n v="0"/>
    <d v="1899-12-30T00:42:07"/>
    <d v="1899-12-30T00:44:58"/>
    <n v="15"/>
    <n v="58"/>
  </r>
  <r>
    <x v="2"/>
    <d v="2020-06-10T06:58:12"/>
    <s v="false"/>
    <s v="Corrida"/>
    <n v="5.49"/>
    <n v="289"/>
    <d v="1899-12-30T01:00:03"/>
    <n v="115"/>
    <n v="128"/>
    <n v="1.8"/>
    <n v="110"/>
    <n v="138"/>
    <d v="1899-12-30T10:57:00"/>
    <d v="1899-12-30T08:21:00"/>
    <s v="--"/>
    <s v="--"/>
    <n v="0.84"/>
    <n v="0"/>
    <n v="0"/>
    <n v="0"/>
    <n v="0"/>
    <n v="0"/>
    <s v="--"/>
    <s v="--"/>
    <d v="1899-12-30T01:00:03"/>
    <d v="1899-12-30T00:00:00"/>
    <n v="0"/>
    <d v="1899-12-30T00:00:00"/>
    <s v="Não"/>
    <s v="05:30.44"/>
    <n v="6"/>
    <n v="0"/>
    <d v="1899-12-30T00:58:28"/>
    <d v="1899-12-30T01:00:03"/>
    <s v="--"/>
    <s v="--"/>
  </r>
  <r>
    <x v="2"/>
    <d v="2020-06-08T07:11:00"/>
    <s v="false"/>
    <s v="Blumenau Corrida"/>
    <n v="4.7699999999999996"/>
    <n v="256"/>
    <d v="1899-12-30T00:39:38"/>
    <n v="134"/>
    <n v="165"/>
    <n v="2.8"/>
    <n v="116"/>
    <n v="164"/>
    <d v="1899-12-30T08:19:00"/>
    <d v="1899-12-30T05:18:00"/>
    <n v="16"/>
    <n v="19"/>
    <n v="1.04"/>
    <n v="0"/>
    <n v="0"/>
    <n v="0"/>
    <n v="0"/>
    <n v="0"/>
    <s v="--"/>
    <s v="--"/>
    <d v="1899-12-31T15:38:00"/>
    <d v="1899-12-30T00:00:00"/>
    <n v="0"/>
    <d v="1899-12-30T00:00:00"/>
    <s v="Não"/>
    <s v="05:55.26"/>
    <n v="5"/>
    <n v="0"/>
    <d v="1899-12-30T00:39:31"/>
    <d v="1899-12-30T00:39:38"/>
    <n v="12"/>
    <n v="28"/>
  </r>
  <r>
    <x v="2"/>
    <d v="2020-06-03T06:58:10"/>
    <s v="false"/>
    <s v="Blumenau - Run Workout"/>
    <n v="8.8000000000000007"/>
    <n v="630"/>
    <d v="1899-12-30T01:02:59"/>
    <n v="162"/>
    <n v="188"/>
    <n v="5"/>
    <n v="134"/>
    <n v="174"/>
    <d v="1899-12-30T07:09:00"/>
    <d v="1899-12-30T03:27:00"/>
    <n v="14"/>
    <n v="17"/>
    <n v="1.01"/>
    <n v="0"/>
    <n v="0"/>
    <n v="0"/>
    <n v="0"/>
    <n v="0"/>
    <s v="--"/>
    <s v="--"/>
    <d v="1899-12-30T01:02:59"/>
    <d v="1899-12-30T00:00:00"/>
    <n v="0"/>
    <d v="1899-12-30T00:00:00"/>
    <s v="Não"/>
    <s v="01:30.00"/>
    <n v="22"/>
    <n v="0"/>
    <d v="1899-12-30T01:02:44"/>
    <d v="1899-12-30T01:02:59"/>
    <n v="14"/>
    <n v="30"/>
  </r>
  <r>
    <x v="3"/>
    <d v="2020-06-01T17:38:45"/>
    <s v="false"/>
    <s v="Corrida"/>
    <n v="0"/>
    <n v="680"/>
    <d v="1899-12-30T00:47:20"/>
    <n v="171"/>
    <n v="186"/>
    <s v="--"/>
    <s v="--"/>
    <s v="--"/>
    <s v="--"/>
    <s v="--"/>
    <s v="--"/>
    <s v="--"/>
    <n v="0"/>
    <n v="0"/>
    <n v="0"/>
    <n v="0"/>
    <n v="0"/>
    <n v="0"/>
    <s v="--"/>
    <s v="--"/>
    <d v="1899-12-31T23:20:00"/>
    <d v="1899-12-30T00:00:00"/>
    <n v="0"/>
    <d v="1899-12-30T00:00:00"/>
    <s v="Não"/>
    <s v="00:00.00"/>
    <n v="1"/>
    <n v="0"/>
    <d v="1899-12-30T00:00:00"/>
    <d v="1899-12-30T00:47:20"/>
    <s v="--"/>
    <s v="--"/>
  </r>
  <r>
    <x v="2"/>
    <d v="2020-05-29T17:54:44"/>
    <s v="false"/>
    <s v="Corrida"/>
    <n v="0"/>
    <n v="794"/>
    <d v="1899-12-30T01:00:58"/>
    <n v="163"/>
    <n v="181"/>
    <s v="--"/>
    <s v="--"/>
    <s v="--"/>
    <s v="--"/>
    <s v="--"/>
    <s v="--"/>
    <s v="--"/>
    <n v="0"/>
    <n v="0"/>
    <n v="0"/>
    <n v="0"/>
    <n v="0"/>
    <n v="0"/>
    <s v="--"/>
    <s v="--"/>
    <d v="1899-12-30T01:00:58"/>
    <d v="1899-12-30T00:00:00"/>
    <n v="0"/>
    <d v="1899-12-30T00:00:00"/>
    <s v="Não"/>
    <s v="00:00.00"/>
    <n v="1"/>
    <n v="0"/>
    <d v="1899-12-30T00:00:00"/>
    <d v="1899-12-30T01:00:58"/>
    <s v="--"/>
    <s v="--"/>
  </r>
  <r>
    <x v="2"/>
    <d v="2020-05-27T06:56:19"/>
    <s v="false"/>
    <s v="Blumenau Corrida"/>
    <n v="8.58"/>
    <n v="756"/>
    <d v="1899-12-30T00:54:06"/>
    <n v="169"/>
    <n v="181"/>
    <s v="--"/>
    <s v="--"/>
    <s v="--"/>
    <d v="1899-12-30T06:19:00"/>
    <d v="1899-12-30T03:08:00"/>
    <n v="95"/>
    <n v="100"/>
    <n v="0"/>
    <n v="0"/>
    <n v="0"/>
    <n v="0"/>
    <n v="0"/>
    <n v="0"/>
    <s v="--"/>
    <s v="--"/>
    <d v="1900-01-01T06:06:00"/>
    <d v="1899-12-30T00:00:00"/>
    <n v="0"/>
    <d v="1899-12-30T00:00:00"/>
    <s v="Não"/>
    <s v="00:00.00"/>
    <n v="1"/>
    <n v="0"/>
    <d v="1899-12-30T00:52:43"/>
    <d v="1899-12-30T00:56:03"/>
    <n v="12"/>
    <n v="56"/>
  </r>
  <r>
    <x v="2"/>
    <d v="2020-05-25T07:11:42"/>
    <s v="false"/>
    <s v="Blumenau Corrida"/>
    <n v="1.9"/>
    <n v="147"/>
    <d v="1899-12-30T00:19:00"/>
    <n v="128"/>
    <n v="143"/>
    <s v="--"/>
    <s v="--"/>
    <s v="--"/>
    <d v="1899-12-30T10:01:00"/>
    <d v="1899-12-30T08:32:00"/>
    <n v="15"/>
    <n v="5"/>
    <n v="0"/>
    <n v="0"/>
    <n v="0"/>
    <n v="0"/>
    <n v="0"/>
    <n v="0"/>
    <s v="--"/>
    <s v="--"/>
    <d v="1899-12-30T19:00:00"/>
    <d v="1899-12-30T00:00:00"/>
    <n v="0"/>
    <d v="1899-12-30T00:00:00"/>
    <s v="Não"/>
    <s v="00:00.00"/>
    <n v="1"/>
    <n v="0"/>
    <d v="1899-12-30T00:19:00"/>
    <d v="1899-12-30T00:19:00"/>
    <n v="12"/>
    <n v="28"/>
  </r>
  <r>
    <x v="2"/>
    <d v="2020-05-25T07:06:09"/>
    <s v="false"/>
    <s v="Blumenau Corrida"/>
    <n v="1"/>
    <n v="64"/>
    <d v="1899-12-30T00:04:22"/>
    <n v="174"/>
    <n v="180"/>
    <s v="--"/>
    <s v="--"/>
    <s v="--"/>
    <d v="1899-12-30T04:22:00"/>
    <d v="1899-12-30T03:54:00"/>
    <n v="1"/>
    <s v="--"/>
    <n v="0"/>
    <n v="0"/>
    <n v="0"/>
    <n v="0"/>
    <n v="0"/>
    <n v="0"/>
    <s v="--"/>
    <s v="--"/>
    <d v="1899-12-30T00:04:22"/>
    <d v="1899-12-30T00:00:00"/>
    <n v="0"/>
    <d v="1899-12-30T00:00:00"/>
    <s v="Não"/>
    <s v="00:00.00"/>
    <n v="1"/>
    <n v="0"/>
    <d v="1899-12-30T00:04:22"/>
    <d v="1899-12-30T00:04:22"/>
    <n v="12"/>
    <n v="16"/>
  </r>
  <r>
    <x v="2"/>
    <d v="2020-05-25T06:52:36"/>
    <s v="false"/>
    <s v="Blumenau Corrida"/>
    <n v="1.46"/>
    <n v="80"/>
    <d v="1899-12-30T00:12:56"/>
    <n v="118"/>
    <n v="160"/>
    <s v="--"/>
    <s v="--"/>
    <s v="--"/>
    <d v="1899-12-30T08:52:00"/>
    <d v="1899-12-30T05:52:00"/>
    <n v="3"/>
    <n v="17"/>
    <n v="0"/>
    <n v="0"/>
    <n v="0"/>
    <n v="0"/>
    <n v="0"/>
    <n v="0"/>
    <s v="--"/>
    <s v="--"/>
    <d v="1899-12-30T12:56:00"/>
    <d v="1899-12-30T00:00:00"/>
    <n v="0"/>
    <d v="1899-12-30T00:00:00"/>
    <s v="Não"/>
    <s v="00:00.00"/>
    <n v="1"/>
    <n v="0"/>
    <d v="1899-12-30T00:12:56"/>
    <d v="1899-12-30T00:12:56"/>
    <n v="12"/>
    <n v="26"/>
  </r>
  <r>
    <x v="3"/>
    <d v="2020-05-22T16:20:09"/>
    <s v="false"/>
    <s v="Corrida"/>
    <n v="0"/>
    <n v="627"/>
    <d v="1899-12-30T00:49:18"/>
    <n v="161"/>
    <n v="190"/>
    <s v="--"/>
    <s v="--"/>
    <s v="--"/>
    <s v="--"/>
    <s v="--"/>
    <s v="--"/>
    <s v="--"/>
    <n v="0"/>
    <n v="0"/>
    <n v="0"/>
    <n v="0"/>
    <n v="0"/>
    <n v="0"/>
    <s v="--"/>
    <s v="--"/>
    <d v="1900-01-01T01:18:00"/>
    <d v="1899-12-30T00:00:00"/>
    <n v="0"/>
    <d v="1899-12-30T00:00:00"/>
    <s v="Não"/>
    <s v="00:00.00"/>
    <n v="1"/>
    <n v="0"/>
    <d v="1899-12-30T00:00:00"/>
    <d v="1899-12-30T00:49:18"/>
    <s v="--"/>
    <s v="--"/>
  </r>
  <r>
    <x v="2"/>
    <d v="2020-05-20T17:22:39"/>
    <s v="false"/>
    <s v="Blumenau Corrida"/>
    <n v="5.9"/>
    <n v="516"/>
    <d v="1899-12-30T00:35:35"/>
    <n v="172"/>
    <n v="185"/>
    <s v="--"/>
    <s v="--"/>
    <s v="--"/>
    <d v="1899-12-30T06:02:00"/>
    <d v="1899-12-30T05:05:00"/>
    <n v="64"/>
    <n v="68"/>
    <n v="0"/>
    <n v="0"/>
    <n v="0"/>
    <n v="0"/>
    <n v="0"/>
    <n v="0"/>
    <s v="--"/>
    <s v="--"/>
    <d v="1899-12-31T11:35:00"/>
    <d v="1899-12-30T00:00:00"/>
    <n v="0"/>
    <d v="1899-12-30T00:00:00"/>
    <s v="Não"/>
    <s v="00:00.00"/>
    <n v="1"/>
    <n v="0"/>
    <d v="1899-12-30T00:35:29"/>
    <d v="1899-12-30T00:35:35"/>
    <n v="12"/>
    <n v="56"/>
  </r>
  <r>
    <x v="2"/>
    <d v="2020-05-17T08:35:35"/>
    <s v="false"/>
    <s v="Blumenau Corrida"/>
    <n v="13.51"/>
    <n v="1185"/>
    <d v="1899-12-30T01:25:57"/>
    <n v="168"/>
    <n v="204"/>
    <s v="--"/>
    <s v="--"/>
    <s v="--"/>
    <d v="1899-12-30T06:22:00"/>
    <d v="1899-12-30T02:11:00"/>
    <n v="221"/>
    <n v="225"/>
    <n v="0"/>
    <n v="0"/>
    <n v="0"/>
    <n v="0"/>
    <n v="0"/>
    <n v="0"/>
    <s v="--"/>
    <s v="--"/>
    <d v="1899-12-30T01:25:57"/>
    <d v="1899-12-30T00:00:00"/>
    <n v="0"/>
    <d v="1899-12-30T00:00:00"/>
    <s v="Não"/>
    <s v="00:00.00"/>
    <n v="1"/>
    <n v="0"/>
    <d v="1899-12-30T01:25:57"/>
    <d v="1899-12-30T01:25:57"/>
    <n v="20"/>
    <n v="117"/>
  </r>
  <r>
    <x v="3"/>
    <d v="2020-05-15T18:08:07"/>
    <s v="false"/>
    <s v="Corrida"/>
    <n v="0"/>
    <n v="557"/>
    <d v="1899-12-30T00:40:12"/>
    <n v="168"/>
    <n v="180"/>
    <s v="--"/>
    <s v="--"/>
    <s v="--"/>
    <s v="--"/>
    <s v="--"/>
    <s v="--"/>
    <s v="--"/>
    <n v="0"/>
    <n v="0"/>
    <n v="0"/>
    <n v="0"/>
    <n v="0"/>
    <n v="0"/>
    <s v="--"/>
    <s v="--"/>
    <d v="1899-12-31T16:12:00"/>
    <d v="1899-12-30T00:00:00"/>
    <n v="0"/>
    <d v="1899-12-30T00:00:00"/>
    <s v="Não"/>
    <s v="00:00.00"/>
    <n v="1"/>
    <n v="0"/>
    <d v="1899-12-30T00:00:00"/>
    <d v="1899-12-30T00:40:12"/>
    <s v="--"/>
    <s v="--"/>
  </r>
  <r>
    <x v="3"/>
    <d v="2020-05-13T18:59:10"/>
    <s v="false"/>
    <s v="Corrida"/>
    <n v="0"/>
    <n v="608"/>
    <d v="1899-12-30T00:46:26"/>
    <n v="163"/>
    <n v="187"/>
    <s v="--"/>
    <s v="--"/>
    <s v="--"/>
    <s v="--"/>
    <s v="--"/>
    <s v="--"/>
    <s v="--"/>
    <n v="0"/>
    <n v="0"/>
    <n v="0"/>
    <n v="0"/>
    <n v="0"/>
    <n v="0"/>
    <s v="--"/>
    <s v="--"/>
    <d v="1899-12-31T22:26:00"/>
    <d v="1899-12-30T00:00:00"/>
    <n v="0"/>
    <d v="1899-12-30T00:00:00"/>
    <s v="Não"/>
    <s v="00:00.00"/>
    <n v="1"/>
    <n v="0"/>
    <d v="1899-12-30T00:00:00"/>
    <d v="1899-12-30T00:46:26"/>
    <s v="--"/>
    <s v="--"/>
  </r>
  <r>
    <x v="0"/>
    <d v="2020-05-12T06:55:30"/>
    <s v="false"/>
    <s v="Musculação"/>
    <n v="0"/>
    <n v="331"/>
    <d v="1899-12-30T00:57:42"/>
    <n v="115"/>
    <n v="152"/>
    <s v="--"/>
    <s v="--"/>
    <s v="--"/>
    <s v="--"/>
    <s v="--"/>
    <s v="--"/>
    <s v="--"/>
    <n v="0"/>
    <n v="0"/>
    <n v="0"/>
    <n v="0"/>
    <n v="0"/>
    <n v="0"/>
    <s v="--"/>
    <s v="--"/>
    <d v="1900-01-01T09:42:00"/>
    <d v="1899-12-30T00:00:00"/>
    <n v="0"/>
    <d v="1899-12-30T00:00:00"/>
    <s v="Não"/>
    <s v="00:00.00"/>
    <n v="1"/>
    <n v="0"/>
    <d v="1899-12-30T00:00:00"/>
    <d v="1899-12-30T00:57:42"/>
    <s v="--"/>
    <s v="--"/>
  </r>
  <r>
    <x v="2"/>
    <d v="2020-05-11T06:59:45"/>
    <s v="false"/>
    <s v="Blumenau Corrida"/>
    <n v="6.02"/>
    <n v="473"/>
    <d v="1899-12-30T00:34:55"/>
    <n v="166"/>
    <n v="183"/>
    <s v="--"/>
    <s v="--"/>
    <s v="--"/>
    <d v="1899-12-30T05:48:00"/>
    <d v="1899-12-30T02:12:00"/>
    <n v="63"/>
    <n v="67"/>
    <n v="0"/>
    <n v="0"/>
    <n v="0"/>
    <n v="0"/>
    <n v="0"/>
    <n v="0"/>
    <s v="--"/>
    <s v="--"/>
    <d v="1899-12-31T10:55:00"/>
    <d v="1899-12-30T00:00:00"/>
    <n v="0"/>
    <d v="1899-12-30T00:00:00"/>
    <s v="Não"/>
    <s v="00:10.37"/>
    <n v="4"/>
    <n v="0"/>
    <d v="1899-12-30T00:32:12"/>
    <d v="1899-12-30T00:34:55"/>
    <n v="22"/>
    <n v="55"/>
  </r>
  <r>
    <x v="2"/>
    <d v="2020-05-10T08:56:49"/>
    <s v="false"/>
    <s v="Blumenau Corrida"/>
    <n v="12.82"/>
    <n v="1125"/>
    <d v="1899-12-30T01:18:55"/>
    <n v="171"/>
    <n v="182"/>
    <s v="--"/>
    <s v="--"/>
    <s v="--"/>
    <d v="1899-12-30T06:09:00"/>
    <d v="1899-12-30T02:23:00"/>
    <n v="188"/>
    <n v="192"/>
    <n v="0"/>
    <n v="0"/>
    <n v="0"/>
    <n v="0"/>
    <n v="0"/>
    <n v="0"/>
    <s v="--"/>
    <s v="--"/>
    <d v="1899-12-30T01:18:55"/>
    <d v="1899-12-30T00:00:00"/>
    <n v="0"/>
    <d v="1899-12-30T00:00:00"/>
    <s v="Não"/>
    <s v="00:00.00"/>
    <n v="1"/>
    <n v="0"/>
    <d v="1899-12-30T01:18:55"/>
    <d v="1899-12-30T01:18:55"/>
    <n v="20"/>
    <n v="117"/>
  </r>
  <r>
    <x v="2"/>
    <d v="2020-05-08T06:49:48"/>
    <s v="false"/>
    <s v="Blumenau Corrida"/>
    <n v="4.71"/>
    <n v="538"/>
    <d v="1899-12-30T00:41:37"/>
    <n v="164"/>
    <n v="184"/>
    <s v="--"/>
    <s v="--"/>
    <s v="--"/>
    <d v="1899-12-30T08:50:00"/>
    <d v="1899-12-30T01:00:00"/>
    <n v="75"/>
    <n v="75"/>
    <n v="0"/>
    <n v="0"/>
    <n v="0"/>
    <n v="0"/>
    <n v="0"/>
    <n v="0"/>
    <s v="--"/>
    <s v="--"/>
    <d v="1899-12-31T17:37:00"/>
    <d v="1899-12-30T00:00:00"/>
    <n v="0"/>
    <d v="1899-12-30T00:00:00"/>
    <s v="Não"/>
    <s v="00:55.56"/>
    <n v="21"/>
    <n v="0"/>
    <d v="1899-12-30T00:36:04"/>
    <d v="1899-12-30T00:41:37"/>
    <n v="18"/>
    <n v="36"/>
  </r>
  <r>
    <x v="0"/>
    <d v="2020-05-07T18:41:01"/>
    <s v="false"/>
    <s v="Musculação"/>
    <n v="0"/>
    <n v="290"/>
    <d v="1899-12-30T00:52:56"/>
    <n v="113"/>
    <n v="158"/>
    <s v="--"/>
    <s v="--"/>
    <s v="--"/>
    <s v="--"/>
    <s v="--"/>
    <s v="--"/>
    <s v="--"/>
    <n v="0"/>
    <n v="0"/>
    <n v="0"/>
    <n v="0"/>
    <n v="0"/>
    <n v="0"/>
    <s v="--"/>
    <s v="--"/>
    <d v="1900-01-01T04:56:00"/>
    <d v="1899-12-30T00:00:00"/>
    <n v="0"/>
    <d v="1899-12-30T00:00:00"/>
    <s v="Não"/>
    <s v="00:00.00"/>
    <n v="1"/>
    <n v="0"/>
    <d v="1899-12-30T00:00:00"/>
    <d v="1899-12-30T00:52:56"/>
    <s v="--"/>
    <s v="--"/>
  </r>
  <r>
    <x v="2"/>
    <d v="2020-05-06T06:41:37"/>
    <s v="false"/>
    <s v="Blumenau Corrida"/>
    <n v="9.24"/>
    <n v="822"/>
    <d v="1899-12-30T00:56:30"/>
    <n v="173"/>
    <n v="184"/>
    <s v="--"/>
    <s v="--"/>
    <s v="--"/>
    <d v="1899-12-30T06:07:00"/>
    <d v="1899-12-30T04:03:00"/>
    <n v="104"/>
    <n v="107"/>
    <n v="0"/>
    <n v="0"/>
    <n v="0"/>
    <n v="0"/>
    <n v="0"/>
    <n v="0"/>
    <s v="--"/>
    <s v="--"/>
    <d v="1900-01-01T08:30:00"/>
    <d v="1899-12-30T00:00:00"/>
    <n v="0"/>
    <d v="1899-12-30T00:00:00"/>
    <s v="Não"/>
    <s v="01:23.65"/>
    <n v="10"/>
    <n v="0"/>
    <d v="1899-12-30T00:56:28"/>
    <d v="1899-12-30T00:56:30"/>
    <n v="12"/>
    <n v="56"/>
  </r>
  <r>
    <x v="0"/>
    <d v="2020-05-05T06:31:09"/>
    <s v="false"/>
    <s v="Musculação"/>
    <n v="0"/>
    <n v="212"/>
    <d v="1899-12-30T01:00:23"/>
    <n v="100"/>
    <n v="122"/>
    <s v="--"/>
    <s v="--"/>
    <s v="--"/>
    <s v="--"/>
    <s v="--"/>
    <s v="--"/>
    <s v="--"/>
    <n v="0"/>
    <n v="0"/>
    <n v="0"/>
    <n v="0"/>
    <n v="0"/>
    <n v="0"/>
    <s v="--"/>
    <s v="--"/>
    <d v="1899-12-30T01:00:23"/>
    <d v="1899-12-30T00:00:00"/>
    <n v="0"/>
    <d v="1899-12-30T00:00:00"/>
    <s v="Não"/>
    <s v="00:00.00"/>
    <n v="1"/>
    <n v="0"/>
    <d v="1899-12-30T00:00:00"/>
    <d v="1899-12-30T01:00:23"/>
    <s v="--"/>
    <s v="--"/>
  </r>
  <r>
    <x v="2"/>
    <d v="2020-05-04T17:35:48"/>
    <s v="false"/>
    <s v="Blumenau Corrida"/>
    <n v="6"/>
    <n v="503"/>
    <d v="1899-12-30T00:36:54"/>
    <n v="167"/>
    <n v="183"/>
    <s v="--"/>
    <s v="--"/>
    <s v="--"/>
    <d v="1899-12-30T06:09:00"/>
    <d v="1899-12-30T01:49:00"/>
    <n v="65"/>
    <n v="69"/>
    <n v="0"/>
    <n v="0"/>
    <n v="0"/>
    <n v="0"/>
    <n v="0"/>
    <n v="0"/>
    <s v="--"/>
    <s v="--"/>
    <d v="1899-12-31T12:54:00"/>
    <d v="1899-12-30T00:00:00"/>
    <n v="0"/>
    <d v="1899-12-30T00:00:00"/>
    <s v="Não"/>
    <s v="02:57.84"/>
    <n v="5"/>
    <n v="0"/>
    <d v="1899-12-30T00:32:57"/>
    <d v="1899-12-30T00:36:54"/>
    <n v="22"/>
    <n v="55"/>
  </r>
  <r>
    <x v="2"/>
    <d v="2020-05-03T08:45:24"/>
    <s v="false"/>
    <s v="Blumenau Corrida"/>
    <n v="10.3"/>
    <n v="860"/>
    <d v="1899-12-30T01:00:01"/>
    <n v="172"/>
    <n v="184"/>
    <s v="--"/>
    <s v="--"/>
    <s v="--"/>
    <d v="1899-12-30T05:50:00"/>
    <d v="1899-12-30T03:17:00"/>
    <n v="110"/>
    <n v="109"/>
    <n v="0"/>
    <n v="0"/>
    <n v="0"/>
    <n v="0"/>
    <n v="0"/>
    <n v="0"/>
    <s v="--"/>
    <s v="--"/>
    <d v="1899-12-30T01:00:01"/>
    <d v="1899-12-30T00:00:00"/>
    <n v="0"/>
    <d v="1899-12-30T00:00:00"/>
    <s v="Não"/>
    <s v="01:39.89"/>
    <n v="11"/>
    <n v="0"/>
    <d v="1899-12-30T00:59:58"/>
    <d v="1899-12-30T01:00:01"/>
    <n v="14"/>
    <n v="60"/>
  </r>
  <r>
    <x v="2"/>
    <d v="2020-05-01T08:21:11"/>
    <s v="false"/>
    <s v="Blumenau Corrida"/>
    <n v="11.6"/>
    <n v="1036"/>
    <d v="1899-12-30T01:12:38"/>
    <n v="171"/>
    <n v="183"/>
    <s v="--"/>
    <s v="--"/>
    <s v="--"/>
    <d v="1899-12-30T06:16:00"/>
    <d v="1899-12-30T04:36:00"/>
    <n v="178"/>
    <n v="184"/>
    <n v="0"/>
    <n v="0"/>
    <n v="0"/>
    <n v="0"/>
    <n v="0"/>
    <n v="0"/>
    <s v="--"/>
    <s v="--"/>
    <d v="1899-12-30T01:12:38"/>
    <d v="1899-12-30T00:00:00"/>
    <n v="0"/>
    <d v="1899-12-30T00:00:00"/>
    <s v="Não"/>
    <s v="00:00.00"/>
    <n v="1"/>
    <n v="0"/>
    <d v="1899-12-30T01:12:38"/>
    <d v="1899-12-30T01:12:38"/>
    <n v="20"/>
    <n v="116"/>
  </r>
  <r>
    <x v="0"/>
    <d v="2020-04-30T18:43:03"/>
    <s v="false"/>
    <s v="Musculação"/>
    <n v="0"/>
    <n v="216"/>
    <d v="1899-12-30T00:41:17"/>
    <n v="111"/>
    <n v="161"/>
    <s v="--"/>
    <s v="--"/>
    <s v="--"/>
    <s v="--"/>
    <s v="--"/>
    <s v="--"/>
    <s v="--"/>
    <n v="0"/>
    <n v="0"/>
    <n v="0"/>
    <n v="0"/>
    <n v="0"/>
    <n v="0"/>
    <s v="--"/>
    <s v="--"/>
    <d v="1899-12-31T17:17:00"/>
    <d v="1899-12-30T00:00:00"/>
    <n v="0"/>
    <d v="1899-12-30T00:00:00"/>
    <s v="Não"/>
    <s v="00:00.00"/>
    <n v="1"/>
    <n v="0"/>
    <d v="1899-12-30T00:00:00"/>
    <d v="1899-12-30T00:41:17"/>
    <s v="--"/>
    <s v="--"/>
  </r>
  <r>
    <x v="2"/>
    <d v="2020-04-29T06:31:42"/>
    <s v="false"/>
    <s v="Blumenau Corrida"/>
    <n v="6.41"/>
    <n v="586"/>
    <d v="1899-12-30T00:51:44"/>
    <n v="153"/>
    <n v="182"/>
    <s v="--"/>
    <s v="--"/>
    <s v="--"/>
    <d v="1899-12-30T08:04:00"/>
    <d v="1899-12-30T03:47:00"/>
    <n v="18"/>
    <n v="30"/>
    <n v="0"/>
    <n v="0"/>
    <n v="0"/>
    <n v="0"/>
    <n v="0"/>
    <n v="0"/>
    <s v="--"/>
    <s v="--"/>
    <d v="1900-01-01T03:44:00"/>
    <d v="1899-12-30T00:00:00"/>
    <n v="0"/>
    <d v="1899-12-30T00:00:00"/>
    <s v="Não"/>
    <s v="00:05.33"/>
    <n v="22"/>
    <n v="0"/>
    <d v="1899-12-30T00:40:38"/>
    <d v="1899-12-30T00:51:44"/>
    <n v="12"/>
    <n v="31"/>
  </r>
  <r>
    <x v="0"/>
    <d v="2020-04-28T06:29:00"/>
    <s v="false"/>
    <s v="Musculação"/>
    <n v="0"/>
    <n v="179"/>
    <d v="1899-12-30T00:56:14"/>
    <n v="98"/>
    <n v="120"/>
    <s v="--"/>
    <s v="--"/>
    <s v="--"/>
    <s v="--"/>
    <s v="--"/>
    <s v="--"/>
    <s v="--"/>
    <n v="0"/>
    <n v="0"/>
    <n v="0"/>
    <n v="0"/>
    <n v="0"/>
    <n v="0"/>
    <s v="--"/>
    <s v="--"/>
    <d v="1900-01-01T08:14:00"/>
    <d v="1899-12-30T00:00:00"/>
    <n v="0"/>
    <d v="1899-12-30T00:00:00"/>
    <s v="Não"/>
    <s v="00:00.00"/>
    <n v="1"/>
    <n v="0"/>
    <d v="1899-12-30T00:00:00"/>
    <d v="1899-12-30T00:56:14"/>
    <s v="--"/>
    <s v="--"/>
  </r>
  <r>
    <x v="2"/>
    <d v="2020-04-27T06:30:05"/>
    <s v="false"/>
    <s v="Blumenau Corrida"/>
    <n v="7"/>
    <n v="577"/>
    <d v="1899-12-30T00:45:17"/>
    <n v="162"/>
    <n v="182"/>
    <s v="--"/>
    <s v="--"/>
    <s v="--"/>
    <d v="1899-12-30T06:28:00"/>
    <d v="1899-12-30T02:33:00"/>
    <n v="24"/>
    <n v="40"/>
    <n v="0"/>
    <n v="0"/>
    <n v="0"/>
    <n v="0"/>
    <n v="0"/>
    <n v="0"/>
    <s v="--"/>
    <s v="--"/>
    <d v="1899-12-31T21:17:00"/>
    <d v="1899-12-30T00:00:00"/>
    <n v="0"/>
    <d v="1899-12-30T00:00:00"/>
    <s v="Não"/>
    <s v="01:00.28"/>
    <n v="9"/>
    <n v="0"/>
    <d v="1899-12-30T00:40:52"/>
    <d v="1899-12-30T00:45:17"/>
    <n v="12"/>
    <n v="28"/>
  </r>
  <r>
    <x v="2"/>
    <d v="2020-04-25T07:36:09"/>
    <s v="false"/>
    <s v="Blumenau Corrida"/>
    <n v="9.44"/>
    <n v="871"/>
    <d v="1899-12-30T01:00:01"/>
    <n v="173"/>
    <n v="186"/>
    <s v="--"/>
    <s v="--"/>
    <s v="--"/>
    <d v="1899-12-30T06:21:00"/>
    <d v="1899-12-30T02:31:00"/>
    <n v="143"/>
    <n v="147"/>
    <n v="0"/>
    <n v="0"/>
    <n v="0"/>
    <n v="0"/>
    <n v="0"/>
    <n v="0"/>
    <s v="--"/>
    <s v="--"/>
    <d v="1899-12-30T01:00:01"/>
    <d v="1899-12-30T00:00:00"/>
    <n v="0"/>
    <d v="1899-12-30T00:00:00"/>
    <s v="Não"/>
    <s v="02:36.71"/>
    <n v="10"/>
    <n v="0"/>
    <d v="1899-12-30T00:59:34"/>
    <d v="1899-12-30T01:00:01"/>
    <n v="21"/>
    <n v="71"/>
  </r>
  <r>
    <x v="2"/>
    <d v="2020-04-24T17:27:20"/>
    <s v="false"/>
    <s v="Blumenau Corrida"/>
    <n v="8"/>
    <n v="708"/>
    <d v="1899-12-30T00:48:39"/>
    <n v="173"/>
    <n v="184"/>
    <s v="--"/>
    <s v="--"/>
    <s v="--"/>
    <d v="1899-12-30T06:05:00"/>
    <d v="1899-12-30T02:41:00"/>
    <n v="117"/>
    <n v="116"/>
    <n v="0"/>
    <n v="0"/>
    <n v="0"/>
    <n v="0"/>
    <n v="0"/>
    <n v="0"/>
    <s v="--"/>
    <s v="--"/>
    <d v="1900-01-01T00:39:00"/>
    <d v="1899-12-30T00:00:00"/>
    <n v="0"/>
    <d v="1899-12-30T00:00:00"/>
    <s v="Não"/>
    <s v="05:47.12"/>
    <n v="8"/>
    <n v="0"/>
    <d v="1899-12-30T00:48:37"/>
    <d v="1899-12-30T00:48:39"/>
    <n v="21"/>
    <n v="60"/>
  </r>
  <r>
    <x v="0"/>
    <d v="2020-04-23T06:30:02"/>
    <s v="false"/>
    <s v="Musculação"/>
    <n v="0"/>
    <n v="355"/>
    <d v="1899-12-30T00:56:05"/>
    <n v="119"/>
    <n v="161"/>
    <s v="--"/>
    <s v="--"/>
    <s v="--"/>
    <s v="--"/>
    <s v="--"/>
    <s v="--"/>
    <s v="--"/>
    <n v="0"/>
    <n v="0"/>
    <n v="0"/>
    <n v="0"/>
    <n v="0"/>
    <n v="0"/>
    <s v="--"/>
    <s v="--"/>
    <d v="1900-01-01T08:05:00"/>
    <d v="1899-12-30T00:00:00"/>
    <n v="0"/>
    <d v="1899-12-30T00:00:00"/>
    <s v="Não"/>
    <s v="00:00.00"/>
    <n v="1"/>
    <n v="0"/>
    <d v="1899-12-30T00:00:00"/>
    <d v="1899-12-30T00:56:05"/>
    <s v="--"/>
    <s v="--"/>
  </r>
  <r>
    <x v="2"/>
    <d v="2020-04-22T06:30:38"/>
    <s v="false"/>
    <s v="Blumenau Corrida"/>
    <n v="9.01"/>
    <n v="758"/>
    <d v="1899-12-30T00:54:32"/>
    <n v="169"/>
    <n v="184"/>
    <s v="--"/>
    <s v="--"/>
    <s v="--"/>
    <d v="1899-12-30T06:03:00"/>
    <d v="1899-12-30T03:08:00"/>
    <n v="138"/>
    <n v="140"/>
    <n v="0"/>
    <n v="0"/>
    <n v="0"/>
    <n v="0"/>
    <n v="0"/>
    <n v="0"/>
    <s v="--"/>
    <s v="--"/>
    <d v="1900-01-01T06:32:00"/>
    <d v="1899-12-30T00:00:00"/>
    <n v="0"/>
    <d v="1899-12-30T00:00:00"/>
    <s v="Não"/>
    <s v="00:08.21"/>
    <n v="13"/>
    <n v="0"/>
    <d v="1899-12-30T00:54:29"/>
    <d v="1899-12-30T00:54:32"/>
    <n v="21"/>
    <n v="59"/>
  </r>
  <r>
    <x v="2"/>
    <d v="2020-04-20T06:59:59"/>
    <s v="false"/>
    <s v="Blumenau Corrida"/>
    <n v="5"/>
    <n v="426"/>
    <d v="1899-12-30T00:31:00"/>
    <n v="168"/>
    <n v="187"/>
    <s v="--"/>
    <s v="--"/>
    <s v="--"/>
    <d v="1899-12-30T06:12:00"/>
    <d v="1899-12-30T04:13:00"/>
    <n v="11"/>
    <n v="25"/>
    <n v="0"/>
    <n v="0"/>
    <n v="0"/>
    <n v="0"/>
    <n v="0"/>
    <n v="0"/>
    <s v="--"/>
    <s v="--"/>
    <d v="1899-12-31T07:00:00"/>
    <d v="1899-12-30T00:00:00"/>
    <n v="0"/>
    <d v="1899-12-30T00:00:00"/>
    <s v="Não"/>
    <s v="01:09.44"/>
    <n v="7"/>
    <n v="0"/>
    <d v="1899-12-30T00:26:20"/>
    <d v="1899-12-30T00:31:00"/>
    <n v="12"/>
    <n v="30"/>
  </r>
  <r>
    <x v="2"/>
    <d v="2020-04-18T07:17:43"/>
    <s v="false"/>
    <s v="Blumenau Corrida"/>
    <n v="9.69"/>
    <n v="881"/>
    <d v="1899-12-30T01:00:02"/>
    <n v="174"/>
    <n v="184"/>
    <s v="--"/>
    <s v="--"/>
    <s v="--"/>
    <d v="1899-12-30T06:12:00"/>
    <d v="1899-12-30T02:25:00"/>
    <n v="147"/>
    <n v="151"/>
    <n v="0"/>
    <n v="0"/>
    <n v="0"/>
    <n v="0"/>
    <n v="0"/>
    <n v="0"/>
    <s v="--"/>
    <s v="--"/>
    <d v="1899-12-30T01:00:02"/>
    <d v="1899-12-30T00:00:00"/>
    <n v="0"/>
    <d v="1899-12-30T00:00:00"/>
    <s v="Não"/>
    <s v="03:59.79"/>
    <n v="10"/>
    <n v="0"/>
    <d v="1899-12-30T01:00:00"/>
    <d v="1899-12-30T01:00:02"/>
    <n v="22"/>
    <n v="73"/>
  </r>
  <r>
    <x v="2"/>
    <d v="2020-04-17T06:50:24"/>
    <s v="false"/>
    <s v="Blumenau Corrida"/>
    <n v="5.16"/>
    <n v="433"/>
    <d v="1899-12-30T00:30:02"/>
    <n v="172"/>
    <n v="187"/>
    <s v="--"/>
    <s v="--"/>
    <s v="--"/>
    <d v="1899-12-30T05:49:00"/>
    <d v="1899-12-30T04:41:00"/>
    <n v="27"/>
    <n v="30"/>
    <n v="0"/>
    <n v="0"/>
    <n v="0"/>
    <n v="0"/>
    <n v="0"/>
    <n v="0"/>
    <s v="--"/>
    <s v="--"/>
    <d v="1899-12-31T06:02:00"/>
    <d v="1899-12-30T00:00:00"/>
    <n v="0"/>
    <d v="1899-12-30T00:00:00"/>
    <s v="Não"/>
    <s v="00:00.00"/>
    <n v="1"/>
    <n v="0"/>
    <d v="1899-12-30T00:30:01"/>
    <d v="1899-12-30T00:30:02"/>
    <n v="12"/>
    <n v="29"/>
  </r>
  <r>
    <x v="2"/>
    <d v="2020-04-16T06:30:58"/>
    <s v="false"/>
    <s v="Musculação"/>
    <n v="0"/>
    <n v="267"/>
    <d v="1899-12-30T00:43:50"/>
    <n v="117"/>
    <n v="150"/>
    <s v="--"/>
    <s v="--"/>
    <s v="--"/>
    <s v="--"/>
    <s v="--"/>
    <s v="--"/>
    <s v="--"/>
    <n v="0"/>
    <n v="0"/>
    <n v="0"/>
    <n v="0"/>
    <n v="0"/>
    <n v="0"/>
    <s v="--"/>
    <s v="--"/>
    <d v="1899-12-31T19:50:00"/>
    <d v="1899-12-30T00:00:00"/>
    <n v="0"/>
    <d v="1899-12-30T00:00:00"/>
    <s v="Não"/>
    <s v="00:00.00"/>
    <n v="1"/>
    <n v="0"/>
    <d v="1899-12-30T00:00:00"/>
    <d v="1899-12-30T00:43:50"/>
    <s v="--"/>
    <s v="--"/>
  </r>
  <r>
    <x v="2"/>
    <d v="2020-04-15T06:57:11"/>
    <s v="false"/>
    <s v="Blumenau Corrida"/>
    <n v="5.23"/>
    <n v="456"/>
    <d v="1899-12-30T00:32:06"/>
    <n v="172"/>
    <n v="191"/>
    <s v="--"/>
    <s v="--"/>
    <s v="--"/>
    <d v="1899-12-30T06:08:00"/>
    <d v="1899-12-30T04:24:00"/>
    <n v="18"/>
    <n v="33"/>
    <n v="0"/>
    <n v="0"/>
    <n v="0"/>
    <n v="0"/>
    <n v="0"/>
    <n v="0"/>
    <s v="--"/>
    <s v="--"/>
    <d v="1899-12-31T08:06:00"/>
    <d v="1899-12-30T00:00:00"/>
    <n v="0"/>
    <d v="1899-12-30T00:00:00"/>
    <s v="Não"/>
    <s v="00:04.61"/>
    <n v="12"/>
    <n v="0"/>
    <d v="1899-12-30T00:29:20"/>
    <d v="1899-12-30T00:32:06"/>
    <n v="12"/>
    <n v="30"/>
  </r>
  <r>
    <x v="2"/>
    <d v="2020-04-14T07:28:53"/>
    <s v="false"/>
    <s v="Musculação&quot; em casa&quot;"/>
    <n v="0"/>
    <n v="403"/>
    <d v="1899-12-30T00:43:43"/>
    <n v="138"/>
    <n v="170"/>
    <s v="--"/>
    <s v="--"/>
    <s v="--"/>
    <s v="--"/>
    <s v="--"/>
    <s v="--"/>
    <s v="--"/>
    <n v="0"/>
    <n v="0"/>
    <n v="0"/>
    <n v="0"/>
    <n v="0"/>
    <n v="0"/>
    <s v="--"/>
    <s v="--"/>
    <d v="1899-12-31T19:43:00"/>
    <d v="1899-12-30T00:00:00"/>
    <n v="0"/>
    <d v="1899-12-30T00:00:00"/>
    <s v="Não"/>
    <s v="00:00.00"/>
    <n v="1"/>
    <n v="0"/>
    <d v="1899-12-30T00:00:00"/>
    <d v="1899-12-30T00:43:43"/>
    <s v="--"/>
    <s v="--"/>
  </r>
  <r>
    <x v="2"/>
    <d v="2020-04-13T06:45:27"/>
    <s v="false"/>
    <s v="Blumenau Corrida"/>
    <n v="5.32"/>
    <n v="470"/>
    <d v="1899-12-30T00:30:01"/>
    <n v="180"/>
    <n v="194"/>
    <s v="--"/>
    <s v="--"/>
    <s v="--"/>
    <d v="1899-12-30T05:39:00"/>
    <d v="1899-12-30T05:13:00"/>
    <n v="42"/>
    <n v="48"/>
    <n v="0"/>
    <n v="0"/>
    <n v="0"/>
    <n v="0"/>
    <n v="0"/>
    <n v="0"/>
    <s v="--"/>
    <s v="--"/>
    <d v="1899-12-31T06:01:00"/>
    <d v="1899-12-30T00:00:00"/>
    <n v="0"/>
    <d v="1899-12-30T00:00:00"/>
    <s v="Não"/>
    <s v="00:00.00"/>
    <n v="1"/>
    <n v="0"/>
    <d v="1899-12-30T00:30:01"/>
    <d v="1899-12-30T00:30:01"/>
    <n v="12"/>
    <n v="38"/>
  </r>
  <r>
    <x v="2"/>
    <d v="2020-04-11T08:28:23"/>
    <s v="false"/>
    <s v="Blumenau Corrida"/>
    <n v="5.23"/>
    <n v="465"/>
    <d v="1899-12-30T00:30:01"/>
    <n v="179"/>
    <n v="192"/>
    <s v="--"/>
    <s v="--"/>
    <s v="--"/>
    <d v="1899-12-30T05:44:00"/>
    <d v="1899-12-30T01:04:00"/>
    <n v="45"/>
    <n v="50"/>
    <n v="0"/>
    <n v="0"/>
    <n v="0"/>
    <n v="0"/>
    <n v="0"/>
    <n v="0"/>
    <s v="--"/>
    <s v="--"/>
    <d v="1899-12-31T06:01:00"/>
    <d v="1899-12-30T00:00:00"/>
    <n v="0"/>
    <d v="1899-12-30T00:00:00"/>
    <s v="Não"/>
    <s v="00:00.00"/>
    <n v="1"/>
    <n v="0"/>
    <d v="1899-12-30T00:30:01"/>
    <d v="1899-12-30T00:30:01"/>
    <n v="22"/>
    <n v="45"/>
  </r>
  <r>
    <x v="2"/>
    <d v="2020-04-08T07:46:34"/>
    <s v="false"/>
    <s v="Blumenau Corrida"/>
    <n v="5.19"/>
    <n v="346"/>
    <d v="1899-12-30T00:40:47"/>
    <s v="--"/>
    <s v="--"/>
    <s v="--"/>
    <s v="--"/>
    <s v="--"/>
    <d v="1899-12-30T07:52:00"/>
    <d v="1899-12-30T01:03:00"/>
    <n v="21"/>
    <n v="20"/>
    <n v="0"/>
    <n v="0"/>
    <n v="0"/>
    <n v="0"/>
    <n v="0"/>
    <n v="0"/>
    <s v="--"/>
    <s v="--"/>
    <d v="1899-12-31T16:47:00"/>
    <d v="1899-12-30T00:00:00"/>
    <n v="0"/>
    <d v="1899-12-30T00:00:00"/>
    <s v="Não"/>
    <s v="02:01.44"/>
    <n v="14"/>
    <n v="0"/>
    <d v="1899-12-30T00:40:46"/>
    <d v="1899-12-30T00:40:47"/>
    <n v="18"/>
    <n v="26"/>
  </r>
  <r>
    <x v="2"/>
    <d v="2020-04-06T08:28:29"/>
    <s v="false"/>
    <s v="Blumenau Corrida"/>
    <n v="3.57"/>
    <n v="312"/>
    <d v="1899-12-30T00:33:33"/>
    <n v="139"/>
    <n v="178"/>
    <s v="--"/>
    <s v="--"/>
    <s v="--"/>
    <d v="1899-12-30T09:24:00"/>
    <d v="1899-12-30T00:35:00"/>
    <n v="16"/>
    <n v="16"/>
    <n v="0"/>
    <n v="0"/>
    <n v="0"/>
    <n v="0"/>
    <n v="0"/>
    <n v="0"/>
    <s v="--"/>
    <s v="--"/>
    <d v="1899-12-31T09:33:00"/>
    <d v="1899-12-30T00:00:00"/>
    <n v="0"/>
    <d v="1899-12-30T00:00:00"/>
    <s v="Não"/>
    <s v="02:49.21"/>
    <n v="8"/>
    <n v="0"/>
    <d v="1899-12-30T00:32:13"/>
    <d v="1899-12-30T00:33:33"/>
    <n v="18"/>
    <n v="25"/>
  </r>
  <r>
    <x v="2"/>
    <d v="2020-03-14T06:54:48"/>
    <s v="false"/>
    <s v="Blumenau Corrida"/>
    <n v="10.01"/>
    <n v="711"/>
    <d v="1899-12-30T01:05:37"/>
    <s v="--"/>
    <s v="--"/>
    <s v="--"/>
    <s v="--"/>
    <s v="--"/>
    <d v="1899-12-30T06:33:00"/>
    <d v="1899-12-30T01:44:00"/>
    <n v="133"/>
    <n v="134"/>
    <n v="0"/>
    <n v="0"/>
    <n v="0"/>
    <n v="0"/>
    <n v="0"/>
    <n v="0"/>
    <s v="--"/>
    <s v="--"/>
    <d v="1899-12-30T01:05:37"/>
    <d v="1899-12-30T00:00:00"/>
    <n v="0"/>
    <d v="1899-12-30T00:00:00"/>
    <s v="Não"/>
    <s v="00:00.00"/>
    <n v="1"/>
    <n v="0"/>
    <d v="1899-12-30T01:05:37"/>
    <d v="1899-12-30T01:05:37"/>
    <n v="21"/>
    <n v="60"/>
  </r>
  <r>
    <x v="2"/>
    <d v="2020-03-09T19:05:22"/>
    <s v="false"/>
    <s v="Blumenau Corrida"/>
    <n v="6.17"/>
    <n v="449"/>
    <d v="1899-12-30T00:35:30"/>
    <s v="--"/>
    <s v="--"/>
    <s v="--"/>
    <s v="--"/>
    <s v="--"/>
    <d v="1899-12-30T05:45:00"/>
    <d v="1899-12-30T05:19:00"/>
    <n v="13"/>
    <n v="15"/>
    <n v="0"/>
    <n v="0"/>
    <n v="0"/>
    <n v="0"/>
    <n v="0"/>
    <n v="0"/>
    <s v="--"/>
    <s v="--"/>
    <d v="1899-12-31T11:30:00"/>
    <d v="1899-12-30T00:00:00"/>
    <n v="0"/>
    <d v="1899-12-30T00:00:00"/>
    <s v="Não"/>
    <s v="05:40.48"/>
    <n v="6"/>
    <n v="0"/>
    <d v="1899-12-30T00:35:29"/>
    <d v="1899-12-30T00:35:30"/>
    <n v="13"/>
    <n v="21"/>
  </r>
  <r>
    <x v="2"/>
    <d v="2020-03-04T19:09:53"/>
    <s v="false"/>
    <s v="Blumenau Corrida"/>
    <n v="3.3"/>
    <n v="193"/>
    <d v="1899-12-30T00:31:07"/>
    <s v="--"/>
    <s v="--"/>
    <s v="--"/>
    <s v="--"/>
    <s v="--"/>
    <d v="1899-12-30T09:27:00"/>
    <d v="1899-12-30T06:16:00"/>
    <n v="7"/>
    <n v="10"/>
    <n v="0"/>
    <n v="0"/>
    <n v="0"/>
    <n v="0"/>
    <n v="0"/>
    <n v="0"/>
    <s v="--"/>
    <s v="--"/>
    <d v="1899-12-31T07:07:00"/>
    <d v="1899-12-30T00:00:00"/>
    <n v="0"/>
    <d v="1899-12-30T00:00:00"/>
    <s v="Não"/>
    <s v="00:00.00"/>
    <n v="1"/>
    <n v="0"/>
    <d v="1899-12-30T00:31:06"/>
    <d v="1899-12-30T00:33:17"/>
    <n v="13"/>
    <n v="20"/>
  </r>
  <r>
    <x v="2"/>
    <d v="2020-03-02T19:08:10"/>
    <s v="false"/>
    <s v="Blumenau Corrida"/>
    <n v="4.5"/>
    <n v="333"/>
    <d v="1899-12-30T00:27:37"/>
    <s v="--"/>
    <s v="--"/>
    <s v="--"/>
    <s v="--"/>
    <s v="--"/>
    <d v="1899-12-30T06:08:00"/>
    <d v="1899-12-30T03:10:00"/>
    <n v="17"/>
    <n v="14"/>
    <n v="0"/>
    <n v="0"/>
    <n v="0"/>
    <n v="0"/>
    <n v="0"/>
    <n v="0"/>
    <s v="--"/>
    <s v="--"/>
    <d v="1899-12-31T03:37:00"/>
    <d v="1899-12-30T00:00:00"/>
    <n v="0"/>
    <d v="1899-12-30T00:00:00"/>
    <s v="Não"/>
    <s v="00:02.13"/>
    <n v="18"/>
    <n v="0"/>
    <d v="1899-12-30T00:25:14"/>
    <d v="1899-12-30T00:40:04"/>
    <n v="17"/>
    <n v="26"/>
  </r>
  <r>
    <x v="2"/>
    <d v="2020-02-29T06:48:19"/>
    <s v="false"/>
    <s v="Blumenau Corrida"/>
    <n v="10"/>
    <n v="733"/>
    <d v="1899-12-30T01:00:44"/>
    <s v="--"/>
    <s v="--"/>
    <s v="--"/>
    <s v="--"/>
    <s v="--"/>
    <d v="1899-12-30T06:04:00"/>
    <d v="1899-12-30T02:22:00"/>
    <n v="142"/>
    <n v="145"/>
    <n v="0"/>
    <n v="0"/>
    <n v="0"/>
    <n v="0"/>
    <n v="0"/>
    <n v="0"/>
    <s v="--"/>
    <s v="--"/>
    <d v="1899-12-30T01:00:44"/>
    <d v="1899-12-30T00:00:00"/>
    <n v="0"/>
    <d v="1899-12-30T00:00:00"/>
    <s v="Não"/>
    <s v="00:00.00"/>
    <n v="1"/>
    <n v="0"/>
    <d v="1899-12-30T01:00:44"/>
    <d v="1899-12-30T01:00:44"/>
    <n v="22"/>
    <n v="60"/>
  </r>
  <r>
    <x v="2"/>
    <d v="2020-02-26T19:13:49"/>
    <s v="false"/>
    <s v="Blumenau Corrida"/>
    <n v="3.47"/>
    <n v="192"/>
    <d v="1899-12-30T00:35:35"/>
    <s v="--"/>
    <s v="--"/>
    <s v="--"/>
    <s v="--"/>
    <s v="--"/>
    <d v="1899-12-30T10:16:00"/>
    <d v="1899-12-30T06:26:00"/>
    <n v="61"/>
    <n v="61"/>
    <n v="0"/>
    <n v="0"/>
    <n v="0"/>
    <n v="0"/>
    <n v="0"/>
    <n v="0"/>
    <s v="--"/>
    <s v="--"/>
    <d v="1899-12-31T11:35:00"/>
    <d v="1899-12-30T00:00:00"/>
    <n v="0"/>
    <d v="1899-12-30T00:00:00"/>
    <s v="Não"/>
    <s v="00:37.96"/>
    <n v="7"/>
    <n v="0"/>
    <d v="1899-12-30T00:33:45"/>
    <d v="1899-12-30T00:35:35"/>
    <n v="17"/>
    <n v="28"/>
  </r>
  <r>
    <x v="2"/>
    <d v="2020-02-24T19:11:49"/>
    <s v="false"/>
    <s v="Blumenau Corrida"/>
    <n v="1.53"/>
    <n v="80"/>
    <d v="1899-12-30T00:18:36"/>
    <s v="--"/>
    <s v="--"/>
    <s v="--"/>
    <s v="--"/>
    <s v="--"/>
    <d v="1899-12-30T12:09:00"/>
    <d v="1899-12-30T08:52:00"/>
    <n v="13"/>
    <s v="--"/>
    <n v="0"/>
    <n v="0"/>
    <n v="0"/>
    <n v="0"/>
    <n v="0"/>
    <n v="0"/>
    <s v="--"/>
    <s v="--"/>
    <d v="1899-12-30T18:36:00"/>
    <d v="1899-12-30T00:00:00"/>
    <n v="0"/>
    <d v="1899-12-30T00:00:00"/>
    <s v="Não"/>
    <s v="00:00.00"/>
    <n v="1"/>
    <n v="0"/>
    <d v="1899-12-30T00:18:36"/>
    <d v="1899-12-30T00:18:36"/>
    <n v="14"/>
    <n v="29"/>
  </r>
  <r>
    <x v="2"/>
    <d v="2020-02-24T18:51:28"/>
    <s v="false"/>
    <s v="Blumenau Corrida"/>
    <n v="3.06"/>
    <n v="192"/>
    <d v="1899-12-30T00:20:06"/>
    <s v="--"/>
    <s v="--"/>
    <s v="--"/>
    <s v="--"/>
    <s v="--"/>
    <d v="1899-12-30T06:34:00"/>
    <d v="1899-12-30T04:03:00"/>
    <n v="6"/>
    <n v="6"/>
    <n v="0"/>
    <n v="0"/>
    <n v="0"/>
    <n v="0"/>
    <n v="0"/>
    <n v="0"/>
    <s v="--"/>
    <s v="--"/>
    <d v="1899-12-30T20:06:00"/>
    <d v="1899-12-30T00:00:00"/>
    <n v="0"/>
    <d v="1899-12-30T00:00:00"/>
    <s v="Não"/>
    <s v="00:58.40"/>
    <n v="20"/>
    <n v="0"/>
    <d v="1899-12-30T00:20:01"/>
    <d v="1899-12-30T00:20:06"/>
    <n v="14"/>
    <n v="18"/>
  </r>
  <r>
    <x v="2"/>
    <d v="2020-02-24T18:35:14"/>
    <s v="false"/>
    <s v="Blumenau Corrida"/>
    <n v="2"/>
    <n v="149"/>
    <d v="1899-12-30T00:11:42"/>
    <s v="--"/>
    <s v="--"/>
    <s v="--"/>
    <s v="--"/>
    <s v="--"/>
    <d v="1899-12-30T05:51:00"/>
    <d v="1899-12-30T04:02:00"/>
    <n v="3"/>
    <n v="18"/>
    <n v="0"/>
    <n v="0"/>
    <n v="0"/>
    <n v="0"/>
    <n v="0"/>
    <n v="0"/>
    <s v="--"/>
    <s v="--"/>
    <d v="1899-12-30T11:42:00"/>
    <d v="1899-12-30T00:00:00"/>
    <n v="0"/>
    <d v="1899-12-30T00:00:00"/>
    <s v="Não"/>
    <s v="00:00.00"/>
    <n v="1"/>
    <n v="0"/>
    <d v="1899-12-30T00:11:42"/>
    <d v="1899-12-30T00:11:42"/>
    <n v="12"/>
    <n v="28"/>
  </r>
  <r>
    <x v="2"/>
    <d v="2020-02-21T13:08:18"/>
    <s v="false"/>
    <s v="Corrida"/>
    <n v="0"/>
    <s v="--"/>
    <d v="1899-12-30T00:00:07"/>
    <s v="--"/>
    <s v="--"/>
    <s v="--"/>
    <s v="--"/>
    <s v="--"/>
    <s v="--"/>
    <s v="--"/>
    <s v="--"/>
    <s v="--"/>
    <n v="0"/>
    <n v="0"/>
    <n v="0"/>
    <n v="0"/>
    <n v="0"/>
    <n v="0"/>
    <s v="--"/>
    <s v="--"/>
    <d v="1899-12-30T00:00:07"/>
    <d v="1899-12-30T00:00:00"/>
    <n v="0"/>
    <d v="1899-12-30T00:00:00"/>
    <s v="Não"/>
    <s v="00:00.00"/>
    <n v="1"/>
    <n v="0"/>
    <d v="1899-12-30T00:00:00"/>
    <d v="1899-12-30T00:00:07"/>
    <s v="--"/>
    <s v="--"/>
  </r>
  <r>
    <x v="2"/>
    <d v="2020-02-19T19:08:03"/>
    <s v="false"/>
    <s v="Blumenau Corrida"/>
    <n v="5.37"/>
    <n v="362"/>
    <d v="1899-12-30T00:47:58"/>
    <s v="--"/>
    <s v="--"/>
    <s v="--"/>
    <s v="--"/>
    <s v="--"/>
    <d v="1899-12-30T08:56:00"/>
    <d v="1899-12-30T03:58:00"/>
    <n v="148"/>
    <n v="138"/>
    <n v="0"/>
    <n v="0"/>
    <n v="0"/>
    <n v="0"/>
    <n v="0"/>
    <n v="0"/>
    <s v="--"/>
    <s v="--"/>
    <d v="1899-12-31T23:58:00"/>
    <d v="1899-12-30T00:00:00"/>
    <n v="0"/>
    <d v="1899-12-30T00:00:00"/>
    <s v="Não"/>
    <s v="00:36.84"/>
    <n v="24"/>
    <n v="0"/>
    <d v="1899-12-30T00:47:54"/>
    <d v="1899-12-30T00:47:58"/>
    <n v="13"/>
    <n v="61"/>
  </r>
  <r>
    <x v="2"/>
    <d v="2020-02-15T06:59:00"/>
    <s v="false"/>
    <s v="Blumenau Corrida"/>
    <n v="10"/>
    <n v="726"/>
    <d v="1899-12-30T01:02:29"/>
    <s v="--"/>
    <s v="--"/>
    <s v="--"/>
    <s v="--"/>
    <s v="--"/>
    <d v="1899-12-30T06:15:00"/>
    <d v="1899-12-30T02:07:00"/>
    <n v="125"/>
    <n v="129"/>
    <n v="0"/>
    <n v="0"/>
    <n v="0"/>
    <n v="0"/>
    <n v="0"/>
    <n v="0"/>
    <s v="--"/>
    <s v="--"/>
    <d v="1899-12-30T01:02:29"/>
    <d v="1899-12-30T00:00:00"/>
    <n v="0"/>
    <d v="1899-12-30T00:00:00"/>
    <s v="Não"/>
    <s v="00:00.00"/>
    <n v="1"/>
    <n v="0"/>
    <d v="1899-12-30T01:02:29"/>
    <d v="1899-12-30T01:02:29"/>
    <n v="22"/>
    <n v="59"/>
  </r>
  <r>
    <x v="2"/>
    <d v="2020-02-12T19:16:23"/>
    <s v="false"/>
    <s v="Blumenau Corrida"/>
    <n v="4.17"/>
    <n v="293"/>
    <d v="1899-12-30T00:33:09"/>
    <s v="--"/>
    <s v="--"/>
    <s v="--"/>
    <s v="--"/>
    <s v="--"/>
    <d v="1899-12-30T07:57:00"/>
    <d v="1899-12-30T04:28:00"/>
    <n v="138"/>
    <n v="145"/>
    <n v="0"/>
    <n v="0"/>
    <n v="0"/>
    <n v="0"/>
    <n v="0"/>
    <n v="0"/>
    <s v="--"/>
    <s v="--"/>
    <d v="1899-12-31T09:09:00"/>
    <d v="1899-12-30T00:00:00"/>
    <n v="0"/>
    <d v="1899-12-30T00:00:00"/>
    <s v="Não"/>
    <s v="01:04.36"/>
    <n v="15"/>
    <n v="0"/>
    <d v="1899-12-30T00:31:16"/>
    <d v="1899-12-30T00:33:37"/>
    <n v="19"/>
    <n v="63"/>
  </r>
  <r>
    <x v="2"/>
    <d v="2020-02-10T19:10:00"/>
    <s v="false"/>
    <s v="Blumenau Corrida"/>
    <n v="6.22"/>
    <n v="449"/>
    <d v="1899-12-30T00:44:21"/>
    <s v="--"/>
    <s v="--"/>
    <s v="--"/>
    <s v="--"/>
    <s v="--"/>
    <d v="1899-12-30T07:08:00"/>
    <d v="1899-12-30T03:32:00"/>
    <n v="6"/>
    <n v="7"/>
    <n v="0"/>
    <n v="0"/>
    <n v="0"/>
    <n v="0"/>
    <n v="0"/>
    <n v="0"/>
    <s v="--"/>
    <s v="--"/>
    <d v="1899-12-31T20:21:00"/>
    <d v="1899-12-30T00:00:00"/>
    <n v="0"/>
    <d v="1899-12-30T00:00:00"/>
    <s v="Não"/>
    <s v="00:44.84"/>
    <n v="19"/>
    <n v="0"/>
    <d v="1899-12-30T00:44:18"/>
    <d v="1899-12-30T00:44:21"/>
    <n v="13"/>
    <n v="20"/>
  </r>
  <r>
    <x v="2"/>
    <d v="2020-02-09T07:46:49"/>
    <s v="false"/>
    <s v="Blumenau Corrida"/>
    <n v="7.36"/>
    <n v="516"/>
    <d v="1899-12-30T00:50:37"/>
    <s v="--"/>
    <s v="--"/>
    <s v="--"/>
    <s v="--"/>
    <s v="--"/>
    <d v="1899-12-30T06:53:00"/>
    <d v="1899-12-30T03:03:00"/>
    <n v="27"/>
    <n v="31"/>
    <n v="0"/>
    <n v="0"/>
    <n v="0"/>
    <n v="0"/>
    <n v="0"/>
    <n v="0"/>
    <s v="--"/>
    <s v="--"/>
    <d v="1900-01-01T02:37:00"/>
    <d v="1899-12-30T00:00:00"/>
    <n v="0"/>
    <d v="1899-12-30T00:00:00"/>
    <s v="Não"/>
    <s v="00:01.16"/>
    <n v="10"/>
    <n v="0"/>
    <d v="1899-12-30T00:50:34"/>
    <d v="1899-12-30T00:50:37"/>
    <n v="12"/>
    <n v="29"/>
  </r>
  <r>
    <x v="2"/>
    <d v="2020-02-05T19:09:03"/>
    <s v="false"/>
    <s v="Blumenau Corrida"/>
    <n v="5.18"/>
    <n v="363"/>
    <d v="1899-12-30T00:40:10"/>
    <s v="--"/>
    <s v="--"/>
    <s v="--"/>
    <s v="--"/>
    <s v="--"/>
    <d v="1899-12-30T07:45:00"/>
    <d v="1899-12-30T04:27:00"/>
    <n v="158"/>
    <n v="151"/>
    <n v="0"/>
    <n v="0"/>
    <n v="0"/>
    <n v="0"/>
    <n v="0"/>
    <n v="0"/>
    <s v="--"/>
    <s v="--"/>
    <d v="1899-12-31T16:10:00"/>
    <d v="1899-12-30T00:00:00"/>
    <n v="0"/>
    <d v="1899-12-30T00:00:00"/>
    <s v="Não"/>
    <s v="00:58.36"/>
    <n v="17"/>
    <n v="0"/>
    <d v="1899-12-30T00:37:49"/>
    <d v="1899-12-30T00:40:10"/>
    <n v="16"/>
    <n v="55"/>
  </r>
  <r>
    <x v="2"/>
    <d v="2020-02-02T07:56:37"/>
    <s v="false"/>
    <s v="Blumenau Corrida"/>
    <n v="9.2799999999999994"/>
    <n v="658"/>
    <d v="1899-12-30T01:02:55"/>
    <s v="--"/>
    <s v="--"/>
    <s v="--"/>
    <s v="--"/>
    <s v="--"/>
    <d v="1899-12-30T06:47:00"/>
    <d v="1899-12-30T05:04:00"/>
    <n v="92"/>
    <n v="92"/>
    <n v="0"/>
    <n v="0"/>
    <n v="0"/>
    <n v="0"/>
    <n v="0"/>
    <n v="0"/>
    <s v="--"/>
    <s v="--"/>
    <d v="1899-12-30T01:02:55"/>
    <d v="1899-12-30T00:00:00"/>
    <n v="0"/>
    <d v="1899-12-30T00:00:00"/>
    <s v="Não"/>
    <s v="00:00.00"/>
    <n v="1"/>
    <n v="0"/>
    <d v="1899-12-30T01:02:54"/>
    <d v="1899-12-30T01:02:55"/>
    <n v="12"/>
    <n v="56"/>
  </r>
  <r>
    <x v="2"/>
    <d v="2020-01-29T19:04:28"/>
    <s v="false"/>
    <s v="Blumenau Corrida"/>
    <n v="6.13"/>
    <n v="450"/>
    <d v="1899-12-30T00:35:34"/>
    <s v="--"/>
    <s v="--"/>
    <s v="--"/>
    <s v="--"/>
    <s v="--"/>
    <d v="1899-12-30T05:48:00"/>
    <d v="1899-12-30T05:03:00"/>
    <n v="15"/>
    <n v="16"/>
    <n v="0"/>
    <n v="0"/>
    <n v="0"/>
    <n v="0"/>
    <n v="0"/>
    <n v="0"/>
    <s v="--"/>
    <s v="--"/>
    <d v="1899-12-31T11:34:00"/>
    <d v="1899-12-30T00:00:00"/>
    <n v="0"/>
    <d v="1899-12-30T00:00:00"/>
    <s v="Não"/>
    <s v="00:00.00"/>
    <n v="1"/>
    <n v="0"/>
    <d v="1899-12-30T00:35:34"/>
    <d v="1899-12-30T00:35:34"/>
    <n v="13"/>
    <n v="20"/>
  </r>
  <r>
    <x v="2"/>
    <d v="2020-01-27T19:36:10"/>
    <s v="false"/>
    <s v="Blumenau Corrida"/>
    <n v="0.65"/>
    <n v="49"/>
    <d v="1899-12-30T00:04:18"/>
    <s v="--"/>
    <s v="--"/>
    <s v="--"/>
    <s v="--"/>
    <s v="--"/>
    <d v="1899-12-30T06:33:00"/>
    <d v="1899-12-30T05:30:00"/>
    <n v="8"/>
    <n v="7"/>
    <n v="0"/>
    <n v="0"/>
    <n v="0"/>
    <n v="0"/>
    <n v="0"/>
    <n v="0"/>
    <s v="--"/>
    <s v="--"/>
    <d v="1899-12-30T00:04:18"/>
    <d v="1899-12-30T00:00:00"/>
    <n v="0"/>
    <d v="1899-12-30T00:00:00"/>
    <s v="Não"/>
    <s v="00:00.00"/>
    <n v="1"/>
    <n v="0"/>
    <d v="1899-12-30T00:04:18"/>
    <d v="1899-12-30T00:04:18"/>
    <n v="17"/>
    <n v="26"/>
  </r>
  <r>
    <x v="2"/>
    <d v="2020-01-27T19:28:14"/>
    <s v="false"/>
    <s v="Blumenau Corrida"/>
    <n v="0.99"/>
    <n v="73"/>
    <d v="1899-12-30T00:04:06"/>
    <s v="--"/>
    <s v="--"/>
    <s v="--"/>
    <s v="--"/>
    <s v="--"/>
    <d v="1899-12-30T04:07:00"/>
    <d v="1899-12-30T03:39:00"/>
    <n v="8"/>
    <n v="17"/>
    <n v="0"/>
    <n v="0"/>
    <n v="0"/>
    <n v="0"/>
    <n v="0"/>
    <n v="0"/>
    <s v="--"/>
    <s v="--"/>
    <d v="1899-12-30T00:04:06"/>
    <d v="1899-12-30T00:00:00"/>
    <n v="0"/>
    <d v="1899-12-30T00:00:00"/>
    <s v="Não"/>
    <s v="00:00.00"/>
    <n v="1"/>
    <n v="0"/>
    <d v="1899-12-30T00:04:06"/>
    <d v="1899-12-30T00:04:06"/>
    <n v="17"/>
    <n v="27"/>
  </r>
  <r>
    <x v="2"/>
    <d v="2020-01-27T19:19:49"/>
    <s v="false"/>
    <s v="Blumenau Corrida"/>
    <n v="0.63"/>
    <n v="47"/>
    <d v="1899-12-30T00:04:02"/>
    <s v="--"/>
    <s v="--"/>
    <s v="--"/>
    <s v="--"/>
    <s v="--"/>
    <d v="1899-12-30T06:26:00"/>
    <d v="1899-12-30T05:55:00"/>
    <n v="8"/>
    <n v="9"/>
    <n v="0"/>
    <n v="0"/>
    <n v="0"/>
    <n v="0"/>
    <n v="0"/>
    <n v="0"/>
    <s v="--"/>
    <s v="--"/>
    <d v="1899-12-30T00:04:02"/>
    <d v="1899-12-30T00:00:00"/>
    <n v="0"/>
    <d v="1899-12-30T00:00:00"/>
    <s v="Não"/>
    <s v="00:00.00"/>
    <n v="1"/>
    <n v="0"/>
    <d v="1899-12-30T00:04:02"/>
    <d v="1899-12-30T00:04:02"/>
    <n v="17"/>
    <n v="27"/>
  </r>
  <r>
    <x v="2"/>
    <d v="2020-01-22T19:05:33"/>
    <s v="false"/>
    <s v="Blumenau Corrida"/>
    <n v="5.32"/>
    <n v="380"/>
    <d v="1899-12-30T00:34:44"/>
    <s v="--"/>
    <s v="--"/>
    <s v="--"/>
    <s v="--"/>
    <s v="--"/>
    <d v="1899-12-30T06:32:00"/>
    <d v="1899-12-30T04:26:00"/>
    <n v="107"/>
    <n v="117"/>
    <n v="0"/>
    <n v="0"/>
    <n v="0"/>
    <n v="0"/>
    <n v="0"/>
    <n v="0"/>
    <s v="--"/>
    <s v="--"/>
    <d v="1899-12-31T10:44:00"/>
    <d v="1899-12-30T00:00:00"/>
    <n v="0"/>
    <d v="1899-12-30T00:00:00"/>
    <s v="Não"/>
    <s v="00:00.85"/>
    <n v="15"/>
    <n v="0"/>
    <d v="1899-12-30T00:34:41"/>
    <d v="1899-12-30T00:40:49"/>
    <n v="13"/>
    <n v="54"/>
  </r>
  <r>
    <x v="2"/>
    <d v="2020-01-20T19:05:50"/>
    <s v="false"/>
    <s v="Blumenau Corrida"/>
    <n v="6.96"/>
    <n v="503"/>
    <d v="1899-12-30T00:47:17"/>
    <s v="--"/>
    <s v="--"/>
    <s v="--"/>
    <s v="--"/>
    <s v="--"/>
    <d v="1899-12-30T06:47:00"/>
    <d v="1899-12-30T04:12:00"/>
    <n v="56"/>
    <n v="49"/>
    <n v="0"/>
    <n v="0"/>
    <n v="0"/>
    <n v="0"/>
    <n v="0"/>
    <n v="0"/>
    <s v="--"/>
    <s v="--"/>
    <d v="1899-12-31T23:17:00"/>
    <d v="1899-12-30T00:00:00"/>
    <n v="0"/>
    <d v="1899-12-30T00:00:00"/>
    <s v="Não"/>
    <s v="01:00.45"/>
    <n v="15"/>
    <n v="0"/>
    <d v="1899-12-30T00:45:51"/>
    <d v="1899-12-30T00:47:17"/>
    <n v="9"/>
    <n v="24"/>
  </r>
  <r>
    <x v="2"/>
    <d v="2020-01-18T07:26:32"/>
    <s v="false"/>
    <s v="Blumenau Corrida"/>
    <n v="7.71"/>
    <n v="565"/>
    <d v="1899-12-30T00:50:19"/>
    <s v="--"/>
    <s v="--"/>
    <s v="--"/>
    <s v="--"/>
    <s v="--"/>
    <d v="1899-12-30T06:31:00"/>
    <d v="1899-12-30T03:45:00"/>
    <n v="117"/>
    <n v="122"/>
    <n v="0"/>
    <n v="0"/>
    <n v="0"/>
    <n v="0"/>
    <n v="0"/>
    <n v="0"/>
    <s v="--"/>
    <s v="--"/>
    <d v="1900-01-01T02:19:00"/>
    <d v="1899-12-30T00:00:00"/>
    <n v="0"/>
    <d v="1899-12-30T00:00:00"/>
    <s v="Não"/>
    <s v="00:00.00"/>
    <n v="1"/>
    <n v="0"/>
    <d v="1899-12-30T00:50:19"/>
    <d v="1899-12-30T00:50:19"/>
    <n v="22"/>
    <n v="65"/>
  </r>
  <r>
    <x v="2"/>
    <d v="2020-01-15T19:43:08"/>
    <s v="false"/>
    <s v="Blumenau Corrida"/>
    <n v="0.41"/>
    <n v="30"/>
    <d v="1899-12-30T00:02:13"/>
    <s v="--"/>
    <s v="--"/>
    <s v="--"/>
    <s v="--"/>
    <s v="--"/>
    <d v="1899-12-30T05:24:00"/>
    <d v="1899-12-30T05:01:00"/>
    <s v="--"/>
    <s v="--"/>
    <n v="0"/>
    <n v="0"/>
    <n v="0"/>
    <n v="0"/>
    <n v="0"/>
    <n v="0"/>
    <s v="--"/>
    <s v="--"/>
    <d v="1899-12-30T00:02:13"/>
    <d v="1899-12-30T00:00:00"/>
    <n v="0"/>
    <d v="1899-12-30T00:00:00"/>
    <s v="Não"/>
    <s v="00:00.00"/>
    <n v="1"/>
    <n v="0"/>
    <d v="1899-12-30T00:02:13"/>
    <d v="1899-12-30T00:02:13"/>
    <n v="14"/>
    <n v="15"/>
  </r>
  <r>
    <x v="2"/>
    <d v="2020-01-15T19:05:45"/>
    <s v="false"/>
    <s v="Blumenau Corrida"/>
    <n v="5.66"/>
    <n v="410"/>
    <d v="1899-12-30T00:35:17"/>
    <s v="--"/>
    <s v="--"/>
    <s v="--"/>
    <s v="--"/>
    <s v="--"/>
    <d v="1899-12-30T06:14:00"/>
    <d v="1899-12-30T04:15:00"/>
    <s v="--"/>
    <s v="--"/>
    <n v="0"/>
    <n v="0"/>
    <n v="0"/>
    <n v="0"/>
    <n v="0"/>
    <n v="0"/>
    <s v="--"/>
    <s v="--"/>
    <d v="1899-12-31T11:17:00"/>
    <d v="1899-12-30T00:00:00"/>
    <n v="0"/>
    <d v="1899-12-30T00:00:00"/>
    <s v="Não"/>
    <s v="01:29.64"/>
    <n v="11"/>
    <n v="0"/>
    <d v="1899-12-30T00:32:51"/>
    <d v="1899-12-30T00:35:17"/>
    <n v="14"/>
    <n v="15"/>
  </r>
  <r>
    <x v="2"/>
    <d v="2020-01-13T19:13:36"/>
    <s v="false"/>
    <s v="Blumenau Correr"/>
    <n v="5.42"/>
    <n v="398"/>
    <d v="1899-12-30T00:30:32"/>
    <s v="--"/>
    <s v="--"/>
    <s v="--"/>
    <s v="--"/>
    <s v="--"/>
    <d v="1899-12-30T05:38:00"/>
    <d v="1899-12-30T03:36:00"/>
    <n v="41"/>
    <n v="40"/>
    <n v="0"/>
    <n v="0"/>
    <n v="0"/>
    <n v="0"/>
    <n v="0"/>
    <n v="0"/>
    <s v="--"/>
    <s v="--"/>
    <d v="1899-12-31T06:32:00"/>
    <d v="1899-12-30T00:00:00"/>
    <n v="0"/>
    <d v="1899-12-30T00:00:00"/>
    <s v="Não"/>
    <s v="00:00.00"/>
    <n v="1"/>
    <n v="0"/>
    <d v="1899-12-30T00:30:32"/>
    <d v="1899-12-30T00:32:25"/>
    <n v="15"/>
    <n v="24"/>
  </r>
  <r>
    <x v="2"/>
    <d v="2020-01-13T19:05:33"/>
    <s v="false"/>
    <s v="Blumenau Correr"/>
    <n v="0.69"/>
    <n v="51"/>
    <d v="1899-12-30T00:04:35"/>
    <s v="--"/>
    <s v="--"/>
    <s v="--"/>
    <s v="--"/>
    <s v="--"/>
    <d v="1899-12-30T06:39:00"/>
    <d v="1899-12-30T05:54:00"/>
    <n v="7"/>
    <n v="6"/>
    <n v="0"/>
    <n v="0"/>
    <n v="0"/>
    <n v="0"/>
    <n v="0"/>
    <n v="0"/>
    <s v="--"/>
    <s v="--"/>
    <d v="1899-12-30T00:04:35"/>
    <d v="1899-12-30T00:00:00"/>
    <n v="0"/>
    <d v="1899-12-30T00:00:00"/>
    <s v="Não"/>
    <s v="00:00.00"/>
    <n v="1"/>
    <n v="0"/>
    <d v="1899-12-30T00:04:35"/>
    <d v="1899-12-30T00:04:35"/>
    <n v="9"/>
    <n v="20"/>
  </r>
  <r>
    <x v="2"/>
    <d v="2020-01-11T07:30:46"/>
    <s v="false"/>
    <s v="Blumenau Correr"/>
    <n v="1.75"/>
    <n v="92"/>
    <d v="1899-12-30T00:22:10"/>
    <s v="--"/>
    <s v="--"/>
    <s v="--"/>
    <s v="--"/>
    <s v="--"/>
    <d v="1899-12-30T12:39:00"/>
    <d v="1899-12-30T08:29:00"/>
    <n v="18"/>
    <n v="15"/>
    <n v="0"/>
    <n v="0"/>
    <n v="0"/>
    <n v="0"/>
    <n v="0"/>
    <n v="0"/>
    <s v="--"/>
    <s v="--"/>
    <d v="1899-12-30T22:10:00"/>
    <d v="1899-12-30T00:00:00"/>
    <n v="0"/>
    <d v="1899-12-30T00:00:00"/>
    <s v="Não"/>
    <s v="00:00.00"/>
    <n v="1"/>
    <n v="0"/>
    <d v="1899-12-30T00:22:10"/>
    <d v="1899-12-30T00:22:10"/>
    <n v="14"/>
    <n v="28"/>
  </r>
  <r>
    <x v="2"/>
    <d v="2020-01-11T06:50:57"/>
    <s v="false"/>
    <s v="Blumenau Correr"/>
    <n v="4.8099999999999996"/>
    <n v="343"/>
    <d v="1899-12-30T00:38:59"/>
    <s v="--"/>
    <s v="--"/>
    <s v="--"/>
    <s v="--"/>
    <s v="--"/>
    <d v="1899-12-30T08:07:00"/>
    <d v="1899-12-30T04:22:00"/>
    <n v="6"/>
    <n v="5"/>
    <n v="0"/>
    <n v="0"/>
    <n v="0"/>
    <n v="0"/>
    <n v="0"/>
    <n v="0"/>
    <s v="--"/>
    <s v="--"/>
    <d v="1899-12-31T14:59:00"/>
    <d v="1899-12-30T00:00:00"/>
    <n v="0"/>
    <d v="1899-12-30T00:00:00"/>
    <s v="Não"/>
    <s v="00:02.29"/>
    <n v="16"/>
    <n v="0"/>
    <d v="1899-12-30T00:35:38"/>
    <d v="1899-12-30T00:38:59"/>
    <n v="14"/>
    <n v="18"/>
  </r>
  <r>
    <x v="2"/>
    <d v="2020-01-11T06:41:08"/>
    <s v="false"/>
    <s v="Blumenau Correr"/>
    <n v="1.42"/>
    <n v="104"/>
    <d v="1899-12-30T00:08:19"/>
    <s v="--"/>
    <s v="--"/>
    <s v="--"/>
    <s v="--"/>
    <s v="--"/>
    <d v="1899-12-30T05:52:00"/>
    <d v="1899-12-30T04:03:00"/>
    <n v="8"/>
    <n v="19"/>
    <n v="0"/>
    <n v="0"/>
    <n v="0"/>
    <n v="0"/>
    <n v="0"/>
    <n v="0"/>
    <s v="--"/>
    <s v="--"/>
    <d v="1899-12-30T00:08:19"/>
    <d v="1899-12-30T00:00:00"/>
    <n v="0"/>
    <d v="1899-12-30T00:00:00"/>
    <s v="Não"/>
    <s v="00:00.00"/>
    <n v="1"/>
    <n v="0"/>
    <d v="1899-12-30T00:08:19"/>
    <d v="1899-12-30T00:08:19"/>
    <n v="14"/>
    <n v="28"/>
  </r>
  <r>
    <x v="2"/>
    <d v="2020-01-06T19:17:39"/>
    <s v="false"/>
    <s v="Blumenau Correr"/>
    <n v="4.04"/>
    <n v="287"/>
    <d v="1899-12-30T00:27:06"/>
    <s v="--"/>
    <s v="--"/>
    <s v="--"/>
    <s v="--"/>
    <s v="--"/>
    <d v="1899-12-30T06:43:00"/>
    <d v="1899-12-30T03:46:00"/>
    <n v="43"/>
    <n v="36"/>
    <n v="0"/>
    <n v="0"/>
    <n v="0"/>
    <n v="0"/>
    <n v="0"/>
    <n v="0"/>
    <s v="--"/>
    <s v="--"/>
    <d v="1899-12-31T03:06:00"/>
    <d v="1899-12-30T00:00:00"/>
    <n v="0"/>
    <d v="1899-12-30T00:00:00"/>
    <s v="Não"/>
    <s v="00:53.56"/>
    <n v="23"/>
    <n v="0"/>
    <d v="1899-12-30T00:26:27"/>
    <d v="1899-12-30T00:27:06"/>
    <n v="17"/>
    <n v="26"/>
  </r>
  <r>
    <x v="2"/>
    <d v="2020-01-06T19:11:51"/>
    <s v="false"/>
    <s v="Blumenau Correr"/>
    <n v="0.63"/>
    <n v="45"/>
    <d v="1899-12-30T00:03:45"/>
    <s v="--"/>
    <s v="--"/>
    <s v="--"/>
    <s v="--"/>
    <s v="--"/>
    <d v="1899-12-30T05:59:00"/>
    <d v="1899-12-30T05:10:00"/>
    <n v="2"/>
    <s v="--"/>
    <n v="0"/>
    <n v="0"/>
    <n v="0"/>
    <n v="0"/>
    <n v="0"/>
    <n v="0"/>
    <s v="--"/>
    <s v="--"/>
    <d v="1899-12-30T00:03:45"/>
    <d v="1899-12-30T00:00:00"/>
    <n v="0"/>
    <d v="1899-12-30T00:00:00"/>
    <s v="Não"/>
    <s v="00:00.00"/>
    <n v="1"/>
    <n v="0"/>
    <d v="1899-12-30T00:03:45"/>
    <d v="1899-12-30T00:03:45"/>
    <n v="17"/>
    <n v="21"/>
  </r>
  <r>
    <x v="2"/>
    <d v="2019-12-02T18:16:17"/>
    <s v="false"/>
    <s v="Blumenau Correr"/>
    <n v="8"/>
    <n v="567"/>
    <d v="1899-12-30T00:48:43"/>
    <s v="--"/>
    <s v="--"/>
    <s v="--"/>
    <s v="--"/>
    <s v="--"/>
    <d v="1899-12-30T06:05:00"/>
    <d v="1899-12-30T04:38:00"/>
    <n v="26"/>
    <n v="30"/>
    <n v="0"/>
    <n v="0"/>
    <n v="0"/>
    <n v="0"/>
    <n v="0"/>
    <n v="0"/>
    <s v="--"/>
    <s v="--"/>
    <d v="1900-01-01T00:43:00"/>
    <d v="1899-12-30T00:00:00"/>
    <n v="0"/>
    <d v="1899-12-30T00:00:00"/>
    <s v="Não"/>
    <s v="02:02.08"/>
    <n v="11"/>
    <n v="0"/>
    <d v="1899-12-30T00:48:41"/>
    <d v="1899-12-30T00:48:43"/>
    <n v="12"/>
    <n v="29"/>
  </r>
  <r>
    <x v="2"/>
    <d v="2019-11-20T20:08:06"/>
    <s v="false"/>
    <s v="Blumenau Correr"/>
    <n v="4"/>
    <n v="292"/>
    <d v="1899-12-30T00:22:08"/>
    <s v="--"/>
    <s v="--"/>
    <s v="--"/>
    <s v="--"/>
    <s v="--"/>
    <d v="1899-12-30T05:32:00"/>
    <d v="1899-12-30T05:08:00"/>
    <n v="44"/>
    <n v="42"/>
    <n v="0"/>
    <n v="0"/>
    <n v="0"/>
    <n v="0"/>
    <n v="0"/>
    <n v="0"/>
    <s v="--"/>
    <s v="--"/>
    <d v="1899-12-30T22:08:00"/>
    <d v="1899-12-30T00:00:00"/>
    <n v="0"/>
    <d v="1899-12-30T00:00:00"/>
    <s v="Não"/>
    <s v="00:00.00"/>
    <n v="1"/>
    <n v="0"/>
    <d v="1899-12-30T00:22:08"/>
    <d v="1899-12-30T00:22:08"/>
    <n v="17"/>
    <n v="27"/>
  </r>
  <r>
    <x v="2"/>
    <d v="2019-11-13T20:11:10"/>
    <s v="false"/>
    <s v="Blumenau Correr"/>
    <n v="5"/>
    <n v="360"/>
    <d v="1899-12-30T00:26:25"/>
    <s v="--"/>
    <s v="--"/>
    <s v="--"/>
    <s v="--"/>
    <s v="--"/>
    <d v="1899-12-30T05:17:00"/>
    <d v="1899-12-30T04:42:00"/>
    <n v="51"/>
    <n v="44"/>
    <n v="0"/>
    <n v="0"/>
    <n v="0"/>
    <n v="0"/>
    <n v="0"/>
    <n v="0"/>
    <s v="--"/>
    <s v="--"/>
    <d v="1899-12-31T02:25:00"/>
    <d v="1899-12-30T00:00:00"/>
    <n v="0"/>
    <d v="1899-12-30T00:00:00"/>
    <s v="Não"/>
    <s v="00:00.77"/>
    <n v="6"/>
    <n v="0"/>
    <d v="1899-12-30T00:26:24"/>
    <d v="1899-12-30T00:26:25"/>
    <n v="17"/>
    <n v="26"/>
  </r>
  <r>
    <x v="2"/>
    <d v="2019-11-12T22:06:05"/>
    <s v="false"/>
    <s v="Correr"/>
    <n v="0"/>
    <s v="--"/>
    <d v="1899-12-30T00:56:46"/>
    <s v="--"/>
    <s v="--"/>
    <s v="--"/>
    <s v="--"/>
    <s v="--"/>
    <s v="--"/>
    <s v="--"/>
    <s v="--"/>
    <s v="--"/>
    <n v="0"/>
    <n v="0"/>
    <n v="0"/>
    <n v="0"/>
    <n v="0"/>
    <n v="0"/>
    <s v="--"/>
    <s v="--"/>
    <d v="1900-01-01T08:46:00"/>
    <d v="1899-12-30T00:00:00"/>
    <n v="0"/>
    <d v="1899-12-30T00:00:00"/>
    <s v="Não"/>
    <s v="00:00.00"/>
    <n v="1"/>
    <n v="0"/>
    <d v="1899-12-30T00:00:00"/>
    <d v="1899-12-30T00:56:46"/>
    <s v="--"/>
    <s v="--"/>
  </r>
  <r>
    <x v="2"/>
    <d v="2019-11-11T20:13:32"/>
    <s v="false"/>
    <s v="Blumenau Correr"/>
    <n v="6"/>
    <n v="437"/>
    <d v="1899-12-30T00:34:36"/>
    <s v="--"/>
    <s v="--"/>
    <s v="--"/>
    <s v="--"/>
    <s v="--"/>
    <d v="1899-12-30T05:46:00"/>
    <d v="1899-12-30T04:55:00"/>
    <n v="70"/>
    <n v="67"/>
    <n v="0"/>
    <n v="0"/>
    <n v="0"/>
    <n v="0"/>
    <n v="0"/>
    <n v="0"/>
    <s v="--"/>
    <s v="--"/>
    <d v="1899-12-31T10:36:00"/>
    <d v="1899-12-30T00:00:00"/>
    <n v="0"/>
    <d v="1899-12-30T00:00:00"/>
    <s v="Não"/>
    <s v="00:00.81"/>
    <n v="8"/>
    <n v="0"/>
    <d v="1899-12-30T00:34:36"/>
    <d v="1899-12-30T00:34:36"/>
    <n v="15"/>
    <n v="27"/>
  </r>
  <r>
    <x v="2"/>
    <d v="2019-11-08T19:33:01"/>
    <s v="false"/>
    <s v="Blumenau Corrida"/>
    <n v="0.97"/>
    <n v="65"/>
    <d v="1899-12-30T00:04:56"/>
    <s v="--"/>
    <s v="--"/>
    <s v="--"/>
    <n v="151"/>
    <n v="173"/>
    <d v="1899-12-30T05:06:00"/>
    <d v="1899-12-30T02:24:00"/>
    <s v="--"/>
    <s v="--"/>
    <n v="1.3"/>
    <n v="0"/>
    <n v="0"/>
    <n v="0"/>
    <n v="0"/>
    <n v="0"/>
    <s v="--"/>
    <s v="--"/>
    <d v="1899-12-30T00:04:56"/>
    <d v="1899-12-30T00:00:00"/>
    <n v="0"/>
    <d v="1899-12-30T00:00:00"/>
    <s v="Não"/>
    <s v="00:00.00"/>
    <n v="1"/>
    <n v="0"/>
    <d v="1899-12-30T00:04:30"/>
    <d v="1899-12-30T00:05:02"/>
    <n v="11"/>
    <n v="13"/>
  </r>
  <r>
    <x v="2"/>
    <d v="2019-11-08T19:16:29"/>
    <s v="false"/>
    <s v="Blumenau Corrida"/>
    <n v="2.31"/>
    <n v="172"/>
    <d v="1899-12-30T00:11:05"/>
    <s v="--"/>
    <s v="--"/>
    <s v="--"/>
    <n v="169"/>
    <n v="177"/>
    <d v="1899-12-30T04:47:00"/>
    <d v="1899-12-30T03:57:00"/>
    <s v="--"/>
    <s v="--"/>
    <n v="1.24"/>
    <n v="0"/>
    <n v="0"/>
    <n v="0"/>
    <n v="0"/>
    <n v="0"/>
    <s v="--"/>
    <s v="--"/>
    <d v="1899-12-30T11:05:00"/>
    <d v="1899-12-30T00:00:00"/>
    <n v="0"/>
    <d v="1899-12-30T00:00:00"/>
    <s v="Não"/>
    <s v="01:41.76"/>
    <n v="3"/>
    <n v="0"/>
    <d v="1899-12-30T00:10:58"/>
    <d v="1899-12-30T00:14:25"/>
    <n v="11"/>
    <n v="13"/>
  </r>
  <r>
    <x v="2"/>
    <d v="2019-11-08T19:06:10"/>
    <s v="false"/>
    <s v="Blumenau Corrida"/>
    <n v="1.02"/>
    <n v="73"/>
    <d v="1899-12-30T00:05:51"/>
    <s v="--"/>
    <s v="--"/>
    <s v="--"/>
    <n v="159"/>
    <n v="164"/>
    <d v="1899-12-30T05:45:00"/>
    <d v="1899-12-30T05:31:00"/>
    <s v="--"/>
    <s v="--"/>
    <n v="1.0900000000000001"/>
    <n v="0"/>
    <n v="0"/>
    <n v="0"/>
    <n v="0"/>
    <n v="0"/>
    <s v="--"/>
    <s v="--"/>
    <d v="1899-12-30T00:05:51"/>
    <d v="1899-12-30T00:00:00"/>
    <n v="0"/>
    <d v="1899-12-30T00:00:00"/>
    <s v="Não"/>
    <s v="00:06.54"/>
    <n v="2"/>
    <n v="0"/>
    <d v="1899-12-30T00:05:50"/>
    <d v="1899-12-30T00:05:51"/>
    <n v="10"/>
    <n v="13"/>
  </r>
  <r>
    <x v="2"/>
    <d v="2019-11-06T18:03:39"/>
    <s v="false"/>
    <s v="Blumenau Corrida"/>
    <n v="2.34"/>
    <n v="79"/>
    <d v="1899-12-30T00:11:26"/>
    <s v="--"/>
    <s v="--"/>
    <s v="--"/>
    <n v="173"/>
    <n v="185"/>
    <d v="1899-12-30T04:53:00"/>
    <d v="1899-12-30T02:49:00"/>
    <s v="--"/>
    <s v="--"/>
    <n v="1.19"/>
    <n v="0"/>
    <n v="0"/>
    <n v="0"/>
    <n v="0"/>
    <n v="0"/>
    <s v="--"/>
    <s v="--"/>
    <d v="1899-12-30T11:26:00"/>
    <d v="1899-12-30T00:00:00"/>
    <n v="0"/>
    <d v="1899-12-30T00:00:00"/>
    <s v="Não"/>
    <s v="01:43.26"/>
    <n v="3"/>
    <n v="0"/>
    <d v="1899-12-30T00:10:41"/>
    <d v="1899-12-30T00:12:00"/>
    <n v="11"/>
    <n v="13"/>
  </r>
  <r>
    <x v="2"/>
    <d v="2019-11-06T18:01:54"/>
    <s v="false"/>
    <s v="Blumenau Corrida"/>
    <n v="0.16"/>
    <s v="--"/>
    <d v="1899-12-30T00:00:52"/>
    <s v="--"/>
    <s v="--"/>
    <s v="--"/>
    <n v="118"/>
    <n v="118"/>
    <d v="1899-12-30T05:20:00"/>
    <s v="--"/>
    <s v="--"/>
    <s v="--"/>
    <n v="1.59"/>
    <n v="0"/>
    <n v="0"/>
    <n v="0"/>
    <n v="0"/>
    <n v="0"/>
    <s v="--"/>
    <s v="--"/>
    <d v="1899-12-30T00:00:52"/>
    <d v="1899-12-30T00:00:00"/>
    <n v="0"/>
    <d v="1899-12-30T00:00:00"/>
    <s v="Não"/>
    <s v="00:00.00"/>
    <n v="1"/>
    <n v="0"/>
    <d v="1899-12-30T00:00:00"/>
    <d v="1899-12-30T00:00:57"/>
    <n v="11"/>
    <n v="13"/>
  </r>
  <r>
    <x v="2"/>
    <d v="2019-11-06T17:53:13"/>
    <s v="false"/>
    <s v="Blumenau Corrida"/>
    <n v="0.4"/>
    <n v="14"/>
    <d v="1899-12-30T00:02:19"/>
    <s v="--"/>
    <s v="--"/>
    <s v="--"/>
    <n v="157"/>
    <n v="171"/>
    <d v="1899-12-30T05:50:00"/>
    <d v="1899-12-30T04:59:00"/>
    <s v="--"/>
    <s v="--"/>
    <n v="1.0900000000000001"/>
    <n v="0"/>
    <n v="0"/>
    <n v="0"/>
    <n v="0"/>
    <n v="0"/>
    <s v="--"/>
    <s v="--"/>
    <d v="1899-12-30T00:02:19"/>
    <d v="1899-12-30T00:00:00"/>
    <n v="0"/>
    <d v="1899-12-30T00:00:00"/>
    <s v="Não"/>
    <s v="00:00.00"/>
    <n v="1"/>
    <n v="0"/>
    <d v="1899-12-30T00:02:19"/>
    <d v="1899-12-30T00:02:19"/>
    <n v="11"/>
    <n v="13"/>
  </r>
  <r>
    <x v="2"/>
    <d v="2019-11-05T17:47:59"/>
    <s v="false"/>
    <s v="Blumenau Corrida"/>
    <n v="5.09"/>
    <n v="186"/>
    <d v="1899-12-30T00:30:03"/>
    <s v="--"/>
    <s v="--"/>
    <s v="--"/>
    <n v="164"/>
    <n v="171"/>
    <d v="1899-12-30T05:54:00"/>
    <d v="1899-12-30T04:31:00"/>
    <n v="1"/>
    <n v="1"/>
    <n v="1.03"/>
    <n v="0"/>
    <n v="0"/>
    <n v="0"/>
    <n v="0"/>
    <n v="0"/>
    <s v="--"/>
    <s v="--"/>
    <d v="1899-12-31T06:03:00"/>
    <d v="1899-12-30T00:00:00"/>
    <n v="0"/>
    <d v="1899-12-30T00:00:00"/>
    <s v="Não"/>
    <s v="00:34.37"/>
    <n v="6"/>
    <n v="0"/>
    <d v="1899-12-30T00:30:02"/>
    <d v="1899-12-30T00:30:03"/>
    <n v="10"/>
    <n v="1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x v="0"/>
    <d v="2021-07-19T06:49:42"/>
    <s v="false"/>
    <s v="Força"/>
    <n v="0"/>
    <n v="170"/>
    <d v="1899-12-30T00:36:12"/>
    <n v="107"/>
    <n v="152"/>
    <n v="1.1000000000000001"/>
    <s v="--"/>
    <s v="--"/>
    <s v="--"/>
    <s v="--"/>
    <s v="--"/>
    <s v="--"/>
    <n v="0"/>
    <n v="0"/>
    <n v="0"/>
    <n v="0"/>
    <n v="0"/>
    <n v="0"/>
    <n v="166"/>
    <n v="20"/>
    <d v="1899-12-31T12:12:00"/>
    <d v="1899-12-30T00:00:00"/>
    <n v="0"/>
    <d v="1899-12-30T00:00:00"/>
    <s v="Não"/>
    <s v="36:12.03"/>
    <n v="1"/>
    <n v="0"/>
    <d v="1899-12-30T00:18:51"/>
    <d v="1899-12-30T00:36:12"/>
    <s v="--"/>
    <s v="--"/>
  </r>
  <r>
    <x v="1"/>
    <d v="2021-07-18T08:38:18"/>
    <s v="false"/>
    <s v="Blumenau Ciclismo"/>
    <n v="18.04"/>
    <n v="636"/>
    <d v="1899-12-30T02:03:44"/>
    <n v="116"/>
    <n v="163"/>
    <n v="2.2000000000000002"/>
    <s v="--"/>
    <s v="--"/>
    <n v="8.6999999999999993"/>
    <n v="24.6"/>
    <n v="142"/>
    <n v="145"/>
    <n v="0"/>
    <n v="0"/>
    <n v="0"/>
    <n v="0"/>
    <n v="0"/>
    <n v="0"/>
    <s v="--"/>
    <s v="--"/>
    <d v="1899-12-30T02:03:44"/>
    <d v="1899-12-30T00:00:00"/>
    <n v="0"/>
    <d v="1899-12-30T00:00:00"/>
    <s v="Não"/>
    <s v="12:25.05"/>
    <n v="4"/>
    <n v="0"/>
    <d v="1899-12-30T01:29:55"/>
    <d v="1899-12-30T02:03:44"/>
    <n v="3"/>
    <n v="41"/>
  </r>
  <r>
    <x v="2"/>
    <d v="2021-07-17T07:12:56"/>
    <s v="false"/>
    <s v="Pomerode Corrida"/>
    <n v="6.05"/>
    <n v="602"/>
    <d v="1899-12-30T00:49:39"/>
    <n v="176"/>
    <n v="218"/>
    <n v="4.5999999999999996"/>
    <n v="113"/>
    <n v="243"/>
    <d v="1899-12-30T08:13:00"/>
    <d v="1899-12-30T04:08:00"/>
    <n v="293"/>
    <n v="294"/>
    <n v="1.01"/>
    <n v="0"/>
    <n v="0"/>
    <n v="0"/>
    <n v="0"/>
    <n v="0"/>
    <s v="--"/>
    <s v="--"/>
    <d v="1900-01-01T01:39:00"/>
    <d v="1899-12-30T00:00:00"/>
    <n v="0"/>
    <d v="1899-12-30T00:00:00"/>
    <s v="Não"/>
    <s v="00:30.41"/>
    <n v="8"/>
    <n v="0"/>
    <d v="1899-12-30T00:42:10"/>
    <d v="1899-12-30T00:49:39"/>
    <n v="84"/>
    <n v="380"/>
  </r>
  <r>
    <x v="0"/>
    <d v="2021-07-13T06:56:10"/>
    <s v="false"/>
    <s v="Força"/>
    <n v="0"/>
    <n v="219"/>
    <d v="1899-12-30T00:37:39"/>
    <n v="117"/>
    <n v="160"/>
    <n v="1.7"/>
    <s v="--"/>
    <s v="--"/>
    <s v="--"/>
    <s v="--"/>
    <s v="--"/>
    <s v="--"/>
    <n v="0"/>
    <n v="0"/>
    <n v="0"/>
    <n v="0"/>
    <n v="0"/>
    <n v="0"/>
    <n v="159"/>
    <n v="20"/>
    <d v="1899-12-31T13:39:00"/>
    <d v="1899-12-30T00:00:00"/>
    <n v="0"/>
    <d v="1899-12-30T00:00:00"/>
    <s v="Não"/>
    <s v="37:38.93"/>
    <n v="1"/>
    <n v="0"/>
    <d v="1899-12-30T00:18:40"/>
    <d v="1899-12-30T00:37:39"/>
    <s v="--"/>
    <s v="--"/>
  </r>
  <r>
    <x v="2"/>
    <d v="2021-07-12T06:40:44"/>
    <s v="false"/>
    <s v="Blumenau Corrida"/>
    <n v="5.91"/>
    <n v="396"/>
    <d v="1899-12-30T00:40:01"/>
    <n v="153"/>
    <n v="189"/>
    <n v="3.2"/>
    <n v="137"/>
    <n v="181"/>
    <d v="1899-12-30T06:46:00"/>
    <d v="1899-12-30T03:52:00"/>
    <n v="36"/>
    <n v="36"/>
    <n v="1.06"/>
    <n v="0"/>
    <n v="0"/>
    <n v="0"/>
    <n v="0"/>
    <n v="0"/>
    <s v="--"/>
    <s v="--"/>
    <d v="1899-12-31T16:01:00"/>
    <d v="1899-12-30T00:00:00"/>
    <n v="0"/>
    <d v="1899-12-30T00:00:00"/>
    <s v="Não"/>
    <s v="00:01.43"/>
    <n v="8"/>
    <n v="0"/>
    <d v="1899-12-30T00:39:11"/>
    <d v="1899-12-30T00:40:47"/>
    <n v="11"/>
    <n v="21"/>
  </r>
  <r>
    <x v="2"/>
    <d v="2021-07-10T07:48:19"/>
    <s v="false"/>
    <s v="Blumenau Corrida"/>
    <n v="16.010000000000002"/>
    <n v="1233"/>
    <d v="1899-12-30T01:44:30"/>
    <n v="174"/>
    <n v="206"/>
    <n v="5"/>
    <n v="150"/>
    <n v="247"/>
    <d v="1899-12-30T06:32:00"/>
    <d v="1899-12-30T05:25:00"/>
    <n v="305"/>
    <n v="307"/>
    <n v="1.02"/>
    <n v="0"/>
    <n v="0"/>
    <n v="0"/>
    <n v="0"/>
    <n v="0"/>
    <s v="--"/>
    <s v="--"/>
    <d v="1899-12-30T01:44:30"/>
    <d v="1899-12-30T00:00:00"/>
    <n v="0"/>
    <d v="1899-12-30T00:00:00"/>
    <s v="Não"/>
    <s v="00:03.65"/>
    <n v="17"/>
    <n v="0"/>
    <d v="1899-12-30T01:44:25"/>
    <d v="1899-12-30T01:44:30"/>
    <n v="17"/>
    <n v="125"/>
  </r>
  <r>
    <x v="0"/>
    <d v="2021-07-09T07:01:28"/>
    <s v="false"/>
    <s v="Força"/>
    <n v="0"/>
    <n v="333"/>
    <d v="1899-12-30T00:53:49"/>
    <n v="125"/>
    <n v="168"/>
    <n v="2.2000000000000002"/>
    <s v="--"/>
    <s v="--"/>
    <s v="--"/>
    <s v="--"/>
    <s v="--"/>
    <s v="--"/>
    <n v="0"/>
    <n v="0"/>
    <n v="0"/>
    <n v="0"/>
    <n v="0"/>
    <n v="0"/>
    <n v="265"/>
    <n v="24"/>
    <d v="1900-01-01T05:49:00"/>
    <d v="1899-12-30T00:00:00"/>
    <n v="0"/>
    <d v="1899-12-30T00:00:00"/>
    <s v="Não"/>
    <s v="53:48.75"/>
    <n v="1"/>
    <n v="0"/>
    <d v="1899-12-30T00:29:18"/>
    <d v="1899-12-30T00:53:49"/>
    <s v="--"/>
    <s v="--"/>
  </r>
  <r>
    <x v="2"/>
    <d v="2021-07-08T17:49:32"/>
    <s v="false"/>
    <s v="Blumenau - 10k - 90 a 95%"/>
    <n v="10.01"/>
    <n v="744"/>
    <d v="1899-12-30T01:01:52"/>
    <n v="172"/>
    <n v="188"/>
    <n v="5"/>
    <n v="160"/>
    <n v="168"/>
    <d v="1899-12-30T06:11:00"/>
    <d v="1899-12-30T05:04:00"/>
    <n v="64"/>
    <n v="78"/>
    <n v="1.01"/>
    <n v="0"/>
    <n v="0"/>
    <n v="0"/>
    <n v="0"/>
    <n v="0"/>
    <s v="--"/>
    <s v="--"/>
    <d v="1899-12-30T01:01:52"/>
    <d v="1899-12-30T00:00:00"/>
    <n v="0"/>
    <d v="1899-12-30T00:00:00"/>
    <s v="Não"/>
    <s v="00:05.04"/>
    <n v="11"/>
    <n v="0"/>
    <d v="1899-12-30T01:01:43"/>
    <d v="1899-12-30T01:01:52"/>
    <n v="9"/>
    <n v="49"/>
  </r>
  <r>
    <x v="2"/>
    <d v="2021-07-03T08:08:16"/>
    <s v="false"/>
    <s v="Blumenau Corrida"/>
    <n v="14.12"/>
    <n v="1047"/>
    <d v="1899-12-30T01:30:02"/>
    <n v="170"/>
    <n v="201"/>
    <n v="5"/>
    <n v="153"/>
    <n v="244"/>
    <d v="1899-12-30T06:23:00"/>
    <d v="1899-12-30T05:32:00"/>
    <n v="175"/>
    <n v="177"/>
    <n v="1.03"/>
    <n v="0"/>
    <n v="0"/>
    <n v="0"/>
    <n v="0"/>
    <n v="0"/>
    <s v="--"/>
    <s v="--"/>
    <d v="1899-12-30T01:30:02"/>
    <d v="1899-12-30T00:00:00"/>
    <n v="0"/>
    <d v="1899-12-30T00:00:00"/>
    <s v="Não"/>
    <s v="00:36.10"/>
    <n v="15"/>
    <n v="0"/>
    <d v="1899-12-30T01:29:59"/>
    <d v="1899-12-30T01:30:02"/>
    <n v="15"/>
    <n v="64"/>
  </r>
  <r>
    <x v="0"/>
    <d v="2021-07-02T07:02:14"/>
    <s v="false"/>
    <s v="Força"/>
    <n v="0"/>
    <n v="280"/>
    <d v="1899-12-30T00:49:59"/>
    <n v="119"/>
    <n v="168"/>
    <n v="2.1"/>
    <s v="--"/>
    <s v="--"/>
    <s v="--"/>
    <s v="--"/>
    <s v="--"/>
    <s v="--"/>
    <n v="0"/>
    <n v="0"/>
    <n v="0"/>
    <n v="0"/>
    <n v="0"/>
    <n v="0"/>
    <n v="236"/>
    <n v="24"/>
    <d v="1900-01-01T01:59:00"/>
    <d v="1899-12-30T00:00:00"/>
    <n v="0"/>
    <d v="1899-12-30T00:00:00"/>
    <s v="Não"/>
    <s v="49:58.81"/>
    <n v="1"/>
    <n v="0"/>
    <d v="1899-12-30T00:26:15"/>
    <d v="1899-12-30T00:49:59"/>
    <s v="--"/>
    <s v="--"/>
  </r>
  <r>
    <x v="3"/>
    <d v="2021-07-01T18:17:01"/>
    <s v="false"/>
    <s v="8k - 95 a 100%"/>
    <n v="8.01"/>
    <n v="610"/>
    <d v="1899-12-30T00:51:57"/>
    <n v="165"/>
    <n v="176"/>
    <n v="4.3"/>
    <n v="157"/>
    <n v="180"/>
    <d v="1899-12-30T06:29:00"/>
    <d v="1899-12-30T05:31:00"/>
    <s v="--"/>
    <s v="--"/>
    <n v="0.98"/>
    <n v="0"/>
    <n v="0"/>
    <n v="0"/>
    <n v="0"/>
    <n v="0"/>
    <s v="--"/>
    <s v="--"/>
    <d v="1900-01-01T03:57:00"/>
    <d v="1899-12-30T00:00:00"/>
    <n v="0"/>
    <d v="1899-12-30T00:00:00"/>
    <s v="Não"/>
    <s v="00:02.87"/>
    <n v="9"/>
    <n v="0"/>
    <d v="1899-12-30T00:51:31"/>
    <d v="1899-12-30T00:51:57"/>
    <s v="--"/>
    <s v="--"/>
  </r>
  <r>
    <x v="0"/>
    <d v="2021-06-30T07:01:20"/>
    <s v="false"/>
    <s v="Força"/>
    <n v="0"/>
    <n v="313"/>
    <d v="1899-12-30T00:51:16"/>
    <n v="124"/>
    <n v="142"/>
    <n v="2"/>
    <s v="--"/>
    <s v="--"/>
    <s v="--"/>
    <s v="--"/>
    <s v="--"/>
    <s v="--"/>
    <n v="0"/>
    <n v="0"/>
    <n v="0"/>
    <n v="0"/>
    <n v="0"/>
    <n v="0"/>
    <n v="173"/>
    <n v="24"/>
    <d v="1900-01-01T03:16:00"/>
    <d v="1899-12-30T00:00:00"/>
    <n v="0"/>
    <d v="1899-12-30T00:00:00"/>
    <s v="Não"/>
    <s v="51:15.65"/>
    <n v="1"/>
    <n v="0"/>
    <d v="1899-12-30T00:26:38"/>
    <d v="1899-12-30T00:51:16"/>
    <s v="--"/>
    <s v="--"/>
  </r>
  <r>
    <x v="3"/>
    <d v="2021-06-29T17:25:46"/>
    <s v="false"/>
    <s v="6 x 1km com intervalo 3min parad"/>
    <n v="8.1"/>
    <n v="615"/>
    <d v="1899-12-30T01:04:46"/>
    <n v="151"/>
    <n v="183"/>
    <n v="3.5"/>
    <n v="123"/>
    <n v="210"/>
    <d v="1899-12-30T08:00:00"/>
    <d v="1899-12-30T04:54:00"/>
    <s v="--"/>
    <s v="--"/>
    <n v="0.84"/>
    <n v="0"/>
    <n v="0"/>
    <n v="0"/>
    <n v="0"/>
    <n v="0"/>
    <s v="--"/>
    <s v="--"/>
    <d v="1899-12-30T01:04:46"/>
    <d v="1899-12-30T00:00:00"/>
    <n v="0"/>
    <d v="1899-12-30T00:00:00"/>
    <s v="Não"/>
    <s v="00:02.70"/>
    <n v="15"/>
    <n v="0"/>
    <d v="1899-12-30T00:47:13"/>
    <d v="1899-12-30T01:04:46"/>
    <s v="--"/>
    <s v="--"/>
  </r>
  <r>
    <x v="0"/>
    <d v="2021-06-28T07:02:15"/>
    <s v="false"/>
    <s v="Força"/>
    <n v="0"/>
    <n v="313"/>
    <d v="1899-12-30T00:49:20"/>
    <n v="124"/>
    <n v="174"/>
    <n v="2.4"/>
    <s v="--"/>
    <s v="--"/>
    <s v="--"/>
    <s v="--"/>
    <s v="--"/>
    <s v="--"/>
    <n v="0"/>
    <n v="0"/>
    <n v="0"/>
    <n v="0"/>
    <n v="0"/>
    <n v="0"/>
    <n v="266"/>
    <n v="24"/>
    <d v="1900-01-01T01:20:00"/>
    <d v="1899-12-30T00:00:00"/>
    <n v="0"/>
    <d v="1899-12-30T00:00:00"/>
    <s v="Não"/>
    <s v="49:19.86"/>
    <n v="1"/>
    <n v="0"/>
    <d v="1899-12-30T00:25:07"/>
    <d v="1899-12-30T00:49:20"/>
    <s v="--"/>
    <s v="--"/>
  </r>
  <r>
    <x v="2"/>
    <d v="2021-06-27T09:01:30"/>
    <s v="false"/>
    <s v="Blumenau Corrida"/>
    <n v="13.95"/>
    <n v="1038"/>
    <d v="1899-12-30T01:30:02"/>
    <n v="171"/>
    <n v="201"/>
    <n v="5"/>
    <n v="150"/>
    <n v="241"/>
    <d v="1899-12-30T06:27:00"/>
    <d v="1899-12-30T05:37:00"/>
    <n v="169"/>
    <n v="178"/>
    <n v="1.03"/>
    <n v="0"/>
    <n v="0"/>
    <n v="0"/>
    <n v="0"/>
    <n v="0"/>
    <s v="--"/>
    <s v="--"/>
    <d v="1899-12-30T01:30:02"/>
    <d v="1899-12-30T00:00:00"/>
    <n v="0"/>
    <d v="1899-12-30T00:00:00"/>
    <s v="Não"/>
    <s v="05:45.15"/>
    <n v="14"/>
    <n v="0"/>
    <d v="1899-12-30T01:29:51"/>
    <d v="1899-12-30T01:30:02"/>
    <n v="10"/>
    <n v="57"/>
  </r>
  <r>
    <x v="0"/>
    <d v="2021-06-25T07:05:29"/>
    <s v="false"/>
    <s v="Força"/>
    <n v="0"/>
    <n v="319"/>
    <d v="1899-12-30T00:52:39"/>
    <n v="124"/>
    <n v="148"/>
    <n v="2"/>
    <s v="--"/>
    <s v="--"/>
    <s v="--"/>
    <s v="--"/>
    <s v="--"/>
    <s v="--"/>
    <n v="0"/>
    <n v="0"/>
    <n v="0"/>
    <n v="0"/>
    <n v="0"/>
    <n v="0"/>
    <n v="157"/>
    <n v="24"/>
    <d v="1900-01-01T04:39:00"/>
    <d v="1899-12-30T00:00:00"/>
    <n v="0"/>
    <d v="1899-12-30T00:00:00"/>
    <s v="Não"/>
    <s v="52:38.80"/>
    <n v="1"/>
    <n v="0"/>
    <d v="1899-12-30T00:25:11"/>
    <d v="1899-12-30T00:52:39"/>
    <s v="--"/>
    <s v="--"/>
  </r>
  <r>
    <x v="3"/>
    <d v="2021-06-24T18:03:30"/>
    <s v="false"/>
    <s v="10k - 90 a 95%"/>
    <n v="10.01"/>
    <n v="704"/>
    <d v="1899-12-30T00:59:41"/>
    <n v="167"/>
    <n v="185"/>
    <n v="4.9000000000000004"/>
    <n v="160"/>
    <n v="176"/>
    <d v="1899-12-30T05:58:00"/>
    <d v="1899-12-30T05:12:00"/>
    <s v="--"/>
    <s v="--"/>
    <n v="1.05"/>
    <n v="0"/>
    <n v="0"/>
    <n v="0"/>
    <n v="0"/>
    <n v="0"/>
    <s v="--"/>
    <s v="--"/>
    <d v="1900-01-01T11:41:00"/>
    <d v="1899-12-30T00:00:00"/>
    <n v="0"/>
    <d v="1899-12-30T00:00:00"/>
    <s v="Não"/>
    <s v="00:01.37"/>
    <n v="11"/>
    <n v="0"/>
    <d v="1899-12-30T00:59:34"/>
    <d v="1899-12-30T00:59:41"/>
    <s v="--"/>
    <s v="--"/>
  </r>
  <r>
    <x v="2"/>
    <d v="2021-06-22T06:51:27"/>
    <s v="false"/>
    <s v="Blumenau - 4 x 1km forte com 500m leve"/>
    <n v="8.01"/>
    <n v="560"/>
    <d v="1899-12-30T00:48:54"/>
    <n v="166"/>
    <n v="186"/>
    <n v="4.2"/>
    <n v="158"/>
    <n v="170"/>
    <d v="1899-12-30T06:06:00"/>
    <d v="1899-12-30T04:42:00"/>
    <n v="24"/>
    <n v="36"/>
    <n v="1.03"/>
    <n v="0"/>
    <n v="0"/>
    <n v="0"/>
    <n v="0"/>
    <n v="0"/>
    <s v="--"/>
    <s v="--"/>
    <d v="1900-01-01T00:54:00"/>
    <d v="1899-12-30T00:00:00"/>
    <n v="0"/>
    <d v="1899-12-30T00:00:00"/>
    <s v="Não"/>
    <s v="00:04.61"/>
    <n v="11"/>
    <n v="0"/>
    <d v="1899-12-30T00:48:50"/>
    <d v="1899-12-30T00:48:54"/>
    <n v="12"/>
    <n v="28"/>
  </r>
  <r>
    <x v="0"/>
    <d v="2021-06-21T06:55:09"/>
    <s v="false"/>
    <s v="Força"/>
    <n v="0"/>
    <n v="296"/>
    <d v="1899-12-30T00:53:04"/>
    <n v="119"/>
    <n v="164"/>
    <n v="2.1"/>
    <s v="--"/>
    <s v="--"/>
    <s v="--"/>
    <s v="--"/>
    <s v="--"/>
    <s v="--"/>
    <n v="0"/>
    <n v="0"/>
    <n v="0"/>
    <n v="0"/>
    <n v="0"/>
    <n v="0"/>
    <n v="321"/>
    <n v="27"/>
    <d v="1900-01-01T05:04:00"/>
    <d v="1899-12-30T00:00:00"/>
    <n v="0"/>
    <d v="1899-12-30T00:00:00"/>
    <s v="Não"/>
    <s v="53:03.70"/>
    <n v="1"/>
    <n v="0"/>
    <d v="1899-12-30T00:26:21"/>
    <d v="1899-12-30T00:53:04"/>
    <s v="--"/>
    <s v="--"/>
  </r>
  <r>
    <x v="3"/>
    <d v="2021-06-20T09:20:41"/>
    <s v="false"/>
    <s v="Corrida em esteira"/>
    <n v="6.19"/>
    <n v="470"/>
    <d v="1899-12-30T00:46:02"/>
    <n v="155"/>
    <n v="186"/>
    <n v="3.6"/>
    <n v="142"/>
    <n v="225"/>
    <d v="1899-12-30T07:26:00"/>
    <d v="1899-12-30T04:50:00"/>
    <s v="--"/>
    <s v="--"/>
    <n v="0.93"/>
    <n v="0"/>
    <n v="0"/>
    <n v="0"/>
    <n v="0"/>
    <n v="0"/>
    <s v="--"/>
    <s v="--"/>
    <d v="1899-12-31T22:02:00"/>
    <d v="1899-12-30T00:00:00"/>
    <n v="0"/>
    <d v="1899-12-30T00:00:00"/>
    <s v="Não"/>
    <s v="03:50.01"/>
    <n v="7"/>
    <n v="0"/>
    <d v="1899-12-30T00:43:41"/>
    <d v="1899-12-30T00:46:02"/>
    <s v="--"/>
    <s v="--"/>
  </r>
  <r>
    <x v="3"/>
    <d v="2021-06-17T17:57:56"/>
    <s v="false"/>
    <s v="8k - 90 a 95%"/>
    <n v="8.02"/>
    <n v="555"/>
    <d v="1899-12-30T00:49:54"/>
    <n v="159"/>
    <n v="172"/>
    <n v="4.0999999999999996"/>
    <n v="157"/>
    <n v="161"/>
    <d v="1899-12-30T06:13:00"/>
    <d v="1899-12-30T04:59:00"/>
    <s v="--"/>
    <s v="--"/>
    <n v="1.03"/>
    <n v="0"/>
    <n v="0"/>
    <n v="0"/>
    <n v="0"/>
    <n v="0"/>
    <s v="--"/>
    <s v="--"/>
    <d v="1900-01-01T01:54:00"/>
    <d v="1899-12-30T00:00:00"/>
    <n v="0"/>
    <d v="1899-12-30T00:00:00"/>
    <s v="Não"/>
    <s v="00:07.70"/>
    <n v="9"/>
    <n v="0"/>
    <d v="1899-12-30T00:49:53"/>
    <d v="1899-12-30T00:49:54"/>
    <s v="--"/>
    <s v="--"/>
  </r>
  <r>
    <x v="3"/>
    <d v="2021-06-15T18:11:22"/>
    <s v="false"/>
    <s v="10 x 300m moderado/forte com 100"/>
    <n v="7.01"/>
    <n v="410"/>
    <d v="1899-12-30T00:42:34"/>
    <n v="147"/>
    <n v="172"/>
    <n v="3.3"/>
    <n v="155"/>
    <n v="161"/>
    <d v="1899-12-30T06:04:00"/>
    <d v="1899-12-30T04:38:00"/>
    <s v="--"/>
    <s v="--"/>
    <n v="1.06"/>
    <n v="0"/>
    <n v="0"/>
    <n v="0"/>
    <n v="0"/>
    <n v="0"/>
    <s v="--"/>
    <s v="--"/>
    <d v="1899-12-31T18:34:00"/>
    <d v="1899-12-30T00:00:00"/>
    <n v="0"/>
    <d v="1899-12-30T00:00:00"/>
    <s v="Não"/>
    <s v="00:03.37"/>
    <n v="24"/>
    <n v="0"/>
    <d v="1899-12-30T00:42:26"/>
    <d v="1899-12-30T00:42:34"/>
    <s v="--"/>
    <s v="--"/>
  </r>
  <r>
    <x v="2"/>
    <d v="2021-06-13T08:46:56"/>
    <s v="false"/>
    <s v="Blumenau Corrida"/>
    <n v="18.399999999999999"/>
    <n v="1332"/>
    <d v="1899-12-30T02:00:01"/>
    <n v="167"/>
    <n v="192"/>
    <n v="5"/>
    <n v="154"/>
    <n v="244"/>
    <d v="1899-12-30T06:31:00"/>
    <d v="1899-12-30T05:31:00"/>
    <n v="409"/>
    <n v="377"/>
    <n v="1"/>
    <n v="0"/>
    <n v="0"/>
    <n v="0"/>
    <n v="0"/>
    <n v="0"/>
    <s v="--"/>
    <s v="--"/>
    <d v="1899-12-30T02:00:01"/>
    <d v="1899-12-30T00:00:00"/>
    <n v="0"/>
    <d v="1899-12-30T00:00:00"/>
    <s v="Não"/>
    <s v="02:23.79"/>
    <n v="19"/>
    <n v="0"/>
    <d v="1899-12-30T01:59:49"/>
    <d v="1899-12-30T02:00:01"/>
    <n v="17"/>
    <n v="160"/>
  </r>
  <r>
    <x v="0"/>
    <d v="2021-06-11T06:48:51"/>
    <s v="false"/>
    <s v="Força"/>
    <n v="0"/>
    <n v="310"/>
    <d v="1899-12-30T01:03:07"/>
    <n v="114"/>
    <n v="146"/>
    <n v="1.4"/>
    <s v="--"/>
    <s v="--"/>
    <s v="--"/>
    <s v="--"/>
    <s v="--"/>
    <s v="--"/>
    <n v="0"/>
    <n v="0"/>
    <n v="0"/>
    <n v="0"/>
    <n v="0"/>
    <n v="0"/>
    <n v="209"/>
    <n v="28"/>
    <d v="1899-12-30T01:03:07"/>
    <d v="1899-12-30T00:00:00"/>
    <n v="0"/>
    <d v="1899-12-30T00:00:00"/>
    <s v="Não"/>
    <s v="01:03:07.04"/>
    <n v="1"/>
    <n v="0"/>
    <d v="1899-12-30T00:28:09"/>
    <d v="1899-12-30T01:03:07"/>
    <s v="--"/>
    <s v="--"/>
  </r>
  <r>
    <x v="3"/>
    <d v="2021-06-10T18:33:53"/>
    <s v="false"/>
    <s v="10k - 90 a 95%"/>
    <n v="10.01"/>
    <n v="693"/>
    <d v="1899-12-30T01:01:09"/>
    <n v="165"/>
    <n v="179"/>
    <n v="5"/>
    <n v="158"/>
    <n v="167"/>
    <d v="1899-12-30T06:06:00"/>
    <d v="1899-12-30T04:38:00"/>
    <s v="--"/>
    <s v="--"/>
    <n v="1.04"/>
    <n v="0"/>
    <n v="0"/>
    <n v="0"/>
    <n v="0"/>
    <n v="0"/>
    <s v="--"/>
    <s v="--"/>
    <d v="1899-12-30T01:01:09"/>
    <d v="1899-12-30T00:00:00"/>
    <n v="0"/>
    <d v="1899-12-30T00:00:00"/>
    <s v="Não"/>
    <s v="00:04.95"/>
    <n v="11"/>
    <n v="0"/>
    <d v="1899-12-30T01:00:22"/>
    <d v="1899-12-30T01:01:09"/>
    <s v="--"/>
    <s v="--"/>
  </r>
  <r>
    <x v="3"/>
    <d v="2021-06-08T18:07:33"/>
    <s v="false"/>
    <s v="6 x 500m com intervalo 2min para"/>
    <n v="7.2"/>
    <n v="471"/>
    <d v="1899-12-30T00:54:02"/>
    <n v="144"/>
    <n v="184"/>
    <n v="3.1"/>
    <n v="130"/>
    <n v="170"/>
    <d v="1899-12-30T07:30:00"/>
    <d v="1899-12-30T04:26:00"/>
    <s v="--"/>
    <s v="--"/>
    <n v="0.93"/>
    <n v="0"/>
    <n v="0"/>
    <n v="0"/>
    <n v="0"/>
    <n v="0"/>
    <s v="--"/>
    <s v="--"/>
    <d v="1900-01-01T06:02:00"/>
    <d v="1899-12-30T00:00:00"/>
    <n v="0"/>
    <d v="1899-12-30T00:00:00"/>
    <s v="Não"/>
    <s v="00:03.37"/>
    <n v="17"/>
    <n v="0"/>
    <d v="1899-12-30T00:42:51"/>
    <d v="1899-12-30T00:54:02"/>
    <s v="--"/>
    <s v="--"/>
  </r>
  <r>
    <x v="0"/>
    <d v="2021-06-07T06:43:42"/>
    <s v="false"/>
    <s v="Força"/>
    <n v="0"/>
    <n v="262"/>
    <d v="1899-12-30T00:58:08"/>
    <n v="110"/>
    <n v="150"/>
    <n v="1.5"/>
    <s v="--"/>
    <s v="--"/>
    <s v="--"/>
    <s v="--"/>
    <s v="--"/>
    <s v="--"/>
    <n v="0"/>
    <n v="0"/>
    <n v="0"/>
    <n v="0"/>
    <n v="0"/>
    <n v="0"/>
    <n v="332"/>
    <n v="28"/>
    <d v="1900-01-01T10:08:00"/>
    <d v="1899-12-30T00:00:00"/>
    <n v="0"/>
    <d v="1899-12-30T00:00:00"/>
    <s v="Não"/>
    <s v="58:07.55"/>
    <n v="1"/>
    <n v="0"/>
    <d v="1899-12-30T00:27:58"/>
    <d v="1899-12-30T00:58:08"/>
    <s v="--"/>
    <s v="--"/>
  </r>
  <r>
    <x v="2"/>
    <d v="2021-06-06T08:52:54"/>
    <s v="false"/>
    <s v="Blumenau Corrida"/>
    <n v="13.67"/>
    <n v="1054"/>
    <d v="1899-12-30T01:30:01"/>
    <n v="174"/>
    <n v="205"/>
    <n v="5"/>
    <n v="143"/>
    <n v="244"/>
    <d v="1899-12-30T06:35:00"/>
    <d v="1899-12-30T04:15:00"/>
    <n v="327"/>
    <n v="335"/>
    <n v="1.07"/>
    <n v="0"/>
    <n v="0"/>
    <n v="0"/>
    <n v="0"/>
    <n v="0"/>
    <s v="--"/>
    <s v="--"/>
    <d v="1899-12-30T01:30:01"/>
    <d v="1899-12-30T00:00:00"/>
    <n v="0"/>
    <d v="1899-12-30T00:00:00"/>
    <s v="Não"/>
    <s v="04:05.35"/>
    <n v="14"/>
    <n v="0"/>
    <d v="1899-12-30T01:29:48"/>
    <d v="1899-12-30T01:30:01"/>
    <n v="16"/>
    <n v="123"/>
  </r>
  <r>
    <x v="2"/>
    <d v="2021-06-03T07:25:17"/>
    <s v="false"/>
    <s v="Blumenau - 10 x 400 - intervalo 1 minuto"/>
    <n v="8.65"/>
    <n v="600"/>
    <d v="1899-12-30T00:57:16"/>
    <n v="159"/>
    <n v="183"/>
    <n v="4.5999999999999996"/>
    <n v="146"/>
    <n v="249"/>
    <d v="1899-12-30T06:37:00"/>
    <d v="1899-12-30T03:53:00"/>
    <n v="22"/>
    <n v="33"/>
    <n v="1.03"/>
    <n v="0"/>
    <n v="0"/>
    <n v="0"/>
    <n v="0"/>
    <n v="0"/>
    <s v="--"/>
    <s v="--"/>
    <d v="1900-01-01T09:16:00"/>
    <d v="1899-12-30T00:00:00"/>
    <n v="0"/>
    <d v="1899-12-30T00:00:00"/>
    <s v="Não"/>
    <s v="00:04.31"/>
    <n v="25"/>
    <n v="0"/>
    <d v="1899-12-30T00:53:53"/>
    <d v="1899-12-30T00:57:16"/>
    <n v="7"/>
    <n v="25"/>
  </r>
  <r>
    <x v="2"/>
    <d v="2021-06-01T06:21:28"/>
    <s v="false"/>
    <s v="Blumenau - 10k - 90 a 95%"/>
    <n v="10.02"/>
    <n v="706"/>
    <d v="1899-12-30T01:01:55"/>
    <n v="168"/>
    <n v="190"/>
    <n v="5"/>
    <n v="156"/>
    <n v="170"/>
    <d v="1899-12-30T06:11:00"/>
    <d v="1899-12-30T05:15:00"/>
    <n v="76"/>
    <n v="76"/>
    <n v="1.04"/>
    <n v="0"/>
    <n v="0"/>
    <n v="0"/>
    <n v="0"/>
    <n v="0"/>
    <s v="--"/>
    <s v="--"/>
    <d v="1899-12-30T01:01:55"/>
    <d v="1899-12-30T00:00:00"/>
    <n v="0"/>
    <d v="1899-12-30T00:00:00"/>
    <s v="Não"/>
    <s v="00:06.79"/>
    <n v="11"/>
    <n v="0"/>
    <d v="1899-12-30T01:01:52"/>
    <d v="1899-12-30T01:01:55"/>
    <n v="12"/>
    <n v="42"/>
  </r>
  <r>
    <x v="0"/>
    <d v="2021-05-31T06:44:06"/>
    <s v="false"/>
    <s v="Força"/>
    <n v="0"/>
    <n v="242"/>
    <d v="1899-12-30T00:57:44"/>
    <n v="110"/>
    <n v="157"/>
    <n v="1.6"/>
    <s v="--"/>
    <s v="--"/>
    <s v="--"/>
    <s v="--"/>
    <s v="--"/>
    <s v="--"/>
    <n v="0"/>
    <n v="0"/>
    <n v="0"/>
    <n v="0"/>
    <n v="0"/>
    <n v="0"/>
    <n v="368"/>
    <n v="31"/>
    <d v="1900-01-01T09:44:00"/>
    <d v="1899-12-30T00:00:00"/>
    <n v="0"/>
    <d v="1899-12-30T00:00:00"/>
    <s v="Não"/>
    <s v="57:43.69"/>
    <n v="1"/>
    <n v="0"/>
    <d v="1899-12-30T00:27:05"/>
    <d v="1899-12-30T00:57:54"/>
    <s v="--"/>
    <s v="--"/>
  </r>
  <r>
    <x v="2"/>
    <d v="2021-05-30T08:30:06"/>
    <s v="false"/>
    <s v="Blumenau Corrida"/>
    <n v="16.010000000000002"/>
    <n v="1056"/>
    <d v="1899-12-30T01:42:50"/>
    <n v="163"/>
    <n v="185"/>
    <n v="5"/>
    <n v="154"/>
    <n v="168"/>
    <d v="1899-12-30T06:25:00"/>
    <d v="1899-12-30T05:22:00"/>
    <n v="273"/>
    <n v="282"/>
    <n v="1.01"/>
    <n v="0"/>
    <n v="0"/>
    <n v="0"/>
    <n v="0"/>
    <n v="0"/>
    <s v="--"/>
    <s v="--"/>
    <d v="1899-12-30T01:42:50"/>
    <d v="1899-12-30T00:00:00"/>
    <n v="0"/>
    <d v="1899-12-30T00:00:00"/>
    <s v="Não"/>
    <s v="00:02.42"/>
    <n v="17"/>
    <n v="0"/>
    <d v="1899-12-30T01:42:46"/>
    <d v="1899-12-30T01:42:50"/>
    <n v="17"/>
    <n v="114"/>
  </r>
  <r>
    <x v="0"/>
    <d v="2021-05-28T06:46:37"/>
    <s v="false"/>
    <s v="Força"/>
    <n v="0"/>
    <n v="251"/>
    <d v="1899-12-30T01:00:10"/>
    <n v="113"/>
    <n v="137"/>
    <n v="1.3"/>
    <s v="--"/>
    <s v="--"/>
    <s v="--"/>
    <s v="--"/>
    <s v="--"/>
    <s v="--"/>
    <n v="0"/>
    <n v="0"/>
    <n v="0"/>
    <n v="0"/>
    <n v="0"/>
    <n v="0"/>
    <n v="299"/>
    <n v="45"/>
    <d v="1899-12-30T01:00:10"/>
    <d v="1899-12-30T00:00:00"/>
    <n v="0"/>
    <d v="1899-12-30T00:00:00"/>
    <s v="Não"/>
    <s v="01:00:09.53"/>
    <n v="1"/>
    <n v="0"/>
    <d v="1899-12-30T00:25:43"/>
    <d v="1899-12-30T01:00:10"/>
    <s v="--"/>
    <s v="--"/>
  </r>
  <r>
    <x v="2"/>
    <d v="2021-05-27T06:23:46"/>
    <s v="false"/>
    <s v="Blumenau Corrida"/>
    <n v="10"/>
    <n v="841"/>
    <d v="1899-12-30T01:03:19"/>
    <n v="165"/>
    <n v="183"/>
    <s v="--"/>
    <s v="--"/>
    <s v="--"/>
    <d v="1899-12-30T06:20:00"/>
    <d v="1899-12-30T03:00:00"/>
    <n v="85"/>
    <n v="89"/>
    <n v="0"/>
    <n v="0"/>
    <n v="0"/>
    <n v="0"/>
    <n v="0"/>
    <n v="0"/>
    <s v="--"/>
    <s v="--"/>
    <d v="1899-12-30T01:03:19"/>
    <d v="1899-12-30T00:00:00"/>
    <n v="0"/>
    <d v="1899-12-30T00:00:00"/>
    <s v="Não"/>
    <s v="00:01.41"/>
    <n v="11"/>
    <n v="0"/>
    <d v="1899-12-30T01:02:18"/>
    <d v="1899-12-30T01:03:19"/>
    <n v="14"/>
    <n v="40"/>
  </r>
  <r>
    <x v="2"/>
    <d v="2021-05-25T17:46:46"/>
    <s v="false"/>
    <s v="Blumenau Corrida"/>
    <n v="9.2100000000000009"/>
    <n v="742"/>
    <d v="1899-12-30T00:59:57"/>
    <n v="159"/>
    <n v="182"/>
    <s v="--"/>
    <s v="--"/>
    <s v="--"/>
    <d v="1899-12-30T06:31:00"/>
    <d v="1899-12-30T00:52:00"/>
    <n v="32"/>
    <n v="32"/>
    <n v="0"/>
    <n v="0"/>
    <n v="0"/>
    <n v="0"/>
    <n v="0"/>
    <n v="0"/>
    <s v="--"/>
    <s v="--"/>
    <d v="1900-01-01T11:57:00"/>
    <d v="1899-12-30T00:00:00"/>
    <n v="0"/>
    <d v="1899-12-30T00:00:00"/>
    <s v="Não"/>
    <s v="00:56.73"/>
    <n v="14"/>
    <n v="0"/>
    <d v="1899-12-30T00:59:18"/>
    <d v="1899-12-30T00:59:57"/>
    <n v="10"/>
    <n v="25"/>
  </r>
  <r>
    <x v="2"/>
    <d v="2021-05-20T06:25:31"/>
    <s v="false"/>
    <s v="Blumenau Corrida"/>
    <n v="10.08"/>
    <n v="826"/>
    <d v="1899-12-30T01:00:51"/>
    <n v="167"/>
    <n v="184"/>
    <s v="--"/>
    <s v="--"/>
    <s v="--"/>
    <d v="1899-12-30T06:02:00"/>
    <d v="1899-12-30T04:27:00"/>
    <n v="37"/>
    <n v="50"/>
    <n v="0"/>
    <n v="0"/>
    <n v="0"/>
    <n v="0"/>
    <n v="0"/>
    <n v="0"/>
    <s v="--"/>
    <s v="--"/>
    <d v="1899-12-30T01:00:51"/>
    <d v="1899-12-30T00:00:00"/>
    <n v="0"/>
    <d v="1899-12-30T00:00:00"/>
    <s v="Não"/>
    <s v="02:59.52"/>
    <n v="9"/>
    <n v="0"/>
    <d v="1899-12-30T01:00:49"/>
    <d v="1899-12-30T01:00:51"/>
    <n v="9"/>
    <n v="26"/>
  </r>
  <r>
    <x v="2"/>
    <d v="2021-05-15T07:42:16"/>
    <s v="false"/>
    <s v="Blumenau Corrida"/>
    <n v="11.24"/>
    <n v="953"/>
    <d v="1899-12-30T01:12:08"/>
    <n v="164"/>
    <n v="179"/>
    <s v="--"/>
    <s v="--"/>
    <s v="--"/>
    <d v="1899-12-30T06:25:00"/>
    <d v="1899-12-30T01:45:00"/>
    <n v="125"/>
    <n v="131"/>
    <n v="0"/>
    <n v="0"/>
    <n v="0"/>
    <n v="0"/>
    <n v="0"/>
    <n v="0"/>
    <s v="--"/>
    <s v="--"/>
    <d v="1899-12-30T01:12:08"/>
    <d v="1899-12-30T00:00:00"/>
    <n v="0"/>
    <d v="1899-12-30T00:00:00"/>
    <s v="Não"/>
    <s v="01:30.82"/>
    <n v="12"/>
    <n v="0"/>
    <d v="1899-12-30T01:12:04"/>
    <d v="1899-12-30T01:12:08"/>
    <n v="15"/>
    <n v="59"/>
  </r>
  <r>
    <x v="2"/>
    <d v="2021-05-13T17:33:02"/>
    <s v="false"/>
    <s v="Blumenau Corrida"/>
    <n v="9.01"/>
    <n v="701"/>
    <d v="1899-12-30T00:54:32"/>
    <n v="162"/>
    <n v="187"/>
    <s v="--"/>
    <s v="--"/>
    <s v="--"/>
    <d v="1899-12-30T06:03:00"/>
    <d v="1899-12-30T03:57:00"/>
    <n v="29"/>
    <n v="43"/>
    <n v="0"/>
    <n v="0"/>
    <n v="0"/>
    <n v="0"/>
    <n v="0"/>
    <n v="0"/>
    <s v="--"/>
    <s v="--"/>
    <d v="1900-01-01T06:32:00"/>
    <d v="1899-12-30T00:00:00"/>
    <n v="0"/>
    <d v="1899-12-30T00:00:00"/>
    <s v="Não"/>
    <s v="00:02.00"/>
    <n v="10"/>
    <n v="0"/>
    <d v="1899-12-30T00:54:31"/>
    <d v="1899-12-30T00:54:32"/>
    <n v="12"/>
    <n v="28"/>
  </r>
  <r>
    <x v="2"/>
    <d v="2021-05-08T07:35:22"/>
    <s v="false"/>
    <s v="Blumenau Corrida"/>
    <n v="16.149999999999999"/>
    <n v="1374"/>
    <d v="1899-12-30T01:40:01"/>
    <n v="168"/>
    <n v="181"/>
    <s v="--"/>
    <s v="--"/>
    <s v="--"/>
    <d v="1899-12-30T06:11:00"/>
    <d v="1899-12-30T01:00:00"/>
    <n v="255"/>
    <n v="270"/>
    <n v="0"/>
    <n v="0"/>
    <n v="0"/>
    <n v="0"/>
    <n v="0"/>
    <n v="0"/>
    <s v="--"/>
    <s v="--"/>
    <d v="1899-12-30T01:40:01"/>
    <d v="1899-12-30T00:00:00"/>
    <n v="0"/>
    <d v="1899-12-30T00:00:00"/>
    <s v="Não"/>
    <s v="00:54.30"/>
    <n v="17"/>
    <n v="0"/>
    <d v="1899-12-30T01:39:55"/>
    <d v="1899-12-30T01:40:01"/>
    <n v="20"/>
    <n v="117"/>
  </r>
  <r>
    <x v="2"/>
    <d v="2021-05-06T06:48:38"/>
    <s v="false"/>
    <s v="Blumenau Corrida"/>
    <n v="7"/>
    <n v="573"/>
    <d v="1899-12-30T00:43:19"/>
    <n v="164"/>
    <n v="176"/>
    <s v="--"/>
    <s v="--"/>
    <s v="--"/>
    <d v="1899-12-30T06:11:00"/>
    <d v="1899-12-30T05:39:00"/>
    <n v="35"/>
    <n v="36"/>
    <n v="0"/>
    <n v="0"/>
    <n v="0"/>
    <n v="0"/>
    <n v="0"/>
    <n v="0"/>
    <s v="--"/>
    <s v="--"/>
    <d v="1899-12-31T19:19:00"/>
    <d v="1899-12-30T00:00:00"/>
    <n v="0"/>
    <d v="1899-12-30T00:00:00"/>
    <s v="Não"/>
    <s v="00:00.63"/>
    <n v="8"/>
    <n v="0"/>
    <d v="1899-12-30T00:43:17"/>
    <d v="1899-12-30T00:43:19"/>
    <n v="12"/>
    <n v="29"/>
  </r>
  <r>
    <x v="2"/>
    <d v="2021-05-04T17:46:36"/>
    <s v="false"/>
    <s v="Blumenau Corrida"/>
    <n v="10"/>
    <n v="863"/>
    <d v="1899-12-30T01:02:00"/>
    <n v="169"/>
    <n v="185"/>
    <s v="--"/>
    <s v="--"/>
    <s v="--"/>
    <d v="1899-12-30T06:12:00"/>
    <d v="1899-12-30T05:16:00"/>
    <n v="64"/>
    <n v="64"/>
    <n v="0"/>
    <n v="0"/>
    <n v="0"/>
    <n v="0"/>
    <n v="0"/>
    <n v="0"/>
    <s v="--"/>
    <s v="--"/>
    <d v="1899-12-30T01:02:00"/>
    <d v="1899-12-30T00:00:00"/>
    <n v="0"/>
    <d v="1899-12-30T00:00:00"/>
    <s v="Não"/>
    <s v="06:00.32"/>
    <n v="10"/>
    <n v="0"/>
    <d v="1899-12-30T01:01:57"/>
    <d v="1899-12-30T01:02:00"/>
    <n v="10"/>
    <n v="34"/>
  </r>
  <r>
    <x v="2"/>
    <d v="2021-04-29T18:01:38"/>
    <s v="false"/>
    <s v="Blumenau Corrida"/>
    <n v="10"/>
    <n v="826"/>
    <d v="1899-12-30T01:02:14"/>
    <n v="165"/>
    <n v="181"/>
    <s v="--"/>
    <s v="--"/>
    <s v="--"/>
    <d v="1899-12-30T06:13:00"/>
    <d v="1899-12-30T05:01:00"/>
    <n v="57"/>
    <n v="51"/>
    <n v="0"/>
    <n v="0"/>
    <n v="0"/>
    <n v="0"/>
    <n v="0"/>
    <n v="0"/>
    <s v="--"/>
    <s v="--"/>
    <d v="1899-12-30T01:02:14"/>
    <d v="1899-12-30T00:00:00"/>
    <n v="0"/>
    <d v="1899-12-30T00:00:00"/>
    <s v="Não"/>
    <s v="02:40.24"/>
    <n v="11"/>
    <n v="0"/>
    <d v="1899-12-30T01:02:12"/>
    <d v="1899-12-30T01:02:14"/>
    <n v="10"/>
    <n v="34"/>
  </r>
  <r>
    <x v="2"/>
    <d v="2021-04-27T06:47:04"/>
    <s v="false"/>
    <s v="Blumenau Corrida"/>
    <n v="8"/>
    <n v="649"/>
    <d v="1899-12-30T00:50:18"/>
    <n v="163"/>
    <n v="181"/>
    <s v="--"/>
    <s v="--"/>
    <s v="--"/>
    <d v="1899-12-30T06:17:00"/>
    <d v="1899-12-30T04:41:00"/>
    <n v="23"/>
    <n v="18"/>
    <n v="0"/>
    <n v="0"/>
    <n v="0"/>
    <n v="0"/>
    <n v="0"/>
    <n v="0"/>
    <s v="--"/>
    <s v="--"/>
    <d v="1900-01-01T02:18:00"/>
    <d v="1899-12-30T00:00:00"/>
    <n v="0"/>
    <d v="1899-12-30T00:00:00"/>
    <s v="Não"/>
    <s v="00:59.48"/>
    <n v="14"/>
    <n v="0"/>
    <d v="1899-12-30T00:44:34"/>
    <d v="1899-12-30T00:50:18"/>
    <n v="12"/>
    <n v="22"/>
  </r>
  <r>
    <x v="2"/>
    <d v="2021-04-24T07:32:10"/>
    <s v="false"/>
    <s v="Blumenau Corrida"/>
    <n v="15.01"/>
    <n v="1358"/>
    <d v="1899-12-30T01:34:50"/>
    <n v="172"/>
    <n v="187"/>
    <s v="--"/>
    <s v="--"/>
    <s v="--"/>
    <d v="1899-12-30T06:19:00"/>
    <d v="1899-12-30T03:28:00"/>
    <n v="205"/>
    <n v="198"/>
    <n v="0"/>
    <n v="0"/>
    <n v="0"/>
    <n v="0"/>
    <n v="0"/>
    <n v="0"/>
    <s v="--"/>
    <s v="--"/>
    <d v="1899-12-30T01:34:50"/>
    <d v="1899-12-30T00:00:00"/>
    <n v="0"/>
    <d v="1899-12-30T00:00:00"/>
    <s v="Não"/>
    <s v="00:02.74"/>
    <n v="16"/>
    <n v="0"/>
    <d v="1899-12-30T01:34:47"/>
    <d v="1899-12-30T01:34:50"/>
    <n v="14"/>
    <n v="60"/>
  </r>
  <r>
    <x v="2"/>
    <d v="2021-04-20T06:35:48"/>
    <s v="false"/>
    <s v="Blumenau Corrida"/>
    <n v="8.01"/>
    <n v="649"/>
    <d v="1899-12-30T00:48:55"/>
    <n v="165"/>
    <n v="229"/>
    <s v="--"/>
    <s v="--"/>
    <s v="--"/>
    <d v="1899-12-30T06:06:00"/>
    <d v="1899-12-30T02:25:00"/>
    <n v="92"/>
    <n v="92"/>
    <n v="0"/>
    <n v="0"/>
    <n v="0"/>
    <n v="0"/>
    <n v="0"/>
    <n v="0"/>
    <s v="--"/>
    <s v="--"/>
    <d v="1900-01-01T00:55:00"/>
    <d v="1899-12-30T00:00:00"/>
    <n v="0"/>
    <d v="1899-12-30T00:00:00"/>
    <s v="Não"/>
    <s v="00:02.84"/>
    <n v="9"/>
    <n v="0"/>
    <d v="1899-12-30T00:48:52"/>
    <d v="1899-12-30T00:48:55"/>
    <n v="10"/>
    <n v="37"/>
  </r>
  <r>
    <x v="2"/>
    <d v="2021-04-17T07:15:56"/>
    <s v="false"/>
    <s v="Blumenau Corrida"/>
    <n v="10.01"/>
    <n v="877"/>
    <d v="1899-12-30T00:58:41"/>
    <n v="176"/>
    <n v="184"/>
    <s v="--"/>
    <s v="--"/>
    <s v="--"/>
    <d v="1899-12-30T05:52:00"/>
    <d v="1899-12-30T04:01:00"/>
    <n v="32"/>
    <n v="39"/>
    <n v="0"/>
    <n v="0"/>
    <n v="0"/>
    <n v="0"/>
    <n v="0"/>
    <n v="0"/>
    <s v="--"/>
    <s v="--"/>
    <d v="1900-01-01T10:41:00"/>
    <d v="1899-12-30T00:00:00"/>
    <n v="0"/>
    <d v="1899-12-30T00:00:00"/>
    <s v="Não"/>
    <s v="00:02.73"/>
    <n v="11"/>
    <n v="0"/>
    <d v="1899-12-30T00:58:39"/>
    <d v="1899-12-30T00:58:41"/>
    <n v="10"/>
    <n v="26"/>
  </r>
  <r>
    <x v="2"/>
    <d v="2021-04-13T19:10:35"/>
    <s v="false"/>
    <s v="Blumenau Corrida"/>
    <n v="5.03"/>
    <n v="414"/>
    <d v="1899-12-30T00:34:56"/>
    <n v="156"/>
    <n v="180"/>
    <s v="--"/>
    <s v="--"/>
    <s v="--"/>
    <d v="1899-12-30T06:56:00"/>
    <d v="1899-12-30T04:00:00"/>
    <n v="103"/>
    <n v="102"/>
    <n v="0"/>
    <n v="0"/>
    <n v="0"/>
    <n v="0"/>
    <n v="0"/>
    <n v="0"/>
    <s v="--"/>
    <s v="--"/>
    <d v="1899-12-31T10:56:00"/>
    <d v="1899-12-30T00:00:00"/>
    <n v="0"/>
    <d v="1899-12-30T00:00:00"/>
    <s v="Não"/>
    <s v="02:19.44"/>
    <n v="8"/>
    <n v="0"/>
    <d v="1899-12-30T00:29:10"/>
    <d v="1899-12-30T00:34:56"/>
    <n v="11"/>
    <n v="25"/>
  </r>
  <r>
    <x v="2"/>
    <d v="2021-04-13T18:17:18"/>
    <s v="false"/>
    <s v="Corrida"/>
    <n v="0.01"/>
    <s v="--"/>
    <d v="1899-12-30T00:00:06"/>
    <n v="66"/>
    <n v="70"/>
    <n v="1"/>
    <n v="60"/>
    <n v="120"/>
    <d v="1899-12-30T13:13:00"/>
    <d v="1899-12-30T07:28:00"/>
    <s v="--"/>
    <s v="--"/>
    <n v="1.26"/>
    <n v="0"/>
    <n v="0"/>
    <n v="0"/>
    <n v="0"/>
    <n v="0"/>
    <s v="--"/>
    <s v="--"/>
    <d v="1899-12-30T00:00:06"/>
    <d v="1899-12-30T00:00:00"/>
    <n v="0"/>
    <d v="1899-12-30T00:00:00"/>
    <s v="Não"/>
    <s v="00:01.16"/>
    <n v="2"/>
    <n v="0"/>
    <d v="1899-12-30T00:00:03"/>
    <d v="1899-12-30T00:00:19"/>
    <s v="--"/>
    <s v="--"/>
  </r>
  <r>
    <x v="2"/>
    <d v="2021-04-10T07:20:00"/>
    <s v="false"/>
    <s v="Blumenau - Run Workout"/>
    <n v="7.01"/>
    <n v="471"/>
    <d v="1899-12-30T00:38:21"/>
    <n v="179"/>
    <n v="190"/>
    <n v="4.5999999999999996"/>
    <n v="166"/>
    <n v="174"/>
    <d v="1899-12-30T05:28:00"/>
    <d v="1899-12-30T05:12:00"/>
    <n v="3"/>
    <n v="17"/>
    <n v="1.1000000000000001"/>
    <n v="0"/>
    <n v="0"/>
    <n v="0"/>
    <n v="0"/>
    <n v="0"/>
    <s v="--"/>
    <s v="--"/>
    <d v="1899-12-31T14:21:00"/>
    <d v="1899-12-30T00:00:00"/>
    <n v="0"/>
    <d v="1899-12-30T00:00:00"/>
    <s v="Não"/>
    <s v="00:04.80"/>
    <n v="2"/>
    <n v="0"/>
    <d v="1899-12-30T00:38:21"/>
    <d v="1899-12-30T00:38:21"/>
    <n v="12"/>
    <n v="28"/>
  </r>
  <r>
    <x v="2"/>
    <d v="2021-04-08T17:39:09"/>
    <s v="false"/>
    <s v="Corrida"/>
    <n v="10.029999999999999"/>
    <n v="663"/>
    <d v="1899-12-30T00:57:27"/>
    <n v="174"/>
    <n v="188"/>
    <n v="5"/>
    <n v="160"/>
    <n v="168"/>
    <d v="1899-12-30T05:44:00"/>
    <d v="1899-12-30T04:49:00"/>
    <s v="--"/>
    <s v="--"/>
    <n v="1.0900000000000001"/>
    <n v="0"/>
    <n v="0"/>
    <n v="0"/>
    <n v="0"/>
    <n v="0"/>
    <s v="--"/>
    <s v="--"/>
    <d v="1900-01-01T09:27:00"/>
    <d v="1899-12-30T00:00:00"/>
    <n v="0"/>
    <d v="1899-12-30T00:00:00"/>
    <s v="Não"/>
    <s v="00:08.53"/>
    <n v="11"/>
    <n v="0"/>
    <d v="1899-12-30T00:57:26"/>
    <d v="1899-12-30T00:57:27"/>
    <s v="--"/>
    <s v="--"/>
  </r>
  <r>
    <x v="2"/>
    <d v="2021-04-06T17:51:05"/>
    <s v="false"/>
    <s v="Blumenau - 15 x 400 - intervalo 1 minuto caminhando"/>
    <n v="11.35"/>
    <n v="774"/>
    <d v="1899-12-30T01:10:25"/>
    <n v="168"/>
    <n v="187"/>
    <n v="5"/>
    <n v="154"/>
    <n v="175"/>
    <d v="1899-12-30T06:12:00"/>
    <d v="1899-12-30T02:30:00"/>
    <n v="13"/>
    <n v="20"/>
    <n v="1.03"/>
    <n v="0"/>
    <n v="0"/>
    <n v="0"/>
    <n v="0"/>
    <n v="0"/>
    <s v="--"/>
    <s v="--"/>
    <d v="1899-12-30T01:10:25"/>
    <d v="1899-12-30T00:00:00"/>
    <n v="0"/>
    <d v="1899-12-30T00:00:00"/>
    <s v="Não"/>
    <s v="00:01.31"/>
    <n v="33"/>
    <n v="0"/>
    <d v="1899-12-30T01:10:08"/>
    <d v="1899-12-30T01:10:25"/>
    <n v="9"/>
    <n v="26"/>
  </r>
  <r>
    <x v="2"/>
    <d v="2021-04-02T07:00:18"/>
    <s v="false"/>
    <s v="Blumenau - 4 x 2km com intervalo 3min caminhando"/>
    <n v="11.18"/>
    <n v="687"/>
    <d v="1899-12-30T01:08:33"/>
    <n v="165"/>
    <n v="186"/>
    <n v="4.0999999999999996"/>
    <n v="150"/>
    <n v="171"/>
    <d v="1899-12-30T06:08:00"/>
    <d v="1899-12-30T04:36:00"/>
    <n v="35"/>
    <n v="37"/>
    <n v="1.08"/>
    <n v="0"/>
    <n v="0"/>
    <n v="0"/>
    <n v="0"/>
    <n v="0"/>
    <s v="--"/>
    <s v="--"/>
    <d v="1899-12-30T01:08:33"/>
    <d v="1899-12-30T00:00:00"/>
    <n v="0"/>
    <d v="1899-12-30T00:00:00"/>
    <s v="Não"/>
    <s v="03:00.00"/>
    <n v="10"/>
    <n v="0"/>
    <d v="1899-12-30T01:08:32"/>
    <d v="1899-12-30T01:08:51"/>
    <n v="9"/>
    <n v="25"/>
  </r>
  <r>
    <x v="2"/>
    <d v="2021-03-30T17:41:01"/>
    <s v="false"/>
    <s v="Blumenau - 12 x 300m moderado/forte com 100m leve"/>
    <n v="8.3000000000000007"/>
    <n v="484"/>
    <d v="1899-12-30T00:57:04"/>
    <n v="157"/>
    <n v="229"/>
    <s v="--"/>
    <n v="142"/>
    <n v="177"/>
    <d v="1899-12-30T06:52:00"/>
    <d v="1899-12-30T03:47:00"/>
    <n v="35"/>
    <n v="37"/>
    <n v="1"/>
    <n v="0"/>
    <n v="0"/>
    <n v="0"/>
    <n v="0"/>
    <n v="0"/>
    <s v="--"/>
    <s v="--"/>
    <d v="1900-01-01T09:04:00"/>
    <d v="1899-12-30T00:00:00"/>
    <n v="0"/>
    <d v="1899-12-30T00:00:00"/>
    <s v="Não"/>
    <s v="00:45.62"/>
    <n v="27"/>
    <n v="0"/>
    <d v="1899-12-30T00:56:45"/>
    <d v="1899-12-30T00:57:04"/>
    <n v="9"/>
    <n v="26"/>
  </r>
  <r>
    <x v="2"/>
    <d v="2021-03-27T07:13:10"/>
    <s v="false"/>
    <s v="Blumenau Corrida"/>
    <n v="12.34"/>
    <n v="904"/>
    <d v="1899-12-30T01:20:02"/>
    <n v="173"/>
    <n v="188"/>
    <n v="5"/>
    <n v="152"/>
    <n v="169"/>
    <d v="1899-12-30T06:29:00"/>
    <d v="1899-12-30T05:23:00"/>
    <n v="156"/>
    <n v="165"/>
    <n v="1.01"/>
    <n v="0"/>
    <n v="0"/>
    <n v="0"/>
    <n v="0"/>
    <n v="0"/>
    <s v="--"/>
    <s v="--"/>
    <d v="1899-12-30T01:20:02"/>
    <d v="1899-12-30T00:00:00"/>
    <n v="0"/>
    <d v="1899-12-30T00:00:00"/>
    <s v="Não"/>
    <s v="02:03.27"/>
    <n v="13"/>
    <n v="0"/>
    <d v="1899-12-30T01:20:00"/>
    <d v="1899-12-30T01:20:02"/>
    <n v="16"/>
    <n v="109"/>
  </r>
  <r>
    <x v="2"/>
    <d v="2021-03-23T17:41:33"/>
    <s v="false"/>
    <s v="Blumenau - Progressivo - leve p/ forte"/>
    <n v="6.01"/>
    <n v="396"/>
    <d v="1899-12-30T00:37:11"/>
    <n v="164"/>
    <n v="187"/>
    <n v="3.8"/>
    <n v="159"/>
    <n v="171"/>
    <d v="1899-12-30T06:11:00"/>
    <d v="1899-12-30T04:51:00"/>
    <s v="--"/>
    <n v="13"/>
    <n v="1.01"/>
    <n v="0"/>
    <n v="0"/>
    <n v="0"/>
    <n v="0"/>
    <n v="0"/>
    <s v="--"/>
    <s v="--"/>
    <d v="1899-12-31T13:11:00"/>
    <d v="1899-12-30T00:00:00"/>
    <n v="0"/>
    <d v="1899-12-30T00:00:00"/>
    <s v="Não"/>
    <s v="00:03.92"/>
    <n v="4"/>
    <n v="0"/>
    <d v="1899-12-30T00:37:11"/>
    <d v="1899-12-30T00:37:11"/>
    <n v="9"/>
    <n v="25"/>
  </r>
  <r>
    <x v="2"/>
    <d v="2021-03-21T08:03:17"/>
    <s v="false"/>
    <s v="Blumenau Corrida"/>
    <n v="9.42"/>
    <n v="693"/>
    <d v="1899-12-30T01:00:01"/>
    <n v="175"/>
    <n v="188"/>
    <n v="5"/>
    <n v="156"/>
    <n v="172"/>
    <d v="1899-12-30T06:22:00"/>
    <d v="1899-12-30T04:27:00"/>
    <n v="29"/>
    <n v="34"/>
    <n v="1.01"/>
    <n v="0"/>
    <n v="0"/>
    <n v="0"/>
    <n v="0"/>
    <n v="0"/>
    <s v="--"/>
    <s v="--"/>
    <d v="1899-12-30T01:00:01"/>
    <d v="1899-12-30T00:00:00"/>
    <n v="0"/>
    <d v="1899-12-30T00:00:00"/>
    <s v="Não"/>
    <s v="03:26.45"/>
    <n v="10"/>
    <n v="0"/>
    <d v="1899-12-30T00:59:59"/>
    <d v="1899-12-30T01:00:01"/>
    <n v="9"/>
    <n v="26"/>
  </r>
  <r>
    <x v="2"/>
    <d v="2021-03-18T06:15:35"/>
    <s v="false"/>
    <s v="Blumenau - 6 x 2:30 - 2:30 com 2km aquec e 2km desaquec"/>
    <n v="9.41"/>
    <n v="673"/>
    <d v="1899-12-30T01:02:37"/>
    <n v="168"/>
    <n v="192"/>
    <n v="4.5"/>
    <n v="151"/>
    <n v="171"/>
    <d v="1899-12-30T06:39:00"/>
    <d v="1899-12-30T04:13:00"/>
    <n v="12"/>
    <n v="14"/>
    <n v="0.99"/>
    <n v="0"/>
    <n v="0"/>
    <n v="0"/>
    <n v="0"/>
    <n v="0"/>
    <s v="--"/>
    <s v="--"/>
    <d v="1899-12-30T01:02:37"/>
    <d v="1899-12-30T00:00:00"/>
    <n v="0"/>
    <d v="1899-12-30T00:00:00"/>
    <s v="Não"/>
    <s v="02:30.00"/>
    <n v="15"/>
    <n v="0"/>
    <d v="1899-12-30T01:02:19"/>
    <d v="1899-12-30T01:02:37"/>
    <n v="12"/>
    <n v="30"/>
  </r>
  <r>
    <x v="2"/>
    <d v="2021-03-16T06:06:17"/>
    <s v="false"/>
    <s v="Blumenau Corrida"/>
    <n v="10.02"/>
    <n v="723"/>
    <d v="1899-12-30T01:07:48"/>
    <n v="164"/>
    <n v="185"/>
    <n v="4.2"/>
    <n v="148"/>
    <n v="166"/>
    <d v="1899-12-30T06:46:00"/>
    <d v="1899-12-30T05:35:00"/>
    <n v="115"/>
    <n v="121"/>
    <n v="1"/>
    <n v="0"/>
    <n v="0"/>
    <n v="0"/>
    <n v="0"/>
    <n v="0"/>
    <s v="--"/>
    <s v="--"/>
    <d v="1899-12-30T01:07:48"/>
    <d v="1899-12-30T00:00:00"/>
    <n v="0"/>
    <d v="1899-12-30T00:00:00"/>
    <s v="Não"/>
    <s v="00:04.70"/>
    <n v="11"/>
    <n v="0"/>
    <d v="1899-12-30T01:07:46"/>
    <d v="1899-12-30T01:07:48"/>
    <n v="17"/>
    <n v="51"/>
  </r>
  <r>
    <x v="2"/>
    <d v="2021-03-07T07:54:09"/>
    <s v="false"/>
    <s v="Blumenau Corrida"/>
    <n v="15.39"/>
    <n v="1115"/>
    <d v="1899-12-30T01:41:24"/>
    <n v="168"/>
    <n v="184"/>
    <n v="4.5999999999999996"/>
    <n v="146"/>
    <n v="170"/>
    <d v="1899-12-30T06:35:00"/>
    <d v="1899-12-30T05:19:00"/>
    <n v="289"/>
    <n v="268"/>
    <n v="1.03"/>
    <n v="0"/>
    <n v="0"/>
    <n v="0"/>
    <n v="0"/>
    <n v="0"/>
    <s v="--"/>
    <s v="--"/>
    <d v="1899-12-30T01:41:24"/>
    <d v="1899-12-30T00:00:00"/>
    <n v="0"/>
    <d v="1899-12-30T00:00:00"/>
    <s v="Não"/>
    <s v="02:10.21"/>
    <n v="16"/>
    <n v="0"/>
    <d v="1899-12-30T01:41:14"/>
    <d v="1899-12-30T01:41:24"/>
    <n v="17"/>
    <n v="126"/>
  </r>
  <r>
    <x v="2"/>
    <d v="2021-03-04T06:30:41"/>
    <s v="false"/>
    <s v="Blumenau Corrida"/>
    <n v="8.01"/>
    <n v="547"/>
    <d v="1899-12-30T00:49:14"/>
    <n v="166"/>
    <n v="181"/>
    <n v="4.0999999999999996"/>
    <n v="161"/>
    <n v="168"/>
    <d v="1899-12-30T06:09:00"/>
    <d v="1899-12-30T05:21:00"/>
    <n v="96"/>
    <n v="98"/>
    <n v="1.01"/>
    <n v="0"/>
    <n v="0"/>
    <n v="0"/>
    <n v="0"/>
    <n v="0"/>
    <s v="--"/>
    <s v="--"/>
    <d v="1900-01-01T01:14:00"/>
    <d v="1899-12-30T00:00:00"/>
    <n v="0"/>
    <d v="1899-12-30T00:00:00"/>
    <s v="Não"/>
    <s v="00:02.66"/>
    <n v="9"/>
    <n v="0"/>
    <d v="1899-12-30T00:49:12"/>
    <d v="1899-12-30T00:49:14"/>
    <n v="17"/>
    <n v="52"/>
  </r>
  <r>
    <x v="2"/>
    <d v="2021-03-02T06:30:54"/>
    <s v="false"/>
    <s v="Blumenau - 10 X 1'30 subida&quot;"/>
    <n v="7.77"/>
    <n v="528"/>
    <d v="1899-12-30T01:12:42"/>
    <n v="145"/>
    <n v="182"/>
    <n v="3.2"/>
    <n v="135"/>
    <n v="177"/>
    <d v="1899-12-30T09:22:00"/>
    <d v="1899-12-30T02:31:00"/>
    <n v="256"/>
    <n v="265"/>
    <n v="0.79"/>
    <n v="0"/>
    <n v="0"/>
    <n v="0"/>
    <n v="0"/>
    <n v="0"/>
    <s v="--"/>
    <s v="--"/>
    <d v="1899-12-30T01:12:42"/>
    <d v="1899-12-30T00:00:00"/>
    <n v="0"/>
    <d v="1899-12-30T00:00:00"/>
    <s v="Não"/>
    <s v="00:04.61"/>
    <n v="23"/>
    <n v="0"/>
    <d v="1899-12-30T01:11:02"/>
    <d v="1899-12-30T01:12:42"/>
    <n v="10"/>
    <n v="42"/>
  </r>
  <r>
    <x v="2"/>
    <d v="2021-02-25T06:33:07"/>
    <s v="false"/>
    <s v="Blumenau - 2 x 5km com intervalo 5min caminhando"/>
    <n v="11.15"/>
    <n v="704"/>
    <d v="1899-12-30T01:09:08"/>
    <n v="167"/>
    <n v="188"/>
    <n v="4.5"/>
    <n v="155"/>
    <n v="173"/>
    <d v="1899-12-30T06:12:00"/>
    <d v="1899-12-30T02:30:00"/>
    <n v="25"/>
    <n v="32"/>
    <n v="1.03"/>
    <n v="0"/>
    <n v="0"/>
    <n v="0"/>
    <n v="0"/>
    <n v="0"/>
    <s v="--"/>
    <s v="--"/>
    <d v="1899-12-30T01:09:08"/>
    <d v="1899-12-30T00:00:00"/>
    <n v="0"/>
    <d v="1899-12-30T00:00:00"/>
    <s v="Não"/>
    <s v="03:18.82"/>
    <n v="5"/>
    <n v="0"/>
    <d v="1899-12-30T01:09:02"/>
    <d v="1899-12-30T01:09:08"/>
    <n v="10"/>
    <n v="26"/>
  </r>
  <r>
    <x v="2"/>
    <d v="2021-02-23T06:26:33"/>
    <s v="false"/>
    <s v="Blumenau - 3 x 2km com intervalo 3min caminhando"/>
    <n v="9.27"/>
    <n v="548"/>
    <d v="1899-12-30T01:01:33"/>
    <n v="163"/>
    <n v="188"/>
    <n v="4.3"/>
    <n v="144"/>
    <n v="171"/>
    <d v="1899-12-30T06:38:00"/>
    <d v="1899-12-30T04:44:00"/>
    <n v="10"/>
    <n v="14"/>
    <n v="1.02"/>
    <n v="0"/>
    <n v="0"/>
    <n v="0"/>
    <n v="0"/>
    <n v="0"/>
    <s v="--"/>
    <s v="--"/>
    <d v="1899-12-30T01:01:33"/>
    <d v="1899-12-30T00:00:00"/>
    <n v="0"/>
    <d v="1899-12-30T00:00:00"/>
    <s v="Não"/>
    <s v="03:00.00"/>
    <n v="8"/>
    <n v="0"/>
    <d v="1899-12-30T01:01:32"/>
    <d v="1899-12-30T01:01:33"/>
    <n v="12"/>
    <n v="29"/>
  </r>
  <r>
    <x v="2"/>
    <d v="2021-02-21T06:36:56"/>
    <s v="false"/>
    <s v="Ilhota Corrida"/>
    <n v="9.32"/>
    <n v="349"/>
    <d v="1899-12-30T03:42:39"/>
    <s v="--"/>
    <s v="--"/>
    <s v="--"/>
    <n v="54"/>
    <n v="244"/>
    <d v="1899-12-30T23:53:00"/>
    <d v="1899-12-30T02:46:00"/>
    <n v="658"/>
    <n v="666"/>
    <n v="0.82"/>
    <n v="0"/>
    <n v="0"/>
    <n v="0"/>
    <n v="0"/>
    <n v="0"/>
    <s v="--"/>
    <s v="--"/>
    <d v="1899-12-30T03:42:39"/>
    <d v="1899-12-30T00:00:00"/>
    <n v="0"/>
    <d v="1899-12-30T00:00:00"/>
    <s v="Não"/>
    <s v="05:16.08"/>
    <n v="10"/>
    <n v="0"/>
    <d v="1899-12-30T01:55:57"/>
    <d v="1899-12-30T03:42:39"/>
    <n v="218"/>
    <n v="805"/>
  </r>
  <r>
    <x v="2"/>
    <d v="2021-02-20T07:14:03"/>
    <s v="false"/>
    <s v="Blumenau Corrida"/>
    <n v="14.01"/>
    <n v="1011"/>
    <d v="1899-12-30T01:33:35"/>
    <n v="169"/>
    <n v="186"/>
    <n v="5"/>
    <n v="147"/>
    <n v="180"/>
    <d v="1899-12-30T06:41:00"/>
    <d v="1899-12-30T04:44:00"/>
    <n v="224"/>
    <n v="233"/>
    <n v="1.02"/>
    <n v="0"/>
    <n v="0"/>
    <n v="0"/>
    <n v="0"/>
    <n v="0"/>
    <s v="--"/>
    <s v="--"/>
    <d v="1899-12-30T01:33:35"/>
    <d v="1899-12-30T00:00:00"/>
    <n v="0"/>
    <d v="1899-12-30T00:00:00"/>
    <s v="Não"/>
    <s v="00:05.93"/>
    <n v="15"/>
    <n v="0"/>
    <d v="1899-12-30T01:33:33"/>
    <d v="1899-12-30T01:33:35"/>
    <n v="16"/>
    <n v="111"/>
  </r>
  <r>
    <x v="2"/>
    <d v="2021-02-18T06:37:03"/>
    <s v="false"/>
    <s v="Blumenau - Run Workout"/>
    <n v="10.01"/>
    <n v="683"/>
    <d v="1899-12-30T01:00:54"/>
    <n v="172"/>
    <n v="186"/>
    <n v="5"/>
    <n v="155"/>
    <n v="171"/>
    <d v="1899-12-30T06:05:00"/>
    <d v="1899-12-30T02:01:00"/>
    <n v="158"/>
    <n v="161"/>
    <n v="1.06"/>
    <n v="0"/>
    <n v="0"/>
    <n v="0"/>
    <n v="0"/>
    <n v="0"/>
    <s v="--"/>
    <s v="--"/>
    <d v="1899-12-30T01:00:54"/>
    <d v="1899-12-30T00:00:00"/>
    <n v="0"/>
    <d v="1899-12-30T00:00:00"/>
    <s v="Não"/>
    <s v="00:03.16"/>
    <n v="2"/>
    <n v="0"/>
    <d v="1899-12-30T01:00:35"/>
    <d v="1899-12-30T01:00:54"/>
    <n v="-35"/>
    <n v="56"/>
  </r>
  <r>
    <x v="2"/>
    <d v="2021-02-16T18:01:02"/>
    <s v="false"/>
    <s v="Blumenau - 4 x 1km com intervalo 3min caminhando"/>
    <n v="9.44"/>
    <n v="593"/>
    <d v="1899-12-30T01:09:36"/>
    <n v="157"/>
    <n v="187"/>
    <n v="3.8"/>
    <n v="137"/>
    <n v="168"/>
    <d v="1899-12-30T07:22:00"/>
    <d v="1899-12-30T04:27:00"/>
    <n v="22"/>
    <n v="24"/>
    <n v="0.97"/>
    <n v="0"/>
    <n v="0"/>
    <n v="0"/>
    <n v="0"/>
    <n v="0"/>
    <s v="--"/>
    <s v="--"/>
    <d v="1899-12-30T01:09:36"/>
    <d v="1899-12-30T00:00:00"/>
    <n v="0"/>
    <d v="1899-12-30T00:00:00"/>
    <s v="Não"/>
    <s v="03:00.00"/>
    <n v="11"/>
    <n v="0"/>
    <d v="1899-12-30T01:07:23"/>
    <d v="1899-12-30T01:09:36"/>
    <n v="9"/>
    <n v="26"/>
  </r>
  <r>
    <x v="2"/>
    <d v="2021-02-14T08:18:42"/>
    <s v="false"/>
    <s v="Blumenau Corrida"/>
    <n v="12.52"/>
    <n v="960"/>
    <d v="1899-12-30T01:27:17"/>
    <n v="174"/>
    <n v="188"/>
    <n v="5"/>
    <n v="143"/>
    <n v="170"/>
    <d v="1899-12-30T06:58:00"/>
    <d v="1899-12-30T05:25:00"/>
    <n v="259"/>
    <n v="240"/>
    <n v="1"/>
    <n v="0"/>
    <n v="0"/>
    <n v="0"/>
    <n v="0"/>
    <n v="0"/>
    <s v="--"/>
    <s v="--"/>
    <d v="1899-12-30T01:27:17"/>
    <d v="1899-12-30T00:00:00"/>
    <n v="0"/>
    <d v="1899-12-30T00:00:00"/>
    <s v="Não"/>
    <s v="03:00.45"/>
    <n v="13"/>
    <n v="0"/>
    <d v="1899-12-30T01:24:57"/>
    <d v="1899-12-30T01:27:17"/>
    <n v="18"/>
    <n v="127"/>
  </r>
  <r>
    <x v="2"/>
    <d v="2021-02-11T06:38:53"/>
    <s v="false"/>
    <s v="Blumenau - Run Workout"/>
    <n v="8.6300000000000008"/>
    <n v="583"/>
    <d v="1899-12-30T00:54:28"/>
    <n v="172"/>
    <n v="188"/>
    <n v="4.7"/>
    <n v="154"/>
    <n v="172"/>
    <d v="1899-12-30T06:19:00"/>
    <d v="1899-12-30T03:53:00"/>
    <n v="67"/>
    <n v="74"/>
    <n v="1.02"/>
    <n v="0"/>
    <n v="0"/>
    <n v="0"/>
    <n v="0"/>
    <n v="0"/>
    <s v="--"/>
    <s v="--"/>
    <d v="1900-01-01T06:28:00"/>
    <d v="1899-12-30T00:00:00"/>
    <n v="0"/>
    <d v="1899-12-30T00:00:00"/>
    <s v="Não"/>
    <s v="06:57.48"/>
    <n v="2"/>
    <n v="0"/>
    <d v="1899-12-30T00:54:20"/>
    <d v="1899-12-30T00:54:28"/>
    <n v="9"/>
    <n v="49"/>
  </r>
  <r>
    <x v="2"/>
    <d v="2021-02-09T06:29:20"/>
    <s v="false"/>
    <s v="Blumenau - 10 x 400 - intervalo 1 minuto"/>
    <n v="8.3000000000000007"/>
    <n v="562"/>
    <d v="1899-12-30T00:56:10"/>
    <n v="163"/>
    <n v="183"/>
    <n v="4.0999999999999996"/>
    <n v="139"/>
    <n v="173"/>
    <d v="1899-12-30T06:46:00"/>
    <d v="1899-12-30T03:16:00"/>
    <n v="10"/>
    <n v="20"/>
    <n v="1.07"/>
    <n v="0"/>
    <n v="0"/>
    <n v="0"/>
    <n v="0"/>
    <n v="0"/>
    <s v="--"/>
    <s v="--"/>
    <d v="1900-01-01T08:10:00"/>
    <d v="1899-12-30T00:00:00"/>
    <n v="0"/>
    <d v="1899-12-30T00:00:00"/>
    <s v="Não"/>
    <s v="00:02.67"/>
    <n v="23"/>
    <n v="0"/>
    <d v="1899-12-30T00:47:22"/>
    <d v="1899-12-30T00:56:10"/>
    <n v="9"/>
    <n v="26"/>
  </r>
  <r>
    <x v="2"/>
    <d v="2021-02-06T07:20:28"/>
    <s v="false"/>
    <s v="Blumenau - Run Workout"/>
    <n v="10.01"/>
    <n v="697"/>
    <d v="1899-12-30T01:06:23"/>
    <n v="168"/>
    <n v="181"/>
    <n v="4.5"/>
    <n v="146"/>
    <n v="171"/>
    <d v="1899-12-30T06:38:00"/>
    <d v="1899-12-30T03:11:00"/>
    <n v="126"/>
    <n v="126"/>
    <n v="1.04"/>
    <n v="0"/>
    <n v="0"/>
    <n v="0"/>
    <n v="0"/>
    <n v="0"/>
    <s v="--"/>
    <s v="--"/>
    <d v="1899-12-30T01:06:23"/>
    <d v="1899-12-30T00:00:00"/>
    <n v="0"/>
    <d v="1899-12-30T00:00:00"/>
    <s v="Não"/>
    <s v="20:26.31"/>
    <n v="2"/>
    <n v="0"/>
    <d v="1899-12-30T01:06:23"/>
    <d v="1899-12-30T01:06:23"/>
    <n v="17"/>
    <n v="50"/>
  </r>
  <r>
    <x v="2"/>
    <d v="2021-02-02T06:34:54"/>
    <s v="false"/>
    <s v="Blumenau - Run Workout"/>
    <n v="7"/>
    <n v="445"/>
    <d v="1899-12-30T00:44:30"/>
    <n v="163"/>
    <n v="180"/>
    <n v="3.9"/>
    <n v="155"/>
    <n v="170"/>
    <d v="1899-12-30T06:21:00"/>
    <d v="1899-12-30T01:43:00"/>
    <n v="53"/>
    <n v="64"/>
    <n v="1.02"/>
    <n v="0"/>
    <n v="0"/>
    <n v="0"/>
    <n v="0"/>
    <n v="0"/>
    <s v="--"/>
    <s v="--"/>
    <d v="1899-12-31T20:30:00"/>
    <d v="1899-12-30T00:00:00"/>
    <n v="0"/>
    <d v="1899-12-30T00:00:00"/>
    <s v="Não"/>
    <s v="00:03.29"/>
    <n v="2"/>
    <n v="0"/>
    <d v="1899-12-30T00:44:30"/>
    <d v="1899-12-30T00:44:30"/>
    <n v="9"/>
    <n v="49"/>
  </r>
  <r>
    <x v="2"/>
    <d v="2021-01-30T07:09:55"/>
    <s v="false"/>
    <s v="Gaspar Corrida"/>
    <n v="16.73"/>
    <n v="1528"/>
    <d v="1899-12-30T02:43:39"/>
    <n v="168"/>
    <n v="201"/>
    <n v="5"/>
    <n v="102"/>
    <n v="173"/>
    <d v="1899-12-30T09:47:00"/>
    <d v="1899-12-30T04:41:00"/>
    <n v="870"/>
    <n v="691"/>
    <n v="0.97"/>
    <n v="0"/>
    <n v="0"/>
    <n v="0"/>
    <n v="0"/>
    <n v="0"/>
    <s v="--"/>
    <s v="--"/>
    <d v="1899-12-30T02:43:39"/>
    <d v="1899-12-30T00:00:00"/>
    <n v="0"/>
    <d v="1899-12-30T00:00:00"/>
    <s v="Não"/>
    <s v="04:47.11"/>
    <n v="17"/>
    <n v="0"/>
    <d v="1899-12-30T02:20:35"/>
    <d v="1899-12-30T02:44:34"/>
    <n v="115"/>
    <n v="802"/>
  </r>
  <r>
    <x v="2"/>
    <d v="2021-01-28T06:33:35"/>
    <s v="false"/>
    <s v="Blumenau - Run Workout"/>
    <n v="8.64"/>
    <n v="588"/>
    <d v="1899-12-30T00:59:34"/>
    <n v="168"/>
    <n v="185"/>
    <n v="5"/>
    <n v="149"/>
    <n v="171"/>
    <d v="1899-12-30T06:54:00"/>
    <d v="1899-12-30T03:31:00"/>
    <n v="62"/>
    <n v="69"/>
    <n v="0.97"/>
    <n v="0"/>
    <n v="0"/>
    <n v="0"/>
    <n v="0"/>
    <n v="0"/>
    <s v="--"/>
    <s v="--"/>
    <d v="1900-01-01T11:34:00"/>
    <d v="1899-12-30T00:00:00"/>
    <n v="0"/>
    <d v="1899-12-30T00:00:00"/>
    <s v="Não"/>
    <s v="07:55.08"/>
    <n v="2"/>
    <n v="0"/>
    <d v="1899-12-30T00:58:39"/>
    <d v="1899-12-30T00:59:34"/>
    <n v="9"/>
    <n v="49"/>
  </r>
  <r>
    <x v="2"/>
    <d v="2021-01-26T06:33:32"/>
    <s v="false"/>
    <s v="Blumenau - Teste de 5km"/>
    <n v="8.36"/>
    <n v="523"/>
    <d v="1899-12-30T01:01:25"/>
    <n v="164"/>
    <n v="190"/>
    <n v="5"/>
    <n v="140"/>
    <n v="173"/>
    <d v="1899-12-30T07:21:00"/>
    <d v="1899-12-30T03:53:00"/>
    <n v="18"/>
    <n v="23"/>
    <n v="1.04"/>
    <n v="0"/>
    <n v="0"/>
    <n v="0"/>
    <n v="0"/>
    <n v="0"/>
    <s v="--"/>
    <s v="--"/>
    <d v="1899-12-30T01:01:25"/>
    <d v="1899-12-30T00:00:00"/>
    <n v="0"/>
    <d v="1899-12-30T00:00:00"/>
    <s v="Não"/>
    <s v="00:20.00"/>
    <n v="15"/>
    <n v="0"/>
    <d v="1899-12-30T00:58:30"/>
    <d v="1899-12-30T01:01:25"/>
    <n v="9"/>
    <n v="26"/>
  </r>
  <r>
    <x v="2"/>
    <d v="2021-01-23T07:17:01"/>
    <s v="false"/>
    <s v="Blumenau - Teste de 1km SUBIDA"/>
    <n v="7.89"/>
    <n v="531"/>
    <d v="1899-12-30T01:07:03"/>
    <n v="161"/>
    <n v="191"/>
    <n v="4.8"/>
    <n v="125"/>
    <n v="170"/>
    <d v="1899-12-30T08:30:00"/>
    <d v="1899-12-30T04:23:00"/>
    <n v="129"/>
    <n v="125"/>
    <n v="0.94"/>
    <n v="0"/>
    <n v="0"/>
    <n v="0"/>
    <n v="0"/>
    <n v="0"/>
    <s v="--"/>
    <s v="--"/>
    <d v="1899-12-30T01:07:03"/>
    <d v="1899-12-30T00:00:00"/>
    <n v="0"/>
    <d v="1899-12-30T00:00:00"/>
    <s v="Não"/>
    <s v="00:20.00"/>
    <n v="15"/>
    <n v="0"/>
    <d v="1899-12-30T01:02:59"/>
    <d v="1899-12-30T01:07:03"/>
    <n v="9"/>
    <n v="138"/>
  </r>
  <r>
    <x v="2"/>
    <d v="2021-01-19T06:34:00"/>
    <s v="false"/>
    <s v="Blumenau - Teste de 1km"/>
    <n v="6.52"/>
    <n v="353"/>
    <d v="1899-12-30T00:53:29"/>
    <n v="147"/>
    <n v="192"/>
    <n v="3.9"/>
    <n v="130"/>
    <n v="186"/>
    <d v="1899-12-30T08:12:00"/>
    <d v="1899-12-30T02:42:00"/>
    <n v="14"/>
    <n v="16"/>
    <n v="0.9"/>
    <n v="0"/>
    <n v="0"/>
    <n v="0"/>
    <n v="0"/>
    <n v="0"/>
    <s v="--"/>
    <s v="--"/>
    <d v="1900-01-01T05:29:00"/>
    <d v="1899-12-30T00:00:00"/>
    <n v="0"/>
    <d v="1899-12-30T00:00:00"/>
    <s v="Não"/>
    <s v="00:20.00"/>
    <n v="15"/>
    <n v="0"/>
    <d v="1899-12-30T00:51:02"/>
    <d v="1899-12-30T00:53:29"/>
    <n v="9"/>
    <n v="26"/>
  </r>
  <r>
    <x v="2"/>
    <d v="2021-01-16T07:10:16"/>
    <s v="false"/>
    <s v="Blumenau Corrida"/>
    <n v="5.91"/>
    <n v="383"/>
    <d v="1899-12-30T00:37:58"/>
    <n v="169"/>
    <n v="184"/>
    <n v="4.8"/>
    <n v="150"/>
    <n v="168"/>
    <d v="1899-12-30T06:26:00"/>
    <d v="1899-12-30T04:47:00"/>
    <n v="67"/>
    <n v="57"/>
    <n v="1.04"/>
    <n v="0"/>
    <n v="0"/>
    <n v="0"/>
    <n v="0"/>
    <n v="0"/>
    <s v="--"/>
    <s v="--"/>
    <d v="1899-12-31T13:58:00"/>
    <d v="1899-12-30T00:00:00"/>
    <n v="0"/>
    <d v="1899-12-30T00:00:00"/>
    <s v="Não"/>
    <s v="05:47.76"/>
    <n v="6"/>
    <n v="0"/>
    <d v="1899-12-30T00:37:57"/>
    <d v="1899-12-30T00:37:58"/>
    <n v="22"/>
    <n v="60"/>
  </r>
  <r>
    <x v="2"/>
    <d v="2021-01-14T06:37:16"/>
    <s v="false"/>
    <s v="Blumenau Corrida"/>
    <n v="8.01"/>
    <n v="521"/>
    <d v="1899-12-30T00:51:12"/>
    <n v="172"/>
    <n v="186"/>
    <n v="5"/>
    <n v="149"/>
    <n v="170"/>
    <d v="1899-12-30T06:23:00"/>
    <d v="1899-12-30T05:27:00"/>
    <n v="44"/>
    <n v="55"/>
    <n v="1.05"/>
    <n v="0"/>
    <n v="0"/>
    <n v="0"/>
    <n v="0"/>
    <n v="0"/>
    <s v="--"/>
    <s v="--"/>
    <d v="1900-01-01T03:12:00"/>
    <d v="1899-12-30T00:00:00"/>
    <n v="0"/>
    <d v="1899-12-30T00:00:00"/>
    <s v="Não"/>
    <s v="00:05.40"/>
    <n v="9"/>
    <n v="0"/>
    <d v="1899-12-30T00:50:56"/>
    <d v="1899-12-30T00:51:12"/>
    <n v="9"/>
    <n v="49"/>
  </r>
  <r>
    <x v="2"/>
    <d v="2021-01-12T07:08:13"/>
    <s v="false"/>
    <s v="Blumenau Corrida"/>
    <n v="8.01"/>
    <n v="550"/>
    <d v="1899-12-30T00:51:24"/>
    <n v="177"/>
    <n v="195"/>
    <n v="5"/>
    <n v="147"/>
    <n v="170"/>
    <d v="1899-12-30T06:25:00"/>
    <d v="1899-12-30T05:12:00"/>
    <n v="76"/>
    <n v="83"/>
    <n v="1.06"/>
    <n v="0"/>
    <n v="0"/>
    <n v="0"/>
    <n v="0"/>
    <n v="0"/>
    <s v="--"/>
    <s v="--"/>
    <d v="1900-01-01T03:24:00"/>
    <d v="1899-12-30T00:00:00"/>
    <n v="0"/>
    <d v="1899-12-30T00:00:00"/>
    <s v="Não"/>
    <s v="00:02.05"/>
    <n v="9"/>
    <n v="0"/>
    <d v="1899-12-30T00:51:22"/>
    <d v="1899-12-30T00:51:24"/>
    <n v="17"/>
    <n v="51"/>
  </r>
  <r>
    <x v="2"/>
    <d v="2020-12-31T10:06:13"/>
    <s v="false"/>
    <s v="Corrida"/>
    <n v="8.01"/>
    <n v="601"/>
    <d v="1899-12-30T00:48:30"/>
    <s v="--"/>
    <s v="--"/>
    <s v="--"/>
    <n v="156"/>
    <n v="164"/>
    <d v="1899-12-30T06:03:00"/>
    <d v="1899-12-30T04:59:00"/>
    <s v="--"/>
    <s v="--"/>
    <n v="1.06"/>
    <n v="0"/>
    <n v="0"/>
    <n v="0"/>
    <n v="0"/>
    <n v="0"/>
    <s v="--"/>
    <s v="--"/>
    <d v="1900-01-01T00:30:00"/>
    <d v="1899-12-30T00:00:00"/>
    <n v="0"/>
    <d v="1899-12-30T00:00:00"/>
    <s v="Não"/>
    <s v="00:02.35"/>
    <n v="9"/>
    <n v="0"/>
    <d v="1899-12-30T00:48:28"/>
    <d v="1899-12-30T00:48:30"/>
    <s v="--"/>
    <s v="--"/>
  </r>
  <r>
    <x v="2"/>
    <d v="2020-12-26T06:53:23"/>
    <s v="false"/>
    <s v="Corrida"/>
    <n v="12.01"/>
    <n v="900"/>
    <d v="1899-12-30T01:14:12"/>
    <s v="--"/>
    <s v="--"/>
    <s v="--"/>
    <n v="153"/>
    <n v="164"/>
    <d v="1899-12-30T06:11:00"/>
    <d v="1899-12-30T05:03:00"/>
    <s v="--"/>
    <s v="--"/>
    <n v="1.06"/>
    <n v="0"/>
    <n v="0"/>
    <n v="0"/>
    <n v="0"/>
    <n v="0"/>
    <s v="--"/>
    <s v="--"/>
    <d v="1899-12-30T01:14:12"/>
    <d v="1899-12-30T00:00:00"/>
    <n v="0"/>
    <d v="1899-12-30T00:00:00"/>
    <s v="Não"/>
    <s v="00:04.68"/>
    <n v="13"/>
    <n v="0"/>
    <d v="1899-12-30T01:14:10"/>
    <d v="1899-12-30T01:14:12"/>
    <s v="--"/>
    <s v="--"/>
  </r>
  <r>
    <x v="2"/>
    <d v="2020-12-22T06:37:37"/>
    <s v="false"/>
    <s v="Blumenau - 10 x 400 - intervalo 1 minuto"/>
    <n v="8.4499999999999993"/>
    <n v="585"/>
    <d v="1899-12-30T01:07:14"/>
    <s v="--"/>
    <s v="--"/>
    <s v="--"/>
    <n v="126"/>
    <n v="181"/>
    <d v="1899-12-30T07:57:00"/>
    <d v="1899-12-30T03:41:00"/>
    <n v="13"/>
    <n v="17"/>
    <n v="0.98"/>
    <n v="0"/>
    <n v="0"/>
    <n v="0"/>
    <n v="0"/>
    <n v="0"/>
    <s v="--"/>
    <s v="--"/>
    <d v="1899-12-30T01:07:14"/>
    <d v="1899-12-30T00:00:00"/>
    <n v="0"/>
    <d v="1899-12-30T00:00:00"/>
    <s v="Não"/>
    <s v="01:00.00"/>
    <n v="23"/>
    <n v="0"/>
    <d v="1899-12-30T00:58:50"/>
    <d v="1899-12-30T01:07:14"/>
    <n v="12"/>
    <n v="29"/>
  </r>
  <r>
    <x v="2"/>
    <d v="2020-12-20T20:48:46"/>
    <s v="false"/>
    <s v="Corrida"/>
    <n v="3.01"/>
    <n v="156"/>
    <d v="1899-12-30T00:34:40"/>
    <s v="--"/>
    <s v="--"/>
    <s v="--"/>
    <n v="112"/>
    <n v="130"/>
    <d v="1899-12-30T11:31:00"/>
    <d v="1899-12-30T09:30:00"/>
    <s v="--"/>
    <s v="--"/>
    <n v="0.78"/>
    <n v="0"/>
    <n v="0"/>
    <n v="0"/>
    <n v="0"/>
    <n v="0"/>
    <s v="--"/>
    <s v="--"/>
    <d v="1899-12-31T10:40:00"/>
    <d v="1899-12-30T00:00:00"/>
    <n v="0"/>
    <d v="1899-12-30T00:00:00"/>
    <s v="Não"/>
    <s v="00:07.04"/>
    <n v="4"/>
    <n v="0"/>
    <d v="1899-12-30T00:34:40"/>
    <d v="1899-12-30T00:34:40"/>
    <s v="--"/>
    <s v="--"/>
  </r>
  <r>
    <x v="2"/>
    <d v="2020-12-17T06:37:53"/>
    <s v="false"/>
    <s v="Blumenau - 8 x 500m com intervalo 2min caminhando"/>
    <n v="7.42"/>
    <n v="515"/>
    <d v="1899-12-30T00:52:59"/>
    <s v="--"/>
    <s v="--"/>
    <s v="--"/>
    <n v="138"/>
    <n v="240"/>
    <d v="1899-12-30T07:08:00"/>
    <d v="1899-12-30T03:44:00"/>
    <n v="15"/>
    <n v="17"/>
    <n v="0.98"/>
    <n v="0"/>
    <n v="0"/>
    <n v="0"/>
    <n v="0"/>
    <n v="0"/>
    <s v="--"/>
    <s v="--"/>
    <d v="1900-01-01T04:59:00"/>
    <d v="1899-12-30T00:00:00"/>
    <n v="0"/>
    <d v="1899-12-30T00:00:00"/>
    <s v="Não"/>
    <s v="02:00.00"/>
    <n v="18"/>
    <n v="0"/>
    <d v="1899-12-30T00:52:55"/>
    <d v="1899-12-30T00:52:59"/>
    <n v="12"/>
    <n v="29"/>
  </r>
  <r>
    <x v="2"/>
    <d v="2020-12-15T06:28:31"/>
    <s v="false"/>
    <s v="Corrida"/>
    <n v="8"/>
    <n v="565"/>
    <d v="1899-12-30T00:58:13"/>
    <s v="--"/>
    <s v="--"/>
    <s v="--"/>
    <n v="133"/>
    <n v="164"/>
    <d v="1899-12-30T07:16:00"/>
    <d v="1899-12-30T05:31:00"/>
    <s v="--"/>
    <s v="--"/>
    <n v="1.02"/>
    <n v="0"/>
    <n v="0"/>
    <n v="0"/>
    <n v="0"/>
    <n v="0"/>
    <s v="--"/>
    <s v="--"/>
    <d v="1900-01-01T10:13:00"/>
    <d v="1899-12-30T00:00:00"/>
    <n v="0"/>
    <d v="1899-12-30T00:00:00"/>
    <s v="Não"/>
    <s v="00:05.71"/>
    <n v="9"/>
    <n v="0"/>
    <d v="1899-12-30T00:58:11"/>
    <d v="1899-12-30T00:58:13"/>
    <s v="--"/>
    <s v="--"/>
  </r>
  <r>
    <x v="2"/>
    <d v="2020-12-13T07:22:58"/>
    <s v="false"/>
    <s v="Gaspar Corrida"/>
    <n v="13.44"/>
    <n v="885"/>
    <d v="1899-12-30T01:52:17"/>
    <s v="--"/>
    <s v="--"/>
    <s v="--"/>
    <n v="127"/>
    <n v="246"/>
    <d v="1899-12-30T08:21:00"/>
    <d v="1899-12-30T02:42:00"/>
    <n v="449"/>
    <n v="496"/>
    <n v="0.94"/>
    <n v="0"/>
    <n v="0"/>
    <n v="0"/>
    <n v="0"/>
    <n v="0"/>
    <s v="--"/>
    <s v="--"/>
    <d v="1899-12-30T01:52:17"/>
    <d v="1899-12-30T00:00:00"/>
    <n v="0"/>
    <d v="1899-12-30T00:00:00"/>
    <s v="Não"/>
    <s v="03:07.57"/>
    <n v="14"/>
    <n v="0"/>
    <d v="1899-12-30T01:48:39"/>
    <d v="1899-12-30T01:52:17"/>
    <n v="90"/>
    <n v="374"/>
  </r>
  <r>
    <x v="2"/>
    <d v="2020-12-10T06:43:18"/>
    <s v="false"/>
    <s v="Blumenau Corrida"/>
    <n v="7.34"/>
    <n v="505"/>
    <d v="1899-12-30T00:54:00"/>
    <s v="--"/>
    <s v="--"/>
    <s v="--"/>
    <n v="139"/>
    <n v="175"/>
    <d v="1899-12-30T07:22:00"/>
    <d v="1899-12-30T03:42:00"/>
    <n v="19"/>
    <n v="21"/>
    <n v="0.95"/>
    <n v="0"/>
    <n v="0"/>
    <n v="0"/>
    <n v="0"/>
    <n v="0"/>
    <s v="--"/>
    <s v="--"/>
    <d v="1900-01-01T06:00:00"/>
    <d v="1899-12-30T00:00:00"/>
    <n v="0"/>
    <d v="1899-12-30T00:00:00"/>
    <s v="Não"/>
    <s v="12:23.58"/>
    <n v="3"/>
    <n v="0"/>
    <d v="1899-12-30T00:54:00"/>
    <d v="1899-12-30T00:54:00"/>
    <n v="12"/>
    <n v="28"/>
  </r>
  <r>
    <x v="2"/>
    <d v="2020-12-08T06:34:04"/>
    <s v="false"/>
    <s v="Blumenau Corrida"/>
    <n v="7.38"/>
    <n v="496"/>
    <d v="1899-12-30T00:52:47"/>
    <s v="--"/>
    <s v="--"/>
    <s v="--"/>
    <n v="139"/>
    <n v="173"/>
    <d v="1899-12-30T07:09:00"/>
    <d v="1899-12-30T03:41:00"/>
    <n v="15"/>
    <n v="17"/>
    <n v="0.97"/>
    <n v="0"/>
    <n v="0"/>
    <n v="0"/>
    <n v="0"/>
    <n v="0"/>
    <s v="--"/>
    <s v="--"/>
    <d v="1900-01-01T04:47:00"/>
    <d v="1899-12-30T00:00:00"/>
    <n v="0"/>
    <d v="1899-12-30T00:00:00"/>
    <s v="Não"/>
    <s v="01:00.00"/>
    <n v="8"/>
    <n v="0"/>
    <d v="1899-12-30T00:52:25"/>
    <d v="1899-12-30T00:53:22"/>
    <n v="12"/>
    <n v="29"/>
  </r>
  <r>
    <x v="2"/>
    <d v="2020-12-05T07:09:03"/>
    <s v="false"/>
    <s v="Blumenau Corrida"/>
    <n v="7.54"/>
    <n v="536"/>
    <d v="1899-12-30T00:51:05"/>
    <s v="--"/>
    <s v="--"/>
    <s v="--"/>
    <n v="134"/>
    <n v="246"/>
    <d v="1899-12-30T06:46:00"/>
    <d v="1899-12-30T04:18:00"/>
    <n v="22"/>
    <n v="27"/>
    <n v="1.2"/>
    <n v="0"/>
    <n v="0"/>
    <n v="0"/>
    <n v="0"/>
    <n v="0"/>
    <s v="--"/>
    <s v="--"/>
    <d v="1900-01-01T03:05:00"/>
    <d v="1899-12-30T00:00:00"/>
    <n v="0"/>
    <d v="1899-12-30T00:00:00"/>
    <s v="Não"/>
    <s v="04:00.00"/>
    <n v="8"/>
    <n v="0"/>
    <d v="1899-12-30T00:44:04"/>
    <d v="1899-12-30T00:51:33"/>
    <n v="12"/>
    <n v="30"/>
  </r>
  <r>
    <x v="2"/>
    <d v="2020-12-01T18:34:24"/>
    <s v="false"/>
    <s v="Corrida"/>
    <n v="6.79"/>
    <n v="494"/>
    <d v="1899-12-30T00:40:03"/>
    <s v="--"/>
    <s v="--"/>
    <s v="--"/>
    <n v="155"/>
    <n v="161"/>
    <d v="1899-12-30T05:54:00"/>
    <d v="1899-12-30T05:19:00"/>
    <s v="--"/>
    <s v="--"/>
    <n v="1.0900000000000001"/>
    <n v="0"/>
    <n v="0"/>
    <n v="0"/>
    <n v="0"/>
    <n v="0"/>
    <s v="--"/>
    <s v="--"/>
    <d v="1899-12-31T16:03:00"/>
    <d v="1899-12-30T00:00:00"/>
    <n v="0"/>
    <d v="1899-12-30T00:00:00"/>
    <s v="Não"/>
    <s v="04:33.26"/>
    <n v="7"/>
    <n v="0"/>
    <d v="1899-12-30T00:40:02"/>
    <d v="1899-12-30T00:40:03"/>
    <s v="--"/>
    <s v="--"/>
  </r>
  <r>
    <x v="2"/>
    <d v="2020-11-28T06:10:16"/>
    <s v="false"/>
    <s v="Ilhota Corrida"/>
    <n v="22.01"/>
    <n v="1437"/>
    <d v="1899-12-30T02:50:34"/>
    <s v="--"/>
    <s v="--"/>
    <s v="--"/>
    <n v="124"/>
    <n v="182"/>
    <d v="1899-12-30T07:45:00"/>
    <d v="1899-12-30T04:20:00"/>
    <n v="858"/>
    <n v="861"/>
    <n v="1.04"/>
    <n v="0"/>
    <n v="0"/>
    <n v="0"/>
    <n v="0"/>
    <n v="0"/>
    <s v="--"/>
    <s v="--"/>
    <d v="1899-12-30T02:50:34"/>
    <d v="1899-12-30T00:00:00"/>
    <n v="0"/>
    <d v="1899-12-30T00:00:00"/>
    <s v="Não"/>
    <s v="00:05.52"/>
    <n v="23"/>
    <n v="0"/>
    <d v="1899-12-30T02:49:22"/>
    <d v="1899-12-30T02:50:34"/>
    <n v="209"/>
    <n v="514"/>
  </r>
  <r>
    <x v="2"/>
    <d v="2020-11-26T06:26:45"/>
    <s v="false"/>
    <s v="Blumenau Corrida"/>
    <n v="10.119999999999999"/>
    <n v="728"/>
    <d v="1899-12-30T01:02:06"/>
    <s v="--"/>
    <s v="--"/>
    <s v="--"/>
    <n v="158"/>
    <n v="171"/>
    <d v="1899-12-30T06:08:00"/>
    <d v="1899-12-30T04:59:00"/>
    <n v="45"/>
    <n v="50"/>
    <n v="1.03"/>
    <n v="0"/>
    <n v="0"/>
    <n v="0"/>
    <n v="0"/>
    <n v="0"/>
    <s v="--"/>
    <s v="--"/>
    <d v="1899-12-30T01:02:06"/>
    <d v="1899-12-30T00:00:00"/>
    <n v="0"/>
    <d v="1899-12-30T00:00:00"/>
    <s v="Não"/>
    <s v="01:21.53"/>
    <n v="11"/>
    <n v="0"/>
    <d v="1899-12-30T01:02:04"/>
    <d v="1899-12-30T01:02:06"/>
    <n v="12"/>
    <n v="41"/>
  </r>
  <r>
    <x v="2"/>
    <d v="2020-11-24T06:51:15"/>
    <s v="false"/>
    <s v="Blumenau Corrida"/>
    <n v="10.43"/>
    <n v="700"/>
    <d v="1899-12-30T01:13:12"/>
    <s v="--"/>
    <s v="--"/>
    <s v="--"/>
    <n v="134"/>
    <n v="173"/>
    <d v="1899-12-30T07:01:00"/>
    <d v="1899-12-30T03:59:00"/>
    <n v="32"/>
    <n v="35"/>
    <n v="1.02"/>
    <n v="0"/>
    <n v="0"/>
    <n v="0"/>
    <n v="0"/>
    <n v="0"/>
    <s v="--"/>
    <s v="--"/>
    <d v="1899-12-30T01:13:12"/>
    <d v="1899-12-30T00:00:00"/>
    <n v="0"/>
    <d v="1899-12-30T00:00:00"/>
    <s v="Não"/>
    <s v="01:00.00"/>
    <n v="26"/>
    <n v="0"/>
    <d v="1899-12-30T01:10:21"/>
    <d v="1899-12-30T01:13:12"/>
    <n v="12"/>
    <n v="28"/>
  </r>
  <r>
    <x v="2"/>
    <d v="2020-11-21T07:31:30"/>
    <s v="false"/>
    <s v="Blumenau Corrida"/>
    <n v="10.01"/>
    <n v="694"/>
    <d v="1899-12-30T01:03:31"/>
    <s v="--"/>
    <s v="--"/>
    <s v="--"/>
    <n v="151"/>
    <n v="168"/>
    <d v="1899-12-30T06:21:00"/>
    <d v="1899-12-30T04:08:00"/>
    <n v="143"/>
    <n v="144"/>
    <n v="1.04"/>
    <n v="0"/>
    <n v="0"/>
    <n v="0"/>
    <n v="0"/>
    <n v="0"/>
    <s v="--"/>
    <s v="--"/>
    <d v="1899-12-30T01:03:31"/>
    <d v="1899-12-30T00:00:00"/>
    <n v="0"/>
    <d v="1899-12-30T00:00:00"/>
    <s v="Não"/>
    <s v="00:01.88"/>
    <n v="11"/>
    <n v="0"/>
    <d v="1899-12-30T01:03:27"/>
    <d v="1899-12-30T01:03:31"/>
    <n v="20"/>
    <n v="78"/>
  </r>
  <r>
    <x v="2"/>
    <d v="2020-11-19T06:58:23"/>
    <s v="false"/>
    <s v="Corrida"/>
    <n v="5.01"/>
    <n v="365"/>
    <d v="1899-12-30T00:29:34"/>
    <s v="--"/>
    <s v="--"/>
    <s v="--"/>
    <n v="157"/>
    <n v="167"/>
    <d v="1899-12-30T05:54:00"/>
    <d v="1899-12-30T05:18:00"/>
    <s v="--"/>
    <s v="--"/>
    <n v="1.08"/>
    <n v="0"/>
    <n v="0"/>
    <n v="0"/>
    <n v="0"/>
    <n v="0"/>
    <s v="--"/>
    <s v="--"/>
    <d v="1899-12-31T05:34:00"/>
    <d v="1899-12-30T00:00:00"/>
    <n v="0"/>
    <d v="1899-12-30T00:00:00"/>
    <s v="Não"/>
    <s v="00:02.80"/>
    <n v="6"/>
    <n v="0"/>
    <d v="1899-12-30T00:29:33"/>
    <d v="1899-12-30T00:29:34"/>
    <s v="--"/>
    <s v="--"/>
  </r>
  <r>
    <x v="2"/>
    <d v="2020-11-17T06:39:41"/>
    <s v="false"/>
    <s v="Blumenau - 2 x 5km progressivo"/>
    <n v="9.82"/>
    <n v="713"/>
    <d v="1899-12-30T00:57:25"/>
    <s v="--"/>
    <s v="--"/>
    <s v="--"/>
    <n v="160"/>
    <n v="171"/>
    <d v="1899-12-30T05:51:00"/>
    <d v="1899-12-30T03:50:00"/>
    <n v="42"/>
    <n v="45"/>
    <n v="1.06"/>
    <n v="0"/>
    <n v="0"/>
    <n v="0"/>
    <n v="0"/>
    <n v="0"/>
    <s v="--"/>
    <s v="--"/>
    <d v="1900-01-01T09:25:00"/>
    <d v="1899-12-30T00:00:00"/>
    <n v="0"/>
    <d v="1899-12-30T00:00:00"/>
    <s v="Não"/>
    <s v="00:03.08"/>
    <n v="11"/>
    <n v="0"/>
    <d v="1899-12-30T00:57:23"/>
    <d v="1899-12-30T00:57:37"/>
    <n v="12"/>
    <n v="41"/>
  </r>
  <r>
    <x v="2"/>
    <d v="2020-11-15T07:56:58"/>
    <s v="false"/>
    <s v="Blumenau Corrida"/>
    <n v="12.01"/>
    <n v="843"/>
    <d v="1899-12-30T01:20:55"/>
    <s v="--"/>
    <s v="--"/>
    <s v="--"/>
    <n v="151"/>
    <n v="169"/>
    <d v="1899-12-30T06:44:00"/>
    <d v="1899-12-30T01:30:00"/>
    <n v="178"/>
    <n v="170"/>
    <n v="0.98"/>
    <n v="0"/>
    <n v="0"/>
    <n v="0"/>
    <n v="0"/>
    <n v="0"/>
    <s v="--"/>
    <s v="--"/>
    <d v="1899-12-30T01:20:55"/>
    <d v="1899-12-30T00:00:00"/>
    <n v="0"/>
    <d v="1899-12-30T00:00:00"/>
    <s v="Não"/>
    <s v="00:01.65"/>
    <n v="13"/>
    <n v="0"/>
    <d v="1899-12-30T01:19:30"/>
    <d v="1899-12-30T01:20:55"/>
    <n v="-6"/>
    <n v="78"/>
  </r>
  <r>
    <x v="2"/>
    <d v="2020-11-12T18:45:39"/>
    <s v="false"/>
    <s v="8 x 800m com intervalo 2min caminhando"/>
    <n v="8.84"/>
    <n v="607"/>
    <d v="1899-12-30T00:59:01"/>
    <s v="--"/>
    <s v="--"/>
    <s v="--"/>
    <n v="143"/>
    <n v="168"/>
    <d v="1899-12-30T06:41:00"/>
    <d v="1899-12-30T05:01:00"/>
    <s v="--"/>
    <s v="--"/>
    <n v="1.03"/>
    <n v="0"/>
    <n v="0"/>
    <n v="0"/>
    <n v="0"/>
    <n v="0"/>
    <s v="--"/>
    <s v="--"/>
    <d v="1900-01-01T11:01:00"/>
    <d v="1899-12-30T00:00:00"/>
    <n v="0"/>
    <d v="1899-12-30T00:00:00"/>
    <s v="Não"/>
    <s v="00:06.03"/>
    <n v="18"/>
    <n v="0"/>
    <d v="1899-12-30T00:58:57"/>
    <d v="1899-12-30T00:59:01"/>
    <s v="--"/>
    <s v="--"/>
  </r>
  <r>
    <x v="2"/>
    <d v="2020-11-10T06:36:49"/>
    <s v="false"/>
    <s v="Corrida"/>
    <n v="10.029999999999999"/>
    <n v="732"/>
    <d v="1899-12-30T01:03:26"/>
    <s v="--"/>
    <s v="--"/>
    <s v="--"/>
    <n v="156"/>
    <n v="164"/>
    <d v="1899-12-30T06:19:00"/>
    <d v="1899-12-30T05:38:00"/>
    <s v="--"/>
    <s v="--"/>
    <n v="1.02"/>
    <n v="0"/>
    <n v="0"/>
    <n v="0"/>
    <n v="0"/>
    <n v="0"/>
    <s v="--"/>
    <s v="--"/>
    <d v="1899-12-30T01:03:26"/>
    <d v="1899-12-30T00:00:00"/>
    <n v="0"/>
    <d v="1899-12-30T00:00:00"/>
    <s v="Não"/>
    <s v="00:12.12"/>
    <n v="11"/>
    <n v="0"/>
    <d v="1899-12-30T01:03:24"/>
    <d v="1899-12-30T01:03:26"/>
    <s v="--"/>
    <s v="--"/>
  </r>
  <r>
    <x v="2"/>
    <d v="2020-11-07T07:35:14"/>
    <s v="false"/>
    <s v="Blumenau - 10 x 200m SUBIDA"/>
    <n v="9.66"/>
    <n v="642"/>
    <d v="1899-12-30T01:10:38"/>
    <s v="--"/>
    <s v="--"/>
    <s v="--"/>
    <n v="144"/>
    <n v="175"/>
    <d v="1899-12-30T07:19:00"/>
    <d v="1899-12-30T04:55:00"/>
    <n v="176"/>
    <n v="179"/>
    <n v="0.94"/>
    <n v="0"/>
    <n v="0"/>
    <n v="0"/>
    <n v="0"/>
    <n v="0"/>
    <s v="--"/>
    <s v="--"/>
    <d v="1899-12-30T01:10:38"/>
    <d v="1899-12-30T00:00:00"/>
    <n v="0"/>
    <d v="1899-12-30T00:00:00"/>
    <s v="Não"/>
    <s v="01:06.85"/>
    <n v="22"/>
    <n v="0"/>
    <d v="1899-12-30T01:10:31"/>
    <d v="1899-12-30T01:11:49"/>
    <n v="12"/>
    <n v="40"/>
  </r>
  <r>
    <x v="2"/>
    <d v="2020-11-05T06:39:04"/>
    <s v="false"/>
    <s v="Blumenau Corrida"/>
    <n v="10.01"/>
    <n v="720"/>
    <d v="1899-12-30T00:58:46"/>
    <s v="--"/>
    <s v="--"/>
    <s v="--"/>
    <n v="161"/>
    <n v="171"/>
    <d v="1899-12-30T05:52:00"/>
    <d v="1899-12-30T05:12:00"/>
    <n v="71"/>
    <n v="75"/>
    <n v="1.05"/>
    <n v="0"/>
    <n v="0"/>
    <n v="0"/>
    <n v="0"/>
    <n v="0"/>
    <s v="--"/>
    <s v="--"/>
    <d v="1900-01-01T10:46:00"/>
    <d v="1899-12-30T00:00:00"/>
    <n v="0"/>
    <d v="1899-12-30T00:00:00"/>
    <s v="Não"/>
    <s v="00:02.86"/>
    <n v="11"/>
    <n v="0"/>
    <d v="1899-12-30T00:58:44"/>
    <d v="1899-12-30T00:58:46"/>
    <n v="12"/>
    <n v="56"/>
  </r>
  <r>
    <x v="2"/>
    <d v="2020-10-31T07:40:01"/>
    <s v="false"/>
    <s v="Blumenau Corrida"/>
    <n v="7.01"/>
    <n v="511"/>
    <d v="1899-12-30T00:42:09"/>
    <s v="--"/>
    <s v="--"/>
    <s v="--"/>
    <n v="161"/>
    <n v="170"/>
    <d v="1899-12-30T06:01:00"/>
    <d v="1899-12-30T05:04:00"/>
    <n v="75"/>
    <n v="77"/>
    <n v="1.03"/>
    <n v="0"/>
    <n v="0"/>
    <n v="0"/>
    <n v="0"/>
    <n v="0"/>
    <s v="--"/>
    <s v="--"/>
    <d v="1899-12-31T18:09:00"/>
    <d v="1899-12-30T00:00:00"/>
    <n v="0"/>
    <d v="1899-12-30T00:00:00"/>
    <s v="Não"/>
    <s v="00:03.85"/>
    <n v="8"/>
    <n v="0"/>
    <d v="1899-12-30T00:42:07"/>
    <d v="1899-12-30T00:42:09"/>
    <n v="20"/>
    <n v="63"/>
  </r>
  <r>
    <x v="2"/>
    <d v="2020-10-29T06:43:47"/>
    <s v="false"/>
    <s v="Blumenau Corrida"/>
    <n v="7.01"/>
    <n v="513"/>
    <d v="1899-12-30T00:41:18"/>
    <s v="--"/>
    <s v="--"/>
    <s v="--"/>
    <n v="159"/>
    <n v="170"/>
    <d v="1899-12-30T05:54:00"/>
    <d v="1899-12-30T05:13:00"/>
    <n v="53"/>
    <n v="54"/>
    <n v="1.07"/>
    <n v="0"/>
    <n v="0"/>
    <n v="0"/>
    <n v="0"/>
    <n v="0"/>
    <s v="--"/>
    <s v="--"/>
    <d v="1899-12-31T17:18:00"/>
    <d v="1899-12-30T00:00:00"/>
    <n v="0"/>
    <d v="1899-12-30T00:00:00"/>
    <s v="Não"/>
    <s v="00:02.58"/>
    <n v="8"/>
    <n v="0"/>
    <d v="1899-12-30T00:41:17"/>
    <d v="1899-12-30T00:41:18"/>
    <n v="12"/>
    <n v="56"/>
  </r>
  <r>
    <x v="2"/>
    <d v="2020-10-27T19:11:01"/>
    <s v="false"/>
    <s v="2 x 3km com intervalo 3min caminhando"/>
    <n v="7.56"/>
    <n v="539"/>
    <d v="1899-12-30T00:46:06"/>
    <s v="--"/>
    <s v="--"/>
    <s v="--"/>
    <n v="151"/>
    <n v="170"/>
    <d v="1899-12-30T06:06:00"/>
    <d v="1899-12-30T04:59:00"/>
    <s v="--"/>
    <s v="--"/>
    <n v="1.07"/>
    <n v="0"/>
    <n v="0"/>
    <n v="0"/>
    <n v="0"/>
    <n v="0"/>
    <s v="--"/>
    <s v="--"/>
    <d v="1899-12-31T22:06:00"/>
    <d v="1899-12-30T00:00:00"/>
    <n v="0"/>
    <d v="1899-12-30T00:00:00"/>
    <s v="Não"/>
    <s v="00:50.52"/>
    <n v="6"/>
    <n v="0"/>
    <d v="1899-12-30T00:45:41"/>
    <d v="1899-12-30T00:46:06"/>
    <s v="--"/>
    <s v="--"/>
  </r>
  <r>
    <x v="2"/>
    <d v="2020-10-24T07:58:44"/>
    <s v="false"/>
    <s v="Blumenau Corrida"/>
    <n v="11.58"/>
    <n v="834"/>
    <d v="1899-12-30T01:14:13"/>
    <s v="--"/>
    <s v="--"/>
    <s v="--"/>
    <n v="158"/>
    <n v="173"/>
    <d v="1899-12-30T06:24:00"/>
    <d v="1899-12-30T05:12:00"/>
    <n v="166"/>
    <n v="171"/>
    <n v="0.99"/>
    <n v="0"/>
    <n v="0"/>
    <n v="0"/>
    <n v="0"/>
    <n v="0"/>
    <s v="--"/>
    <s v="--"/>
    <d v="1899-12-30T01:14:13"/>
    <d v="1899-12-30T00:00:00"/>
    <n v="0"/>
    <d v="1899-12-30T00:00:00"/>
    <s v="Não"/>
    <s v="03:30.65"/>
    <n v="12"/>
    <n v="0"/>
    <d v="1899-12-30T01:14:12"/>
    <d v="1899-12-30T01:14:13"/>
    <n v="20"/>
    <n v="116"/>
  </r>
  <r>
    <x v="2"/>
    <d v="2020-10-22T18:09:48"/>
    <s v="false"/>
    <s v="6 x 1km com intervalo 3min parado"/>
    <n v="7.29"/>
    <n v="528"/>
    <d v="1899-12-30T00:55:44"/>
    <s v="--"/>
    <s v="--"/>
    <s v="--"/>
    <n v="114"/>
    <n v="170"/>
    <d v="1899-12-30T07:39:00"/>
    <d v="1899-12-30T04:36:00"/>
    <s v="--"/>
    <s v="--"/>
    <n v="1.1000000000000001"/>
    <n v="0"/>
    <n v="0"/>
    <n v="0"/>
    <n v="0"/>
    <n v="0"/>
    <s v="--"/>
    <s v="--"/>
    <d v="1900-01-01T07:44:00"/>
    <d v="1899-12-30T00:00:00"/>
    <n v="0"/>
    <d v="1899-12-30T00:00:00"/>
    <s v="Não"/>
    <s v="00:01.54"/>
    <n v="14"/>
    <n v="0"/>
    <d v="1899-12-30T00:47:54"/>
    <d v="1899-12-30T00:55:44"/>
    <s v="--"/>
    <s v="--"/>
  </r>
  <r>
    <x v="2"/>
    <d v="2020-10-20T06:33:32"/>
    <s v="false"/>
    <s v="Blumenau Corrida"/>
    <n v="10.01"/>
    <n v="731"/>
    <d v="1899-12-30T00:59:07"/>
    <s v="--"/>
    <s v="--"/>
    <s v="--"/>
    <n v="162"/>
    <n v="171"/>
    <d v="1899-12-30T05:54:00"/>
    <d v="1899-12-30T05:26:00"/>
    <n v="75"/>
    <n v="85"/>
    <n v="1.04"/>
    <n v="0"/>
    <n v="0"/>
    <n v="0"/>
    <n v="0"/>
    <n v="0"/>
    <s v="--"/>
    <s v="--"/>
    <d v="1900-01-01T11:07:00"/>
    <d v="1899-12-30T00:00:00"/>
    <n v="0"/>
    <d v="1899-12-30T00:00:00"/>
    <s v="Não"/>
    <s v="00:03.02"/>
    <n v="11"/>
    <n v="0"/>
    <d v="1899-12-30T00:59:05"/>
    <d v="1899-12-30T00:59:07"/>
    <n v="12"/>
    <n v="56"/>
  </r>
  <r>
    <x v="2"/>
    <d v="2020-10-18T08:25:22"/>
    <s v="false"/>
    <s v="Blumenau - 4 x 2km com intervalo 3min caminhando"/>
    <n v="11.2"/>
    <n v="776"/>
    <d v="1899-12-30T01:14:31"/>
    <s v="--"/>
    <s v="--"/>
    <s v="--"/>
    <n v="149"/>
    <n v="170"/>
    <d v="1899-12-30T06:39:00"/>
    <d v="1899-12-30T04:23:00"/>
    <n v="97"/>
    <n v="98"/>
    <n v="0.99"/>
    <n v="0"/>
    <n v="0"/>
    <n v="0"/>
    <n v="0"/>
    <n v="0"/>
    <s v="--"/>
    <s v="--"/>
    <d v="1899-12-30T01:14:31"/>
    <d v="1899-12-30T00:00:00"/>
    <n v="0"/>
    <d v="1899-12-30T00:00:00"/>
    <s v="Não"/>
    <s v="03:00.00"/>
    <n v="10"/>
    <n v="0"/>
    <d v="1899-12-30T01:14:30"/>
    <d v="1899-12-30T01:14:31"/>
    <n v="15"/>
    <n v="60"/>
  </r>
  <r>
    <x v="2"/>
    <d v="2020-10-15T06:38:53"/>
    <s v="false"/>
    <s v="Blumenau Corrida"/>
    <n v="10.01"/>
    <n v="720"/>
    <d v="1899-12-30T00:56:38"/>
    <s v="--"/>
    <s v="--"/>
    <s v="--"/>
    <n v="157"/>
    <n v="173"/>
    <d v="1899-12-30T05:40:00"/>
    <d v="1899-12-30T04:48:00"/>
    <n v="66"/>
    <n v="67"/>
    <n v="1.1200000000000001"/>
    <n v="0"/>
    <n v="0"/>
    <n v="0"/>
    <n v="0"/>
    <n v="0"/>
    <s v="--"/>
    <s v="--"/>
    <d v="1900-01-01T08:38:00"/>
    <d v="1899-12-30T00:00:00"/>
    <n v="0"/>
    <d v="1899-12-30T00:00:00"/>
    <s v="Não"/>
    <s v="00:02.06"/>
    <n v="11"/>
    <n v="0"/>
    <d v="1899-12-30T00:56:36"/>
    <d v="1899-12-30T00:56:38"/>
    <n v="12"/>
    <n v="56"/>
  </r>
  <r>
    <x v="2"/>
    <d v="2020-10-13T06:55:16"/>
    <s v="false"/>
    <s v="Blumenau - 8 x 600m com intervalo 2min caminhando"/>
    <n v="9.25"/>
    <n v="621"/>
    <d v="1899-12-30T01:03:17"/>
    <s v="--"/>
    <s v="--"/>
    <s v="--"/>
    <n v="142"/>
    <n v="169"/>
    <d v="1899-12-30T06:50:00"/>
    <d v="1899-12-30T04:49:00"/>
    <n v="17"/>
    <n v="23"/>
    <n v="1.02"/>
    <n v="0"/>
    <n v="0"/>
    <n v="0"/>
    <n v="0"/>
    <n v="0"/>
    <s v="--"/>
    <s v="--"/>
    <d v="1899-12-30T01:03:17"/>
    <d v="1899-12-30T00:00:00"/>
    <n v="0"/>
    <d v="1899-12-30T00:00:00"/>
    <s v="Não"/>
    <s v="02:00.00"/>
    <n v="18"/>
    <n v="0"/>
    <d v="1899-12-30T01:03:16"/>
    <d v="1899-12-30T01:03:17"/>
    <n v="12"/>
    <n v="28"/>
  </r>
  <r>
    <x v="2"/>
    <d v="2020-10-10T07:16:20"/>
    <s v="false"/>
    <s v="Blumenau Corrida"/>
    <n v="10.01"/>
    <n v="718"/>
    <d v="1899-12-30T00:59:33"/>
    <s v="--"/>
    <s v="--"/>
    <s v="--"/>
    <n v="159"/>
    <n v="173"/>
    <d v="1899-12-30T05:57:00"/>
    <d v="1899-12-30T03:55:00"/>
    <n v="118"/>
    <n v="125"/>
    <n v="1.05"/>
    <n v="0"/>
    <n v="0"/>
    <n v="0"/>
    <n v="0"/>
    <n v="0"/>
    <s v="--"/>
    <s v="--"/>
    <d v="1900-01-01T11:33:00"/>
    <d v="1899-12-30T00:00:00"/>
    <n v="0"/>
    <d v="1899-12-30T00:00:00"/>
    <s v="Não"/>
    <s v="00:01.42"/>
    <n v="11"/>
    <n v="0"/>
    <d v="1899-12-30T00:59:15"/>
    <d v="1899-12-30T00:59:33"/>
    <n v="20"/>
    <n v="59"/>
  </r>
  <r>
    <x v="2"/>
    <d v="2020-10-06T06:44:21"/>
    <s v="false"/>
    <s v="Blumenau Corrida"/>
    <n v="7.62"/>
    <n v="561"/>
    <d v="1899-12-30T00:45:01"/>
    <s v="--"/>
    <s v="--"/>
    <s v="--"/>
    <n v="163"/>
    <n v="171"/>
    <d v="1899-12-30T05:55:00"/>
    <d v="1899-12-30T04:08:00"/>
    <n v="48"/>
    <n v="62"/>
    <n v="1.04"/>
    <n v="0"/>
    <n v="0"/>
    <n v="0"/>
    <n v="0"/>
    <n v="0"/>
    <s v="--"/>
    <s v="--"/>
    <d v="1899-12-31T21:01:00"/>
    <d v="1899-12-30T00:00:00"/>
    <n v="0"/>
    <d v="1899-12-30T00:00:00"/>
    <s v="Não"/>
    <s v="03:27.49"/>
    <n v="8"/>
    <n v="0"/>
    <d v="1899-12-30T00:44:53"/>
    <d v="1899-12-30T00:45:01"/>
    <n v="12"/>
    <n v="56"/>
  </r>
  <r>
    <x v="2"/>
    <d v="2020-10-04T09:13:23"/>
    <s v="false"/>
    <s v="Blumenau Corrida"/>
    <n v="10.01"/>
    <n v="730"/>
    <d v="1899-12-30T00:57:39"/>
    <s v="--"/>
    <s v="--"/>
    <s v="--"/>
    <n v="164"/>
    <n v="173"/>
    <d v="1899-12-30T05:46:00"/>
    <d v="1899-12-30T05:02:00"/>
    <n v="57"/>
    <n v="59"/>
    <n v="1.06"/>
    <n v="0"/>
    <n v="0"/>
    <n v="0"/>
    <n v="0"/>
    <n v="0"/>
    <s v="--"/>
    <s v="--"/>
    <d v="1900-01-01T09:39:00"/>
    <d v="1899-12-30T00:00:00"/>
    <n v="0"/>
    <d v="1899-12-30T00:00:00"/>
    <s v="Não"/>
    <s v="00:02.88"/>
    <n v="11"/>
    <n v="0"/>
    <d v="1899-12-30T00:57:37"/>
    <d v="1899-12-30T00:57:39"/>
    <n v="12"/>
    <n v="56"/>
  </r>
  <r>
    <x v="2"/>
    <d v="2020-10-01T06:44:56"/>
    <s v="false"/>
    <s v="Blumenau - Progressivo - leve p/ forte"/>
    <n v="6.01"/>
    <n v="444"/>
    <d v="1899-12-30T00:37:21"/>
    <s v="--"/>
    <s v="--"/>
    <s v="--"/>
    <n v="162"/>
    <n v="170"/>
    <d v="1899-12-30T06:13:00"/>
    <d v="1899-12-30T05:07:00"/>
    <n v="6"/>
    <n v="22"/>
    <n v="0.99"/>
    <n v="0"/>
    <n v="0"/>
    <n v="0"/>
    <n v="0"/>
    <n v="0"/>
    <s v="--"/>
    <s v="--"/>
    <d v="1899-12-31T13:21:00"/>
    <d v="1899-12-30T00:00:00"/>
    <n v="0"/>
    <d v="1899-12-30T00:00:00"/>
    <s v="Não"/>
    <s v="00:03.76"/>
    <n v="4"/>
    <n v="0"/>
    <d v="1899-12-30T00:37:19"/>
    <d v="1899-12-30T00:37:21"/>
    <n v="12"/>
    <n v="29"/>
  </r>
  <r>
    <x v="2"/>
    <d v="2020-09-29T06:40:27"/>
    <s v="false"/>
    <s v="Blumenau - Run Workout"/>
    <n v="9.01"/>
    <n v="665"/>
    <d v="1899-12-30T00:55:23"/>
    <s v="--"/>
    <s v="--"/>
    <s v="--"/>
    <n v="162"/>
    <n v="171"/>
    <d v="1899-12-30T06:09:00"/>
    <d v="1899-12-30T04:43:00"/>
    <n v="10"/>
    <n v="17"/>
    <n v="1"/>
    <n v="0"/>
    <n v="0"/>
    <n v="0"/>
    <n v="0"/>
    <n v="0"/>
    <s v="--"/>
    <s v="--"/>
    <d v="1900-01-01T07:23:00"/>
    <d v="1899-12-30T00:00:00"/>
    <n v="0"/>
    <d v="1899-12-30T00:00:00"/>
    <s v="Não"/>
    <s v="00:02.98"/>
    <n v="4"/>
    <n v="0"/>
    <d v="1899-12-30T00:55:23"/>
    <d v="1899-12-30T00:55:23"/>
    <n v="12"/>
    <n v="29"/>
  </r>
  <r>
    <x v="2"/>
    <d v="2020-09-27T07:52:59"/>
    <s v="false"/>
    <s v="Blumenau - 10 x 1min Moderado/Forte - 2min leve"/>
    <n v="7.87"/>
    <n v="577"/>
    <d v="1899-12-30T00:50:11"/>
    <s v="--"/>
    <s v="--"/>
    <s v="--"/>
    <n v="161"/>
    <n v="169"/>
    <d v="1899-12-30T06:23:00"/>
    <d v="1899-12-30T04:05:00"/>
    <n v="7"/>
    <n v="21"/>
    <n v="0.97"/>
    <n v="0"/>
    <n v="0"/>
    <n v="0"/>
    <n v="0"/>
    <n v="0"/>
    <s v="--"/>
    <s v="--"/>
    <d v="1900-01-01T02:11:00"/>
    <d v="1899-12-30T00:00:00"/>
    <n v="0"/>
    <d v="1899-12-30T00:00:00"/>
    <s v="Não"/>
    <s v="00:07.58"/>
    <n v="22"/>
    <n v="0"/>
    <d v="1899-12-30T00:50:10"/>
    <d v="1899-12-30T00:50:11"/>
    <n v="12"/>
    <n v="29"/>
  </r>
  <r>
    <x v="2"/>
    <d v="2020-09-24T07:09:25"/>
    <s v="false"/>
    <s v="Blumenau Corrida"/>
    <n v="8.0299999999999994"/>
    <n v="579"/>
    <d v="1899-12-30T00:47:55"/>
    <s v="--"/>
    <s v="--"/>
    <s v="--"/>
    <n v="160"/>
    <n v="173"/>
    <d v="1899-12-30T05:58:00"/>
    <d v="1899-12-30T04:25:00"/>
    <n v="82"/>
    <n v="83"/>
    <n v="1.05"/>
    <n v="0"/>
    <n v="0"/>
    <n v="0"/>
    <n v="0"/>
    <n v="0"/>
    <s v="--"/>
    <s v="--"/>
    <d v="1899-12-31T23:55:00"/>
    <d v="1899-12-30T00:00:00"/>
    <n v="0"/>
    <d v="1899-12-30T00:00:00"/>
    <s v="Não"/>
    <s v="00:09.28"/>
    <n v="9"/>
    <n v="0"/>
    <d v="1899-12-30T00:47:54"/>
    <d v="1899-12-30T00:47:55"/>
    <n v="22"/>
    <n v="61"/>
  </r>
  <r>
    <x v="2"/>
    <d v="2020-09-22T07:12:19"/>
    <s v="false"/>
    <s v="Blumenau Corrida"/>
    <n v="5.3"/>
    <n v="374"/>
    <d v="1899-12-30T00:34:34"/>
    <s v="--"/>
    <s v="--"/>
    <s v="--"/>
    <n v="121"/>
    <n v="173"/>
    <d v="1899-12-30T06:32:00"/>
    <d v="1899-12-30T00:17:00"/>
    <n v="9"/>
    <n v="12"/>
    <n v="1.24"/>
    <n v="0"/>
    <n v="0"/>
    <n v="0"/>
    <n v="0"/>
    <n v="0"/>
    <s v="--"/>
    <s v="--"/>
    <d v="1899-12-31T10:34:00"/>
    <d v="1899-12-30T00:00:00"/>
    <n v="0"/>
    <d v="1899-12-30T00:00:00"/>
    <s v="Não"/>
    <s v="00:03.91"/>
    <n v="22"/>
    <n v="0"/>
    <d v="1899-12-30T00:26:42"/>
    <d v="1899-12-30T00:34:36"/>
    <n v="12"/>
    <n v="23"/>
  </r>
  <r>
    <x v="2"/>
    <d v="2020-09-22T07:05:21"/>
    <s v="false"/>
    <s v="Blumenau Corrida"/>
    <n v="1.06"/>
    <n v="76"/>
    <d v="1899-12-30T00:06:37"/>
    <s v="--"/>
    <s v="--"/>
    <s v="--"/>
    <n v="155"/>
    <n v="162"/>
    <d v="1899-12-30T06:16:00"/>
    <d v="1899-12-30T05:42:00"/>
    <s v="--"/>
    <n v="8"/>
    <n v="1.03"/>
    <n v="0"/>
    <n v="0"/>
    <n v="0"/>
    <n v="0"/>
    <n v="0"/>
    <s v="--"/>
    <s v="--"/>
    <d v="1899-12-30T00:06:37"/>
    <d v="1899-12-30T00:00:00"/>
    <n v="0"/>
    <d v="1899-12-30T00:00:00"/>
    <s v="Não"/>
    <s v="00:09.83"/>
    <n v="3"/>
    <n v="0"/>
    <d v="1899-12-30T00:06:37"/>
    <d v="1899-12-30T00:06:38"/>
    <n v="18"/>
    <n v="29"/>
  </r>
  <r>
    <x v="2"/>
    <d v="2020-09-20T08:21:23"/>
    <s v="false"/>
    <s v="Blumenau Corrida"/>
    <n v="8.01"/>
    <n v="586"/>
    <d v="1899-12-30T00:46:36"/>
    <s v="--"/>
    <s v="--"/>
    <s v="--"/>
    <n v="160"/>
    <n v="169"/>
    <d v="1899-12-30T05:49:00"/>
    <d v="1899-12-30T03:30:00"/>
    <n v="48"/>
    <n v="48"/>
    <n v="1.07"/>
    <n v="0"/>
    <n v="0"/>
    <n v="0"/>
    <n v="0"/>
    <n v="0"/>
    <s v="--"/>
    <s v="--"/>
    <d v="1899-12-31T22:36:00"/>
    <d v="1899-12-30T00:00:00"/>
    <n v="0"/>
    <d v="1899-12-30T00:00:00"/>
    <s v="Não"/>
    <s v="00:02.36"/>
    <n v="9"/>
    <n v="0"/>
    <d v="1899-12-30T00:46:34"/>
    <d v="1899-12-30T00:46:36"/>
    <n v="12"/>
    <n v="56"/>
  </r>
  <r>
    <x v="2"/>
    <d v="2020-09-17T07:09:10"/>
    <s v="false"/>
    <s v="Corrida"/>
    <n v="6.53"/>
    <n v="462"/>
    <d v="1899-12-30T00:40:57"/>
    <s v="--"/>
    <s v="--"/>
    <s v="--"/>
    <n v="142"/>
    <n v="168"/>
    <d v="1899-12-30T06:16:00"/>
    <d v="1899-12-30T04:56:00"/>
    <s v="--"/>
    <s v="--"/>
    <n v="1.1200000000000001"/>
    <n v="0"/>
    <n v="0"/>
    <n v="0"/>
    <n v="0"/>
    <n v="0"/>
    <s v="--"/>
    <s v="--"/>
    <d v="1899-12-31T16:57:00"/>
    <d v="1899-12-30T00:00:00"/>
    <n v="0"/>
    <d v="1899-12-30T00:00:00"/>
    <s v="Não"/>
    <s v="00:01.79"/>
    <n v="18"/>
    <n v="0"/>
    <d v="1899-12-30T00:39:43"/>
    <d v="1899-12-30T00:41:00"/>
    <s v="--"/>
    <s v="--"/>
  </r>
  <r>
    <x v="2"/>
    <d v="2020-09-15T07:05:19"/>
    <s v="false"/>
    <s v="Blumenau Corrida"/>
    <n v="5.0999999999999996"/>
    <n v="372"/>
    <d v="1899-12-30T00:30:03"/>
    <s v="--"/>
    <s v="--"/>
    <s v="--"/>
    <n v="157"/>
    <n v="164"/>
    <d v="1899-12-30T05:54:00"/>
    <d v="1899-12-30T05:32:00"/>
    <n v="18"/>
    <n v="21"/>
    <n v="1.08"/>
    <n v="0"/>
    <n v="0"/>
    <n v="0"/>
    <n v="0"/>
    <n v="0"/>
    <s v="--"/>
    <s v="--"/>
    <d v="1899-12-31T06:03:00"/>
    <d v="1899-12-30T00:00:00"/>
    <n v="0"/>
    <d v="1899-12-30T00:00:00"/>
    <s v="Não"/>
    <s v="00:33.33"/>
    <n v="6"/>
    <n v="0"/>
    <d v="1899-12-30T00:30:02"/>
    <d v="1899-12-30T00:30:03"/>
    <n v="12"/>
    <n v="33"/>
  </r>
  <r>
    <x v="2"/>
    <d v="2020-09-10T07:08:57"/>
    <s v="false"/>
    <s v="Blumenau Corrida"/>
    <n v="7.01"/>
    <n v="504"/>
    <d v="1899-12-30T00:41:19"/>
    <s v="--"/>
    <s v="--"/>
    <s v="--"/>
    <n v="158"/>
    <n v="169"/>
    <d v="1899-12-30T05:54:00"/>
    <d v="1899-12-30T05:01:00"/>
    <n v="29"/>
    <n v="34"/>
    <n v="1.07"/>
    <n v="0"/>
    <n v="0"/>
    <n v="0"/>
    <n v="0"/>
    <n v="0"/>
    <s v="--"/>
    <s v="--"/>
    <d v="1899-12-31T17:19:00"/>
    <d v="1899-12-30T00:00:00"/>
    <n v="0"/>
    <d v="1899-12-30T00:00:00"/>
    <s v="Não"/>
    <s v="00:02.74"/>
    <n v="8"/>
    <n v="0"/>
    <d v="1899-12-30T00:41:17"/>
    <d v="1899-12-30T00:41:19"/>
    <n v="12"/>
    <n v="37"/>
  </r>
  <r>
    <x v="2"/>
    <d v="2020-09-08T07:02:57"/>
    <s v="false"/>
    <s v="8 x 400m com intervalo 2min caminhando"/>
    <n v="7.61"/>
    <n v="528"/>
    <d v="1899-12-30T00:53:38"/>
    <s v="--"/>
    <s v="--"/>
    <s v="--"/>
    <n v="135"/>
    <n v="236"/>
    <d v="1899-12-30T07:03:00"/>
    <d v="1899-12-30T04:38:00"/>
    <s v="--"/>
    <s v="--"/>
    <n v="1.04"/>
    <n v="0"/>
    <n v="0"/>
    <n v="0"/>
    <n v="0"/>
    <n v="0"/>
    <s v="--"/>
    <s v="--"/>
    <d v="1900-01-01T05:38:00"/>
    <d v="1899-12-30T00:00:00"/>
    <n v="0"/>
    <d v="1899-12-30T00:00:00"/>
    <s v="Não"/>
    <s v="00:02.94"/>
    <n v="19"/>
    <n v="0"/>
    <d v="1899-12-30T00:52:43"/>
    <d v="1899-12-30T00:53:55"/>
    <s v="--"/>
    <s v="--"/>
  </r>
  <r>
    <x v="2"/>
    <d v="2020-09-06T08:36:41"/>
    <s v="false"/>
    <s v="Blumenau Corrida"/>
    <n v="7.01"/>
    <n v="517"/>
    <d v="1899-12-30T00:40:46"/>
    <s v="--"/>
    <s v="--"/>
    <s v="--"/>
    <n v="159"/>
    <n v="170"/>
    <d v="1899-12-30T05:49:00"/>
    <d v="1899-12-30T01:10:00"/>
    <n v="68"/>
    <n v="71"/>
    <n v="1.08"/>
    <n v="0"/>
    <n v="0"/>
    <n v="0"/>
    <n v="0"/>
    <n v="0"/>
    <s v="--"/>
    <s v="--"/>
    <d v="1899-12-31T16:46:00"/>
    <d v="1899-12-30T00:00:00"/>
    <n v="0"/>
    <d v="1899-12-30T00:00:00"/>
    <s v="Não"/>
    <s v="00:03.94"/>
    <n v="8"/>
    <n v="0"/>
    <d v="1899-12-30T00:40:39"/>
    <d v="1899-12-30T00:40:46"/>
    <n v="-3"/>
    <n v="59"/>
  </r>
  <r>
    <x v="2"/>
    <d v="2020-09-03T07:09:45"/>
    <s v="false"/>
    <s v="Blumenau - Progressivo 3 etapas"/>
    <n v="6.01"/>
    <n v="435"/>
    <d v="1899-12-30T00:34:16"/>
    <s v="--"/>
    <s v="--"/>
    <s v="--"/>
    <n v="157"/>
    <n v="169"/>
    <d v="1899-12-30T05:42:00"/>
    <d v="1899-12-30T03:25:00"/>
    <n v="8"/>
    <n v="14"/>
    <n v="1.1100000000000001"/>
    <n v="0"/>
    <n v="0"/>
    <n v="0"/>
    <n v="0"/>
    <n v="0"/>
    <s v="--"/>
    <s v="--"/>
    <d v="1899-12-31T10:16:00"/>
    <d v="1899-12-30T00:00:00"/>
    <n v="0"/>
    <d v="1899-12-30T00:00:00"/>
    <s v="Não"/>
    <s v="00:03.43"/>
    <n v="7"/>
    <n v="0"/>
    <d v="1899-12-30T00:34:15"/>
    <d v="1899-12-30T00:34:16"/>
    <n v="12"/>
    <n v="29"/>
  </r>
  <r>
    <x v="2"/>
    <d v="2020-09-01T07:12:23"/>
    <s v="false"/>
    <s v="4 x 1km com intervalo 3min caminhando"/>
    <n v="5.87"/>
    <n v="406"/>
    <d v="1899-12-30T00:41:47"/>
    <s v="--"/>
    <s v="--"/>
    <s v="--"/>
    <n v="132"/>
    <n v="160"/>
    <d v="1899-12-30T07:07:00"/>
    <d v="1899-12-30T05:07:00"/>
    <s v="--"/>
    <s v="--"/>
    <n v="1.04"/>
    <n v="0"/>
    <n v="0"/>
    <n v="0"/>
    <n v="0"/>
    <n v="0"/>
    <s v="--"/>
    <s v="--"/>
    <d v="1899-12-31T17:47:00"/>
    <d v="1899-12-30T00:00:00"/>
    <n v="0"/>
    <d v="1899-12-30T00:00:00"/>
    <s v="Não"/>
    <s v="00:02.53"/>
    <n v="10"/>
    <n v="0"/>
    <d v="1899-12-30T00:41:07"/>
    <d v="1899-12-30T00:41:47"/>
    <s v="--"/>
    <s v="--"/>
  </r>
  <r>
    <x v="2"/>
    <d v="2020-08-29T07:59:57"/>
    <s v="false"/>
    <s v="Blumenau Corrida"/>
    <n v="7"/>
    <n v="511"/>
    <d v="1899-12-30T00:43:00"/>
    <s v="--"/>
    <s v="--"/>
    <s v="--"/>
    <n v="155"/>
    <n v="169"/>
    <d v="1899-12-30T06:08:00"/>
    <d v="1899-12-30T04:27:00"/>
    <n v="98"/>
    <n v="82"/>
    <n v="1.05"/>
    <n v="0"/>
    <n v="0"/>
    <n v="0"/>
    <n v="0"/>
    <n v="0"/>
    <s v="--"/>
    <s v="--"/>
    <d v="1899-12-31T19:00:00"/>
    <d v="1899-12-30T00:00:00"/>
    <n v="0"/>
    <d v="1899-12-30T00:00:00"/>
    <s v="Não"/>
    <s v="00:01.62"/>
    <n v="8"/>
    <n v="0"/>
    <d v="1899-12-30T00:42:59"/>
    <d v="1899-12-30T00:43:00"/>
    <n v="22"/>
    <n v="60"/>
  </r>
  <r>
    <x v="2"/>
    <d v="2020-08-27T07:10:51"/>
    <s v="false"/>
    <s v="Blumenau - 6 x 500m com intervalo 2min parado"/>
    <n v="5.24"/>
    <n v="375"/>
    <d v="1899-12-30T00:39:19"/>
    <s v="--"/>
    <s v="--"/>
    <s v="--"/>
    <n v="115"/>
    <n v="176"/>
    <d v="1899-12-30T07:30:00"/>
    <d v="1899-12-30T00:52:00"/>
    <n v="9"/>
    <n v="11"/>
    <n v="1.1200000000000001"/>
    <n v="0"/>
    <n v="0"/>
    <n v="0"/>
    <n v="0"/>
    <n v="0"/>
    <s v="--"/>
    <s v="--"/>
    <d v="1899-12-31T15:19:00"/>
    <d v="1899-12-30T00:00:00"/>
    <n v="0"/>
    <d v="1899-12-30T00:00:00"/>
    <s v="Não"/>
    <s v="00:03.92"/>
    <n v="15"/>
    <n v="0"/>
    <d v="1899-12-30T00:28:37"/>
    <d v="1899-12-30T00:39:19"/>
    <n v="12"/>
    <n v="22"/>
  </r>
  <r>
    <x v="2"/>
    <d v="2020-08-25T07:15:46"/>
    <s v="false"/>
    <s v="Blumenau Corrida"/>
    <n v="6.01"/>
    <n v="439"/>
    <d v="1899-12-30T00:35:24"/>
    <s v="--"/>
    <s v="--"/>
    <s v="--"/>
    <n v="160"/>
    <n v="167"/>
    <d v="1899-12-30T05:53:00"/>
    <d v="1899-12-30T03:49:00"/>
    <n v="46"/>
    <n v="49"/>
    <n v="1.06"/>
    <n v="0"/>
    <n v="0"/>
    <n v="0"/>
    <n v="0"/>
    <n v="0"/>
    <s v="--"/>
    <s v="--"/>
    <d v="1899-12-31T11:24:00"/>
    <d v="1899-12-30T00:00:00"/>
    <n v="0"/>
    <d v="1899-12-30T00:00:00"/>
    <s v="Não"/>
    <s v="00:01.95"/>
    <n v="7"/>
    <n v="0"/>
    <d v="1899-12-30T00:35:22"/>
    <d v="1899-12-30T00:35:24"/>
    <n v="21"/>
    <n v="54"/>
  </r>
  <r>
    <x v="2"/>
    <d v="2020-08-22T09:33:13"/>
    <s v="false"/>
    <s v="Blumenau - Run Workout"/>
    <n v="6.04"/>
    <n v="446"/>
    <d v="1899-12-30T00:39:17"/>
    <n v="177"/>
    <n v="191"/>
    <n v="4.9000000000000004"/>
    <n v="153"/>
    <n v="168"/>
    <d v="1899-12-30T06:30:00"/>
    <d v="1899-12-30T04:45:00"/>
    <n v="96"/>
    <n v="73"/>
    <n v="1"/>
    <n v="0"/>
    <n v="0"/>
    <n v="0"/>
    <n v="0"/>
    <n v="0"/>
    <s v="--"/>
    <s v="--"/>
    <d v="1899-12-31T15:17:00"/>
    <d v="1899-12-30T00:00:00"/>
    <n v="0"/>
    <d v="1899-12-30T00:00:00"/>
    <s v="Não"/>
    <s v="00:21.46"/>
    <n v="10"/>
    <n v="0"/>
    <d v="1899-12-30T00:38:43"/>
    <d v="1899-12-30T00:39:17"/>
    <n v="21"/>
    <n v="59"/>
  </r>
  <r>
    <x v="2"/>
    <d v="2020-08-20T07:08:44"/>
    <s v="false"/>
    <s v="Corrida"/>
    <n v="5.01"/>
    <n v="333"/>
    <d v="1899-12-30T00:30:45"/>
    <n v="171"/>
    <n v="182"/>
    <n v="4"/>
    <n v="152"/>
    <n v="158"/>
    <d v="1899-12-30T06:08:00"/>
    <d v="1899-12-30T05:39:00"/>
    <s v="--"/>
    <s v="--"/>
    <n v="1.08"/>
    <n v="0"/>
    <n v="0"/>
    <n v="0"/>
    <n v="0"/>
    <n v="0"/>
    <s v="--"/>
    <s v="--"/>
    <d v="1899-12-31T06:45:00"/>
    <d v="1899-12-30T00:00:00"/>
    <n v="0"/>
    <d v="1899-12-30T00:00:00"/>
    <s v="Não"/>
    <s v="00:04.51"/>
    <n v="6"/>
    <n v="0"/>
    <d v="1899-12-30T00:30:43"/>
    <d v="1899-12-30T00:30:45"/>
    <s v="--"/>
    <s v="--"/>
  </r>
  <r>
    <x v="2"/>
    <d v="2020-08-18T07:07:53"/>
    <s v="false"/>
    <s v="5 x 500m com intervalo 2min caminhando"/>
    <n v="4.51"/>
    <n v="320"/>
    <d v="1899-12-30T00:32:50"/>
    <n v="158"/>
    <n v="179"/>
    <n v="3.4"/>
    <n v="132"/>
    <n v="158"/>
    <d v="1899-12-30T07:17:00"/>
    <d v="1899-12-30T05:14:00"/>
    <s v="--"/>
    <s v="--"/>
    <n v="1.03"/>
    <n v="0"/>
    <n v="0"/>
    <n v="0"/>
    <n v="0"/>
    <n v="0"/>
    <s v="--"/>
    <s v="--"/>
    <d v="1899-12-31T08:50:00"/>
    <d v="1899-12-30T00:00:00"/>
    <n v="0"/>
    <d v="1899-12-30T00:00:00"/>
    <s v="Não"/>
    <s v="00:04.47"/>
    <n v="12"/>
    <n v="0"/>
    <d v="1899-12-30T00:30:18"/>
    <d v="1899-12-30T00:32:50"/>
    <n v="53"/>
    <n v="53"/>
  </r>
  <r>
    <x v="2"/>
    <d v="2020-08-15T09:13:51"/>
    <s v="false"/>
    <s v="Corrida"/>
    <n v="5.01"/>
    <n v="335"/>
    <d v="1899-12-30T00:29:07"/>
    <n v="177"/>
    <n v="190"/>
    <n v="4.5"/>
    <n v="153"/>
    <n v="159"/>
    <d v="1899-12-30T05:49:00"/>
    <d v="1899-12-30T05:24:00"/>
    <s v="--"/>
    <s v="--"/>
    <n v="1.1200000000000001"/>
    <n v="0"/>
    <n v="0"/>
    <n v="0"/>
    <n v="0"/>
    <n v="0"/>
    <s v="--"/>
    <s v="--"/>
    <d v="1899-12-31T05:07:00"/>
    <d v="1899-12-30T00:00:00"/>
    <n v="0"/>
    <d v="1899-12-30T00:00:00"/>
    <s v="Não"/>
    <s v="00:04.11"/>
    <n v="6"/>
    <n v="0"/>
    <d v="1899-12-30T00:29:06"/>
    <d v="1899-12-30T00:29:07"/>
    <s v="--"/>
    <s v="--"/>
  </r>
  <r>
    <x v="2"/>
    <d v="2020-08-13T17:37:19"/>
    <s v="false"/>
    <s v="5 x 400m com intervalo 2min caminhando"/>
    <n v="3.89"/>
    <n v="277"/>
    <d v="1899-12-30T00:27:25"/>
    <n v="162"/>
    <n v="187"/>
    <n v="3.5"/>
    <n v="132"/>
    <n v="160"/>
    <d v="1899-12-30T07:02:00"/>
    <d v="1899-12-30T04:31:00"/>
    <s v="--"/>
    <s v="--"/>
    <n v="1.06"/>
    <n v="0"/>
    <n v="0"/>
    <n v="0"/>
    <n v="0"/>
    <n v="0"/>
    <s v="--"/>
    <s v="--"/>
    <d v="1899-12-31T03:25:00"/>
    <d v="1899-12-30T00:00:00"/>
    <n v="0"/>
    <d v="1899-12-30T00:00:00"/>
    <s v="Não"/>
    <s v="00:02.34"/>
    <n v="12"/>
    <n v="0"/>
    <d v="1899-12-30T00:24:54"/>
    <d v="1899-12-30T00:27:25"/>
    <s v="--"/>
    <s v="--"/>
  </r>
  <r>
    <x v="2"/>
    <d v="2020-08-11T07:09:15"/>
    <s v="false"/>
    <s v="Blumenau Corrida"/>
    <n v="4.01"/>
    <n v="272"/>
    <d v="1899-12-30T00:24:06"/>
    <n v="176"/>
    <n v="190"/>
    <n v="4.2"/>
    <n v="157"/>
    <n v="164"/>
    <d v="1899-12-30T06:01:00"/>
    <d v="1899-12-30T03:50:00"/>
    <n v="7"/>
    <n v="14"/>
    <n v="1.06"/>
    <n v="0"/>
    <n v="0"/>
    <n v="0"/>
    <n v="0"/>
    <n v="0"/>
    <s v="--"/>
    <s v="--"/>
    <d v="1899-12-31T00:06:00"/>
    <d v="1899-12-30T00:00:00"/>
    <n v="0"/>
    <d v="1899-12-30T00:00:00"/>
    <s v="Não"/>
    <s v="00:03.34"/>
    <n v="5"/>
    <n v="0"/>
    <d v="1899-12-30T00:24:06"/>
    <d v="1899-12-30T00:24:06"/>
    <n v="12"/>
    <n v="29"/>
  </r>
  <r>
    <x v="2"/>
    <d v="2020-08-08T07:17:47"/>
    <s v="false"/>
    <s v="Blumenau - Run Workout"/>
    <n v="3.01"/>
    <n v="205"/>
    <d v="1899-12-30T00:18:48"/>
    <n v="173"/>
    <n v="188"/>
    <n v="3.6"/>
    <n v="157"/>
    <n v="165"/>
    <d v="1899-12-30T06:15:00"/>
    <d v="1899-12-30T03:57:00"/>
    <n v="13"/>
    <n v="19"/>
    <n v="1.02"/>
    <n v="0"/>
    <n v="0"/>
    <n v="0"/>
    <n v="0"/>
    <n v="0"/>
    <s v="--"/>
    <s v="--"/>
    <d v="1899-12-30T18:48:00"/>
    <d v="1899-12-30T00:00:00"/>
    <n v="0"/>
    <d v="1899-12-30T00:00:00"/>
    <s v="Não"/>
    <s v="00:05.08"/>
    <n v="11"/>
    <n v="0"/>
    <d v="1899-12-30T00:18:47"/>
    <d v="1899-12-30T00:18:48"/>
    <n v="12"/>
    <n v="30"/>
  </r>
  <r>
    <x v="2"/>
    <d v="2020-08-06T07:15:12"/>
    <s v="false"/>
    <s v="Blumenau Corrida"/>
    <n v="3.51"/>
    <n v="243"/>
    <d v="1899-12-30T00:20:57"/>
    <n v="178"/>
    <n v="191"/>
    <n v="4"/>
    <n v="157"/>
    <n v="164"/>
    <d v="1899-12-30T05:59:00"/>
    <d v="1899-12-30T04:34:00"/>
    <n v="10"/>
    <n v="16"/>
    <n v="1.07"/>
    <n v="0"/>
    <n v="0"/>
    <n v="0"/>
    <n v="0"/>
    <n v="0"/>
    <s v="--"/>
    <s v="--"/>
    <d v="1899-12-30T20:57:00"/>
    <d v="1899-12-30T00:00:00"/>
    <n v="0"/>
    <d v="1899-12-30T00:00:00"/>
    <s v="Não"/>
    <s v="03:00.08"/>
    <n v="4"/>
    <n v="0"/>
    <d v="1899-12-30T00:20:56"/>
    <d v="1899-12-30T00:20:57"/>
    <n v="12"/>
    <n v="33"/>
  </r>
  <r>
    <x v="2"/>
    <d v="2020-08-04T07:18:02"/>
    <s v="false"/>
    <s v="Blumenau - Run Workout"/>
    <n v="3.9"/>
    <n v="296"/>
    <d v="1899-12-30T00:28:25"/>
    <n v="165"/>
    <n v="185"/>
    <n v="3.7"/>
    <n v="141"/>
    <n v="164"/>
    <d v="1899-12-30T07:17:00"/>
    <d v="1899-12-30T04:10:00"/>
    <n v="26"/>
    <n v="21"/>
    <n v="0.96"/>
    <n v="0"/>
    <n v="0"/>
    <n v="0"/>
    <n v="0"/>
    <n v="0"/>
    <s v="--"/>
    <s v="--"/>
    <d v="1899-12-31T04:25:00"/>
    <d v="1899-12-30T00:00:00"/>
    <n v="0"/>
    <d v="1899-12-30T00:00:00"/>
    <s v="Não"/>
    <s v="00:02.91"/>
    <n v="7"/>
    <n v="0"/>
    <d v="1899-12-30T00:28:14"/>
    <d v="1899-12-30T00:28:25"/>
    <n v="12"/>
    <n v="31"/>
  </r>
  <r>
    <x v="2"/>
    <d v="2020-08-02T08:46:30"/>
    <s v="false"/>
    <s v="Blumenau Corrida"/>
    <n v="3.01"/>
    <n v="211"/>
    <d v="1899-12-30T00:18:09"/>
    <n v="177"/>
    <n v="191"/>
    <n v="3.8"/>
    <n v="157"/>
    <n v="164"/>
    <d v="1899-12-30T06:02:00"/>
    <d v="1899-12-30T05:42:00"/>
    <n v="8"/>
    <n v="14"/>
    <n v="1.06"/>
    <n v="0"/>
    <n v="0"/>
    <n v="0"/>
    <n v="0"/>
    <n v="0"/>
    <s v="--"/>
    <s v="--"/>
    <d v="1899-12-30T18:09:00"/>
    <d v="1899-12-30T00:00:00"/>
    <n v="0"/>
    <d v="1899-12-30T00:00:00"/>
    <s v="Não"/>
    <s v="00:03.33"/>
    <n v="4"/>
    <n v="0"/>
    <d v="1899-12-30T00:18:08"/>
    <d v="1899-12-30T00:18:09"/>
    <n v="12"/>
    <n v="29"/>
  </r>
  <r>
    <x v="2"/>
    <d v="2020-07-28T07:17:22"/>
    <s v="false"/>
    <s v="Blumenau Corrida"/>
    <n v="3.01"/>
    <n v="207"/>
    <d v="1899-12-30T00:18:14"/>
    <n v="173"/>
    <n v="189"/>
    <n v="3.6"/>
    <n v="156"/>
    <n v="162"/>
    <d v="1899-12-30T06:03:00"/>
    <d v="1899-12-30T05:41:00"/>
    <n v="5"/>
    <n v="16"/>
    <n v="1.06"/>
    <n v="0"/>
    <n v="0"/>
    <n v="0"/>
    <n v="0"/>
    <n v="0"/>
    <s v="--"/>
    <s v="--"/>
    <d v="1899-12-30T18:14:00"/>
    <d v="1899-12-30T00:00:00"/>
    <n v="0"/>
    <d v="1899-12-30T00:00:00"/>
    <s v="Não"/>
    <s v="00:03.54"/>
    <n v="4"/>
    <n v="0"/>
    <d v="1899-12-30T00:18:13"/>
    <d v="1899-12-30T00:18:14"/>
    <n v="12"/>
    <n v="29"/>
  </r>
  <r>
    <x v="2"/>
    <d v="2020-07-26T08:56:06"/>
    <s v="false"/>
    <s v="Blumenau Corrida"/>
    <n v="3.2"/>
    <n v="234"/>
    <d v="1899-12-30T00:24:36"/>
    <n v="153"/>
    <n v="176"/>
    <n v="3.1"/>
    <n v="128"/>
    <n v="160"/>
    <d v="1899-12-30T07:41:00"/>
    <d v="1899-12-30T02:26:00"/>
    <n v="63"/>
    <n v="60"/>
    <n v="1.01"/>
    <n v="0"/>
    <n v="0"/>
    <n v="0"/>
    <n v="0"/>
    <n v="0"/>
    <s v="--"/>
    <s v="--"/>
    <d v="1899-12-31T00:36:00"/>
    <d v="1899-12-30T00:00:00"/>
    <n v="0"/>
    <d v="1899-12-30T00:00:00"/>
    <s v="Não"/>
    <s v="02:59.17"/>
    <n v="8"/>
    <n v="0"/>
    <d v="1899-12-30T00:24:34"/>
    <d v="1899-12-30T00:24:36"/>
    <n v="11"/>
    <n v="37"/>
  </r>
  <r>
    <x v="2"/>
    <d v="2020-07-23T18:24:30"/>
    <s v="false"/>
    <s v="Blumenau Corrida"/>
    <n v="2.5099999999999998"/>
    <n v="171"/>
    <d v="1899-12-30T00:16:08"/>
    <n v="161"/>
    <n v="177"/>
    <n v="3.1"/>
    <n v="152"/>
    <n v="158"/>
    <d v="1899-12-30T06:26:00"/>
    <d v="1899-12-30T04:11:00"/>
    <n v="81"/>
    <n v="88"/>
    <n v="1.01"/>
    <n v="0"/>
    <n v="0"/>
    <n v="0"/>
    <n v="0"/>
    <n v="0"/>
    <s v="--"/>
    <s v="--"/>
    <d v="1899-12-30T16:08:00"/>
    <d v="1899-12-30T00:00:00"/>
    <n v="0"/>
    <d v="1899-12-30T00:00:00"/>
    <s v="Não"/>
    <s v="03:14.96"/>
    <n v="3"/>
    <n v="0"/>
    <d v="1899-12-30T00:16:07"/>
    <d v="1899-12-30T00:16:08"/>
    <n v="19"/>
    <n v="56"/>
  </r>
  <r>
    <x v="2"/>
    <d v="2020-07-21T06:59:19"/>
    <s v="false"/>
    <s v="Blumenau - Run Workout"/>
    <n v="3.91"/>
    <n v="282"/>
    <d v="1899-12-30T00:27:31"/>
    <n v="162"/>
    <n v="182"/>
    <n v="3.6"/>
    <n v="142"/>
    <n v="160"/>
    <d v="1899-12-30T07:03:00"/>
    <d v="1899-12-30T03:50:00"/>
    <n v="13"/>
    <n v="19"/>
    <n v="0.99"/>
    <n v="0"/>
    <n v="0"/>
    <n v="0"/>
    <n v="0"/>
    <n v="0"/>
    <s v="--"/>
    <s v="--"/>
    <d v="1899-12-31T03:31:00"/>
    <d v="1899-12-30T00:00:00"/>
    <n v="0"/>
    <d v="1899-12-30T00:00:00"/>
    <s v="Não"/>
    <s v="00:03.15"/>
    <n v="7"/>
    <n v="0"/>
    <d v="1899-12-30T00:27:31"/>
    <d v="1899-12-30T00:27:31"/>
    <n v="12"/>
    <n v="28"/>
  </r>
  <r>
    <x v="2"/>
    <d v="2020-07-18T08:25:23"/>
    <s v="false"/>
    <s v="Blumenau Corrida"/>
    <n v="2.0099999999999998"/>
    <n v="140"/>
    <d v="1899-12-30T00:11:55"/>
    <n v="174"/>
    <n v="191"/>
    <n v="3.2"/>
    <n v="155"/>
    <n v="162"/>
    <d v="1899-12-30T05:56:00"/>
    <d v="1899-12-30T02:00:00"/>
    <n v="4"/>
    <n v="12"/>
    <n v="1.08"/>
    <n v="0"/>
    <n v="0"/>
    <n v="0"/>
    <n v="0"/>
    <n v="0"/>
    <s v="--"/>
    <s v="--"/>
    <d v="1899-12-30T11:55:00"/>
    <d v="1899-12-30T00:00:00"/>
    <n v="0"/>
    <d v="1899-12-30T00:00:00"/>
    <s v="Não"/>
    <s v="00:02.78"/>
    <n v="3"/>
    <n v="0"/>
    <d v="1899-12-30T00:11:55"/>
    <d v="1899-12-30T00:11:55"/>
    <n v="17"/>
    <n v="31"/>
  </r>
  <r>
    <x v="2"/>
    <d v="2020-07-16T18:20:29"/>
    <s v="false"/>
    <s v="Run Workout"/>
    <n v="3.81"/>
    <n v="290"/>
    <d v="1899-12-30T00:34:44"/>
    <n v="139"/>
    <n v="172"/>
    <n v="3.2"/>
    <n v="116"/>
    <n v="160"/>
    <d v="1899-12-30T09:08:00"/>
    <d v="1899-12-30T04:57:00"/>
    <s v="--"/>
    <s v="--"/>
    <n v="0.92"/>
    <n v="0"/>
    <n v="0"/>
    <n v="0"/>
    <n v="0"/>
    <n v="0"/>
    <s v="--"/>
    <s v="--"/>
    <d v="1899-12-31T10:44:00"/>
    <d v="1899-12-30T00:00:00"/>
    <n v="0"/>
    <d v="1899-12-30T00:00:00"/>
    <s v="Não"/>
    <s v="00:03.23"/>
    <n v="10"/>
    <n v="0"/>
    <d v="1899-12-30T00:32:12"/>
    <d v="1899-12-30T00:34:44"/>
    <s v="--"/>
    <s v="--"/>
  </r>
  <r>
    <x v="2"/>
    <d v="2020-07-14T06:57:06"/>
    <s v="false"/>
    <s v="Corrida"/>
    <n v="2.58"/>
    <n v="200"/>
    <d v="1899-12-30T00:30:01"/>
    <n v="122"/>
    <n v="135"/>
    <n v="1.9"/>
    <n v="107"/>
    <n v="135"/>
    <d v="1899-12-30T11:39:00"/>
    <d v="1899-12-30T08:53:00"/>
    <s v="--"/>
    <s v="--"/>
    <n v="0.8"/>
    <n v="0"/>
    <n v="0"/>
    <n v="0"/>
    <n v="0"/>
    <n v="0"/>
    <s v="--"/>
    <s v="--"/>
    <d v="1899-12-31T06:01:00"/>
    <d v="1899-12-30T00:00:00"/>
    <n v="0"/>
    <d v="1899-12-30T00:00:00"/>
    <s v="Não"/>
    <s v="07:00.73"/>
    <n v="3"/>
    <n v="0"/>
    <d v="1899-12-30T00:29:27"/>
    <d v="1899-12-30T00:30:01"/>
    <s v="--"/>
    <s v="--"/>
  </r>
  <r>
    <x v="2"/>
    <d v="2020-07-11T08:17:04"/>
    <s v="false"/>
    <s v="Blumenau Corrida"/>
    <n v="2.0099999999999998"/>
    <n v="141"/>
    <d v="1899-12-30T00:11:39"/>
    <n v="176"/>
    <n v="190"/>
    <n v="3.3"/>
    <n v="157"/>
    <n v="162"/>
    <d v="1899-12-30T05:48:00"/>
    <d v="1899-12-30T04:50:00"/>
    <s v="--"/>
    <n v="6"/>
    <n v="1.1000000000000001"/>
    <n v="0"/>
    <n v="0"/>
    <n v="0"/>
    <n v="0"/>
    <n v="0"/>
    <s v="--"/>
    <s v="--"/>
    <d v="1899-12-30T11:39:00"/>
    <d v="1899-12-30T00:00:00"/>
    <n v="0"/>
    <d v="1899-12-30T00:00:00"/>
    <s v="Não"/>
    <s v="00:04.06"/>
    <n v="3"/>
    <n v="0"/>
    <d v="1899-12-30T00:11:39"/>
    <d v="1899-12-30T00:11:39"/>
    <n v="16"/>
    <n v="32"/>
  </r>
  <r>
    <x v="2"/>
    <d v="2020-07-09T07:01:05"/>
    <s v="false"/>
    <s v="Blumenau - Run Workout"/>
    <n v="3.84"/>
    <n v="325"/>
    <d v="1899-12-30T00:27:52"/>
    <n v="169"/>
    <n v="188"/>
    <n v="4.2"/>
    <n v="141"/>
    <n v="163"/>
    <d v="1899-12-30T07:16:00"/>
    <d v="1899-12-30T05:47:00"/>
    <n v="15"/>
    <n v="23"/>
    <n v="0.96"/>
    <n v="0"/>
    <n v="0"/>
    <n v="0"/>
    <n v="0"/>
    <n v="0"/>
    <s v="--"/>
    <s v="--"/>
    <d v="1899-12-31T03:52:00"/>
    <d v="1899-12-30T00:00:00"/>
    <n v="0"/>
    <d v="1899-12-30T00:00:00"/>
    <s v="Não"/>
    <s v="00:04.85"/>
    <n v="7"/>
    <n v="0"/>
    <d v="1899-12-30T00:27:50"/>
    <d v="1899-12-30T00:27:52"/>
    <n v="12"/>
    <n v="31"/>
  </r>
  <r>
    <x v="2"/>
    <d v="2020-07-07T07:12:25"/>
    <s v="false"/>
    <s v="Corrida"/>
    <n v="2.0099999999999998"/>
    <n v="145"/>
    <d v="1899-12-30T00:12:37"/>
    <n v="166"/>
    <n v="180"/>
    <n v="3.1"/>
    <n v="152"/>
    <n v="158"/>
    <d v="1899-12-30T06:17:00"/>
    <d v="1899-12-30T05:42:00"/>
    <s v="--"/>
    <s v="--"/>
    <n v="1.05"/>
    <n v="0"/>
    <n v="0"/>
    <n v="0"/>
    <n v="0"/>
    <n v="0"/>
    <s v="--"/>
    <s v="--"/>
    <d v="1899-12-30T12:37:00"/>
    <d v="1899-12-30T00:00:00"/>
    <n v="0"/>
    <d v="1899-12-30T00:00:00"/>
    <s v="Não"/>
    <s v="00:02.55"/>
    <n v="3"/>
    <n v="0"/>
    <d v="1899-12-30T00:12:33"/>
    <d v="1899-12-30T00:12:37"/>
    <s v="--"/>
    <s v="--"/>
  </r>
  <r>
    <x v="2"/>
    <d v="2020-06-24T19:11:00"/>
    <s v="false"/>
    <s v="Blumenau Corrida"/>
    <n v="1.95"/>
    <n v="142"/>
    <d v="1899-12-30T00:12:31"/>
    <s v="--"/>
    <s v="--"/>
    <s v="--"/>
    <n v="149"/>
    <n v="160"/>
    <d v="1899-12-30T06:24:00"/>
    <d v="1899-12-30T03:36:00"/>
    <n v="13"/>
    <n v="11"/>
    <n v="1.05"/>
    <n v="0"/>
    <n v="0"/>
    <n v="0"/>
    <n v="0"/>
    <n v="0"/>
    <s v="--"/>
    <s v="--"/>
    <d v="1899-12-30T12:31:00"/>
    <d v="1899-12-30T00:00:00"/>
    <n v="0"/>
    <d v="1899-12-30T00:00:00"/>
    <s v="Não"/>
    <s v="00:01.60"/>
    <n v="4"/>
    <n v="0"/>
    <d v="1899-12-30T00:12:12"/>
    <d v="1899-12-30T00:23:59"/>
    <n v="17"/>
    <n v="33"/>
  </r>
  <r>
    <x v="1"/>
    <d v="2020-06-22T06:55:17"/>
    <s v="false"/>
    <s v="Blumenau Ciclismo"/>
    <n v="11.53"/>
    <n v="554"/>
    <d v="1899-12-30T00:44:58"/>
    <n v="167"/>
    <n v="185"/>
    <n v="5"/>
    <s v="--"/>
    <s v="--"/>
    <n v="15.4"/>
    <n v="38.299999999999997"/>
    <n v="106"/>
    <n v="111"/>
    <n v="0"/>
    <n v="0"/>
    <n v="0"/>
    <n v="0"/>
    <n v="0"/>
    <n v="0"/>
    <s v="--"/>
    <s v="--"/>
    <d v="1899-12-31T20:58:00"/>
    <d v="1899-12-30T00:00:00"/>
    <n v="0"/>
    <d v="1899-12-30T00:00:00"/>
    <s v="Não"/>
    <s v="10:01.20"/>
    <n v="3"/>
    <n v="0"/>
    <d v="1899-12-30T00:42:07"/>
    <d v="1899-12-30T00:44:58"/>
    <n v="15"/>
    <n v="58"/>
  </r>
  <r>
    <x v="2"/>
    <d v="2020-06-10T06:58:12"/>
    <s v="false"/>
    <s v="Corrida"/>
    <n v="5.49"/>
    <n v="289"/>
    <d v="1899-12-30T01:00:03"/>
    <n v="115"/>
    <n v="128"/>
    <n v="1.8"/>
    <n v="110"/>
    <n v="138"/>
    <d v="1899-12-30T10:57:00"/>
    <d v="1899-12-30T08:21:00"/>
    <s v="--"/>
    <s v="--"/>
    <n v="0.84"/>
    <n v="0"/>
    <n v="0"/>
    <n v="0"/>
    <n v="0"/>
    <n v="0"/>
    <s v="--"/>
    <s v="--"/>
    <d v="1899-12-30T01:00:03"/>
    <d v="1899-12-30T00:00:00"/>
    <n v="0"/>
    <d v="1899-12-30T00:00:00"/>
    <s v="Não"/>
    <s v="05:30.44"/>
    <n v="6"/>
    <n v="0"/>
    <d v="1899-12-30T00:58:28"/>
    <d v="1899-12-30T01:00:03"/>
    <s v="--"/>
    <s v="--"/>
  </r>
  <r>
    <x v="2"/>
    <d v="2020-06-08T07:11:00"/>
    <s v="false"/>
    <s v="Blumenau Corrida"/>
    <n v="4.7699999999999996"/>
    <n v="256"/>
    <d v="1899-12-30T00:39:38"/>
    <n v="134"/>
    <n v="165"/>
    <n v="2.8"/>
    <n v="116"/>
    <n v="164"/>
    <d v="1899-12-30T08:19:00"/>
    <d v="1899-12-30T05:18:00"/>
    <n v="16"/>
    <n v="19"/>
    <n v="1.04"/>
    <n v="0"/>
    <n v="0"/>
    <n v="0"/>
    <n v="0"/>
    <n v="0"/>
    <s v="--"/>
    <s v="--"/>
    <d v="1899-12-31T15:38:00"/>
    <d v="1899-12-30T00:00:00"/>
    <n v="0"/>
    <d v="1899-12-30T00:00:00"/>
    <s v="Não"/>
    <s v="05:55.26"/>
    <n v="5"/>
    <n v="0"/>
    <d v="1899-12-30T00:39:31"/>
    <d v="1899-12-30T00:39:38"/>
    <n v="12"/>
    <n v="28"/>
  </r>
  <r>
    <x v="2"/>
    <d v="2020-06-03T06:58:10"/>
    <s v="false"/>
    <s v="Blumenau - Run Workout"/>
    <n v="8.8000000000000007"/>
    <n v="630"/>
    <d v="1899-12-30T01:02:59"/>
    <n v="162"/>
    <n v="188"/>
    <n v="5"/>
    <n v="134"/>
    <n v="174"/>
    <d v="1899-12-30T07:09:00"/>
    <d v="1899-12-30T03:27:00"/>
    <n v="14"/>
    <n v="17"/>
    <n v="1.01"/>
    <n v="0"/>
    <n v="0"/>
    <n v="0"/>
    <n v="0"/>
    <n v="0"/>
    <s v="--"/>
    <s v="--"/>
    <d v="1899-12-30T01:02:59"/>
    <d v="1899-12-30T00:00:00"/>
    <n v="0"/>
    <d v="1899-12-30T00:00:00"/>
    <s v="Não"/>
    <s v="01:30.00"/>
    <n v="22"/>
    <n v="0"/>
    <d v="1899-12-30T01:02:44"/>
    <d v="1899-12-30T01:02:59"/>
    <n v="14"/>
    <n v="30"/>
  </r>
  <r>
    <x v="3"/>
    <d v="2020-06-01T17:38:45"/>
    <s v="false"/>
    <s v="Corrida"/>
    <n v="0"/>
    <n v="680"/>
    <d v="1899-12-30T00:47:20"/>
    <n v="171"/>
    <n v="186"/>
    <s v="--"/>
    <s v="--"/>
    <s v="--"/>
    <s v="--"/>
    <s v="--"/>
    <s v="--"/>
    <s v="--"/>
    <n v="0"/>
    <n v="0"/>
    <n v="0"/>
    <n v="0"/>
    <n v="0"/>
    <n v="0"/>
    <s v="--"/>
    <s v="--"/>
    <d v="1899-12-31T23:20:00"/>
    <d v="1899-12-30T00:00:00"/>
    <n v="0"/>
    <d v="1899-12-30T00:00:00"/>
    <s v="Não"/>
    <s v="00:00.00"/>
    <n v="1"/>
    <n v="0"/>
    <d v="1899-12-30T00:00:00"/>
    <d v="1899-12-30T00:47:20"/>
    <s v="--"/>
    <s v="--"/>
  </r>
  <r>
    <x v="2"/>
    <d v="2020-05-29T17:54:44"/>
    <s v="false"/>
    <s v="Corrida"/>
    <n v="0"/>
    <n v="794"/>
    <d v="1899-12-30T01:00:58"/>
    <n v="163"/>
    <n v="181"/>
    <s v="--"/>
    <s v="--"/>
    <s v="--"/>
    <s v="--"/>
    <s v="--"/>
    <s v="--"/>
    <s v="--"/>
    <n v="0"/>
    <n v="0"/>
    <n v="0"/>
    <n v="0"/>
    <n v="0"/>
    <n v="0"/>
    <s v="--"/>
    <s v="--"/>
    <d v="1899-12-30T01:00:58"/>
    <d v="1899-12-30T00:00:00"/>
    <n v="0"/>
    <d v="1899-12-30T00:00:00"/>
    <s v="Não"/>
    <s v="00:00.00"/>
    <n v="1"/>
    <n v="0"/>
    <d v="1899-12-30T00:00:00"/>
    <d v="1899-12-30T01:00:58"/>
    <s v="--"/>
    <s v="--"/>
  </r>
  <r>
    <x v="2"/>
    <d v="2020-05-27T06:56:19"/>
    <s v="false"/>
    <s v="Blumenau Corrida"/>
    <n v="8.58"/>
    <n v="756"/>
    <d v="1899-12-30T00:54:06"/>
    <n v="169"/>
    <n v="181"/>
    <s v="--"/>
    <s v="--"/>
    <s v="--"/>
    <d v="1899-12-30T06:19:00"/>
    <d v="1899-12-30T03:08:00"/>
    <n v="95"/>
    <n v="100"/>
    <n v="0"/>
    <n v="0"/>
    <n v="0"/>
    <n v="0"/>
    <n v="0"/>
    <n v="0"/>
    <s v="--"/>
    <s v="--"/>
    <d v="1900-01-01T06:06:00"/>
    <d v="1899-12-30T00:00:00"/>
    <n v="0"/>
    <d v="1899-12-30T00:00:00"/>
    <s v="Não"/>
    <s v="00:00.00"/>
    <n v="1"/>
    <n v="0"/>
    <d v="1899-12-30T00:52:43"/>
    <d v="1899-12-30T00:56:03"/>
    <n v="12"/>
    <n v="56"/>
  </r>
  <r>
    <x v="2"/>
    <d v="2020-05-25T07:11:42"/>
    <s v="false"/>
    <s v="Blumenau Corrida"/>
    <n v="1.9"/>
    <n v="147"/>
    <d v="1899-12-30T00:19:00"/>
    <n v="128"/>
    <n v="143"/>
    <s v="--"/>
    <s v="--"/>
    <s v="--"/>
    <d v="1899-12-30T10:01:00"/>
    <d v="1899-12-30T08:32:00"/>
    <n v="15"/>
    <n v="5"/>
    <n v="0"/>
    <n v="0"/>
    <n v="0"/>
    <n v="0"/>
    <n v="0"/>
    <n v="0"/>
    <s v="--"/>
    <s v="--"/>
    <d v="1899-12-30T19:00:00"/>
    <d v="1899-12-30T00:00:00"/>
    <n v="0"/>
    <d v="1899-12-30T00:00:00"/>
    <s v="Não"/>
    <s v="00:00.00"/>
    <n v="1"/>
    <n v="0"/>
    <d v="1899-12-30T00:19:00"/>
    <d v="1899-12-30T00:19:00"/>
    <n v="12"/>
    <n v="28"/>
  </r>
  <r>
    <x v="2"/>
    <d v="2020-05-25T07:06:09"/>
    <s v="false"/>
    <s v="Blumenau Corrida"/>
    <n v="1"/>
    <n v="64"/>
    <d v="1899-12-30T00:04:22"/>
    <n v="174"/>
    <n v="180"/>
    <s v="--"/>
    <s v="--"/>
    <s v="--"/>
    <d v="1899-12-30T04:22:00"/>
    <d v="1899-12-30T03:54:00"/>
    <n v="1"/>
    <s v="--"/>
    <n v="0"/>
    <n v="0"/>
    <n v="0"/>
    <n v="0"/>
    <n v="0"/>
    <n v="0"/>
    <s v="--"/>
    <s v="--"/>
    <d v="1899-12-30T00:04:22"/>
    <d v="1899-12-30T00:00:00"/>
    <n v="0"/>
    <d v="1899-12-30T00:00:00"/>
    <s v="Não"/>
    <s v="00:00.00"/>
    <n v="1"/>
    <n v="0"/>
    <d v="1899-12-30T00:04:22"/>
    <d v="1899-12-30T00:04:22"/>
    <n v="12"/>
    <n v="16"/>
  </r>
  <r>
    <x v="2"/>
    <d v="2020-05-25T06:52:36"/>
    <s v="false"/>
    <s v="Blumenau Corrida"/>
    <n v="1.46"/>
    <n v="80"/>
    <d v="1899-12-30T00:12:56"/>
    <n v="118"/>
    <n v="160"/>
    <s v="--"/>
    <s v="--"/>
    <s v="--"/>
    <d v="1899-12-30T08:52:00"/>
    <d v="1899-12-30T05:52:00"/>
    <n v="3"/>
    <n v="17"/>
    <n v="0"/>
    <n v="0"/>
    <n v="0"/>
    <n v="0"/>
    <n v="0"/>
    <n v="0"/>
    <s v="--"/>
    <s v="--"/>
    <d v="1899-12-30T12:56:00"/>
    <d v="1899-12-30T00:00:00"/>
    <n v="0"/>
    <d v="1899-12-30T00:00:00"/>
    <s v="Não"/>
    <s v="00:00.00"/>
    <n v="1"/>
    <n v="0"/>
    <d v="1899-12-30T00:12:56"/>
    <d v="1899-12-30T00:12:56"/>
    <n v="12"/>
    <n v="26"/>
  </r>
  <r>
    <x v="3"/>
    <d v="2020-05-22T16:20:09"/>
    <s v="false"/>
    <s v="Corrida"/>
    <n v="0"/>
    <n v="627"/>
    <d v="1899-12-30T00:49:18"/>
    <n v="161"/>
    <n v="190"/>
    <s v="--"/>
    <s v="--"/>
    <s v="--"/>
    <s v="--"/>
    <s v="--"/>
    <s v="--"/>
    <s v="--"/>
    <n v="0"/>
    <n v="0"/>
    <n v="0"/>
    <n v="0"/>
    <n v="0"/>
    <n v="0"/>
    <s v="--"/>
    <s v="--"/>
    <d v="1900-01-01T01:18:00"/>
    <d v="1899-12-30T00:00:00"/>
    <n v="0"/>
    <d v="1899-12-30T00:00:00"/>
    <s v="Não"/>
    <s v="00:00.00"/>
    <n v="1"/>
    <n v="0"/>
    <d v="1899-12-30T00:00:00"/>
    <d v="1899-12-30T00:49:18"/>
    <s v="--"/>
    <s v="--"/>
  </r>
  <r>
    <x v="2"/>
    <d v="2020-05-20T17:22:39"/>
    <s v="false"/>
    <s v="Blumenau Corrida"/>
    <n v="5.9"/>
    <n v="516"/>
    <d v="1899-12-30T00:35:35"/>
    <n v="172"/>
    <n v="185"/>
    <s v="--"/>
    <s v="--"/>
    <s v="--"/>
    <d v="1899-12-30T06:02:00"/>
    <d v="1899-12-30T05:05:00"/>
    <n v="64"/>
    <n v="68"/>
    <n v="0"/>
    <n v="0"/>
    <n v="0"/>
    <n v="0"/>
    <n v="0"/>
    <n v="0"/>
    <s v="--"/>
    <s v="--"/>
    <d v="1899-12-31T11:35:00"/>
    <d v="1899-12-30T00:00:00"/>
    <n v="0"/>
    <d v="1899-12-30T00:00:00"/>
    <s v="Não"/>
    <s v="00:00.00"/>
    <n v="1"/>
    <n v="0"/>
    <d v="1899-12-30T00:35:29"/>
    <d v="1899-12-30T00:35:35"/>
    <n v="12"/>
    <n v="56"/>
  </r>
  <r>
    <x v="2"/>
    <d v="2020-05-17T08:35:35"/>
    <s v="false"/>
    <s v="Blumenau Corrida"/>
    <n v="13.51"/>
    <n v="1185"/>
    <d v="1899-12-30T01:25:57"/>
    <n v="168"/>
    <n v="204"/>
    <s v="--"/>
    <s v="--"/>
    <s v="--"/>
    <d v="1899-12-30T06:22:00"/>
    <d v="1899-12-30T02:11:00"/>
    <n v="221"/>
    <n v="225"/>
    <n v="0"/>
    <n v="0"/>
    <n v="0"/>
    <n v="0"/>
    <n v="0"/>
    <n v="0"/>
    <s v="--"/>
    <s v="--"/>
    <d v="1899-12-30T01:25:57"/>
    <d v="1899-12-30T00:00:00"/>
    <n v="0"/>
    <d v="1899-12-30T00:00:00"/>
    <s v="Não"/>
    <s v="00:00.00"/>
    <n v="1"/>
    <n v="0"/>
    <d v="1899-12-30T01:25:57"/>
    <d v="1899-12-30T01:25:57"/>
    <n v="20"/>
    <n v="117"/>
  </r>
  <r>
    <x v="3"/>
    <d v="2020-05-15T18:08:07"/>
    <s v="false"/>
    <s v="Corrida"/>
    <n v="0"/>
    <n v="557"/>
    <d v="1899-12-30T00:40:12"/>
    <n v="168"/>
    <n v="180"/>
    <s v="--"/>
    <s v="--"/>
    <s v="--"/>
    <s v="--"/>
    <s v="--"/>
    <s v="--"/>
    <s v="--"/>
    <n v="0"/>
    <n v="0"/>
    <n v="0"/>
    <n v="0"/>
    <n v="0"/>
    <n v="0"/>
    <s v="--"/>
    <s v="--"/>
    <d v="1899-12-31T16:12:00"/>
    <d v="1899-12-30T00:00:00"/>
    <n v="0"/>
    <d v="1899-12-30T00:00:00"/>
    <s v="Não"/>
    <s v="00:00.00"/>
    <n v="1"/>
    <n v="0"/>
    <d v="1899-12-30T00:00:00"/>
    <d v="1899-12-30T00:40:12"/>
    <s v="--"/>
    <s v="--"/>
  </r>
  <r>
    <x v="3"/>
    <d v="2020-05-13T18:59:10"/>
    <s v="false"/>
    <s v="Corrida"/>
    <n v="0"/>
    <n v="608"/>
    <d v="1899-12-30T00:46:26"/>
    <n v="163"/>
    <n v="187"/>
    <s v="--"/>
    <s v="--"/>
    <s v="--"/>
    <s v="--"/>
    <s v="--"/>
    <s v="--"/>
    <s v="--"/>
    <n v="0"/>
    <n v="0"/>
    <n v="0"/>
    <n v="0"/>
    <n v="0"/>
    <n v="0"/>
    <s v="--"/>
    <s v="--"/>
    <d v="1899-12-31T22:26:00"/>
    <d v="1899-12-30T00:00:00"/>
    <n v="0"/>
    <d v="1899-12-30T00:00:00"/>
    <s v="Não"/>
    <s v="00:00.00"/>
    <n v="1"/>
    <n v="0"/>
    <d v="1899-12-30T00:00:00"/>
    <d v="1899-12-30T00:46:26"/>
    <s v="--"/>
    <s v="--"/>
  </r>
  <r>
    <x v="0"/>
    <d v="2020-05-12T06:55:30"/>
    <s v="false"/>
    <s v="Musculação"/>
    <n v="0"/>
    <n v="331"/>
    <d v="1899-12-30T00:57:42"/>
    <n v="115"/>
    <n v="152"/>
    <s v="--"/>
    <s v="--"/>
    <s v="--"/>
    <s v="--"/>
    <s v="--"/>
    <s v="--"/>
    <s v="--"/>
    <n v="0"/>
    <n v="0"/>
    <n v="0"/>
    <n v="0"/>
    <n v="0"/>
    <n v="0"/>
    <s v="--"/>
    <s v="--"/>
    <d v="1900-01-01T09:42:00"/>
    <d v="1899-12-30T00:00:00"/>
    <n v="0"/>
    <d v="1899-12-30T00:00:00"/>
    <s v="Não"/>
    <s v="00:00.00"/>
    <n v="1"/>
    <n v="0"/>
    <d v="1899-12-30T00:00:00"/>
    <d v="1899-12-30T00:57:42"/>
    <s v="--"/>
    <s v="--"/>
  </r>
  <r>
    <x v="2"/>
    <d v="2020-05-11T06:59:45"/>
    <s v="false"/>
    <s v="Blumenau Corrida"/>
    <n v="6.02"/>
    <n v="473"/>
    <d v="1899-12-30T00:34:55"/>
    <n v="166"/>
    <n v="183"/>
    <s v="--"/>
    <s v="--"/>
    <s v="--"/>
    <d v="1899-12-30T05:48:00"/>
    <d v="1899-12-30T02:12:00"/>
    <n v="63"/>
    <n v="67"/>
    <n v="0"/>
    <n v="0"/>
    <n v="0"/>
    <n v="0"/>
    <n v="0"/>
    <n v="0"/>
    <s v="--"/>
    <s v="--"/>
    <d v="1899-12-31T10:55:00"/>
    <d v="1899-12-30T00:00:00"/>
    <n v="0"/>
    <d v="1899-12-30T00:00:00"/>
    <s v="Não"/>
    <s v="00:10.37"/>
    <n v="4"/>
    <n v="0"/>
    <d v="1899-12-30T00:32:12"/>
    <d v="1899-12-30T00:34:55"/>
    <n v="22"/>
    <n v="55"/>
  </r>
  <r>
    <x v="2"/>
    <d v="2020-05-10T08:56:49"/>
    <s v="false"/>
    <s v="Blumenau Corrida"/>
    <n v="12.82"/>
    <n v="1125"/>
    <d v="1899-12-30T01:18:55"/>
    <n v="171"/>
    <n v="182"/>
    <s v="--"/>
    <s v="--"/>
    <s v="--"/>
    <d v="1899-12-30T06:09:00"/>
    <d v="1899-12-30T02:23:00"/>
    <n v="188"/>
    <n v="192"/>
    <n v="0"/>
    <n v="0"/>
    <n v="0"/>
    <n v="0"/>
    <n v="0"/>
    <n v="0"/>
    <s v="--"/>
    <s v="--"/>
    <d v="1899-12-30T01:18:55"/>
    <d v="1899-12-30T00:00:00"/>
    <n v="0"/>
    <d v="1899-12-30T00:00:00"/>
    <s v="Não"/>
    <s v="00:00.00"/>
    <n v="1"/>
    <n v="0"/>
    <d v="1899-12-30T01:18:55"/>
    <d v="1899-12-30T01:18:55"/>
    <n v="20"/>
    <n v="117"/>
  </r>
  <r>
    <x v="2"/>
    <d v="2020-05-08T06:49:48"/>
    <s v="false"/>
    <s v="Blumenau Corrida"/>
    <n v="4.71"/>
    <n v="538"/>
    <d v="1899-12-30T00:41:37"/>
    <n v="164"/>
    <n v="184"/>
    <s v="--"/>
    <s v="--"/>
    <s v="--"/>
    <d v="1899-12-30T08:50:00"/>
    <d v="1899-12-30T01:00:00"/>
    <n v="75"/>
    <n v="75"/>
    <n v="0"/>
    <n v="0"/>
    <n v="0"/>
    <n v="0"/>
    <n v="0"/>
    <n v="0"/>
    <s v="--"/>
    <s v="--"/>
    <d v="1899-12-31T17:37:00"/>
    <d v="1899-12-30T00:00:00"/>
    <n v="0"/>
    <d v="1899-12-30T00:00:00"/>
    <s v="Não"/>
    <s v="00:55.56"/>
    <n v="21"/>
    <n v="0"/>
    <d v="1899-12-30T00:36:04"/>
    <d v="1899-12-30T00:41:37"/>
    <n v="18"/>
    <n v="36"/>
  </r>
  <r>
    <x v="0"/>
    <d v="2020-05-07T18:41:01"/>
    <s v="false"/>
    <s v="Musculação"/>
    <n v="0"/>
    <n v="290"/>
    <d v="1899-12-30T00:52:56"/>
    <n v="113"/>
    <n v="158"/>
    <s v="--"/>
    <s v="--"/>
    <s v="--"/>
    <s v="--"/>
    <s v="--"/>
    <s v="--"/>
    <s v="--"/>
    <n v="0"/>
    <n v="0"/>
    <n v="0"/>
    <n v="0"/>
    <n v="0"/>
    <n v="0"/>
    <s v="--"/>
    <s v="--"/>
    <d v="1900-01-01T04:56:00"/>
    <d v="1899-12-30T00:00:00"/>
    <n v="0"/>
    <d v="1899-12-30T00:00:00"/>
    <s v="Não"/>
    <s v="00:00.00"/>
    <n v="1"/>
    <n v="0"/>
    <d v="1899-12-30T00:00:00"/>
    <d v="1899-12-30T00:52:56"/>
    <s v="--"/>
    <s v="--"/>
  </r>
  <r>
    <x v="2"/>
    <d v="2020-05-06T06:41:37"/>
    <s v="false"/>
    <s v="Blumenau Corrida"/>
    <n v="9.24"/>
    <n v="822"/>
    <d v="1899-12-30T00:56:30"/>
    <n v="173"/>
    <n v="184"/>
    <s v="--"/>
    <s v="--"/>
    <s v="--"/>
    <d v="1899-12-30T06:07:00"/>
    <d v="1899-12-30T04:03:00"/>
    <n v="104"/>
    <n v="107"/>
    <n v="0"/>
    <n v="0"/>
    <n v="0"/>
    <n v="0"/>
    <n v="0"/>
    <n v="0"/>
    <s v="--"/>
    <s v="--"/>
    <d v="1900-01-01T08:30:00"/>
    <d v="1899-12-30T00:00:00"/>
    <n v="0"/>
    <d v="1899-12-30T00:00:00"/>
    <s v="Não"/>
    <s v="01:23.65"/>
    <n v="10"/>
    <n v="0"/>
    <d v="1899-12-30T00:56:28"/>
    <d v="1899-12-30T00:56:30"/>
    <n v="12"/>
    <n v="56"/>
  </r>
  <r>
    <x v="0"/>
    <d v="2020-05-05T06:31:09"/>
    <s v="false"/>
    <s v="Musculação"/>
    <n v="0"/>
    <n v="212"/>
    <d v="1899-12-30T01:00:23"/>
    <n v="100"/>
    <n v="122"/>
    <s v="--"/>
    <s v="--"/>
    <s v="--"/>
    <s v="--"/>
    <s v="--"/>
    <s v="--"/>
    <s v="--"/>
    <n v="0"/>
    <n v="0"/>
    <n v="0"/>
    <n v="0"/>
    <n v="0"/>
    <n v="0"/>
    <s v="--"/>
    <s v="--"/>
    <d v="1899-12-30T01:00:23"/>
    <d v="1899-12-30T00:00:00"/>
    <n v="0"/>
    <d v="1899-12-30T00:00:00"/>
    <s v="Não"/>
    <s v="00:00.00"/>
    <n v="1"/>
    <n v="0"/>
    <d v="1899-12-30T00:00:00"/>
    <d v="1899-12-30T01:00:23"/>
    <s v="--"/>
    <s v="--"/>
  </r>
  <r>
    <x v="2"/>
    <d v="2020-05-04T17:35:48"/>
    <s v="false"/>
    <s v="Blumenau Corrida"/>
    <n v="6"/>
    <n v="503"/>
    <d v="1899-12-30T00:36:54"/>
    <n v="167"/>
    <n v="183"/>
    <s v="--"/>
    <s v="--"/>
    <s v="--"/>
    <d v="1899-12-30T06:09:00"/>
    <d v="1899-12-30T01:49:00"/>
    <n v="65"/>
    <n v="69"/>
    <n v="0"/>
    <n v="0"/>
    <n v="0"/>
    <n v="0"/>
    <n v="0"/>
    <n v="0"/>
    <s v="--"/>
    <s v="--"/>
    <d v="1899-12-31T12:54:00"/>
    <d v="1899-12-30T00:00:00"/>
    <n v="0"/>
    <d v="1899-12-30T00:00:00"/>
    <s v="Não"/>
    <s v="02:57.84"/>
    <n v="5"/>
    <n v="0"/>
    <d v="1899-12-30T00:32:57"/>
    <d v="1899-12-30T00:36:54"/>
    <n v="22"/>
    <n v="55"/>
  </r>
  <r>
    <x v="2"/>
    <d v="2020-05-03T08:45:24"/>
    <s v="false"/>
    <s v="Blumenau Corrida"/>
    <n v="10.3"/>
    <n v="860"/>
    <d v="1899-12-30T01:00:01"/>
    <n v="172"/>
    <n v="184"/>
    <s v="--"/>
    <s v="--"/>
    <s v="--"/>
    <d v="1899-12-30T05:50:00"/>
    <d v="1899-12-30T03:17:00"/>
    <n v="110"/>
    <n v="109"/>
    <n v="0"/>
    <n v="0"/>
    <n v="0"/>
    <n v="0"/>
    <n v="0"/>
    <n v="0"/>
    <s v="--"/>
    <s v="--"/>
    <d v="1899-12-30T01:00:01"/>
    <d v="1899-12-30T00:00:00"/>
    <n v="0"/>
    <d v="1899-12-30T00:00:00"/>
    <s v="Não"/>
    <s v="01:39.89"/>
    <n v="11"/>
    <n v="0"/>
    <d v="1899-12-30T00:59:58"/>
    <d v="1899-12-30T01:00:01"/>
    <n v="14"/>
    <n v="60"/>
  </r>
  <r>
    <x v="2"/>
    <d v="2020-05-01T08:21:11"/>
    <s v="false"/>
    <s v="Blumenau Corrida"/>
    <n v="11.6"/>
    <n v="1036"/>
    <d v="1899-12-30T01:12:38"/>
    <n v="171"/>
    <n v="183"/>
    <s v="--"/>
    <s v="--"/>
    <s v="--"/>
    <d v="1899-12-30T06:16:00"/>
    <d v="1899-12-30T04:36:00"/>
    <n v="178"/>
    <n v="184"/>
    <n v="0"/>
    <n v="0"/>
    <n v="0"/>
    <n v="0"/>
    <n v="0"/>
    <n v="0"/>
    <s v="--"/>
    <s v="--"/>
    <d v="1899-12-30T01:12:38"/>
    <d v="1899-12-30T00:00:00"/>
    <n v="0"/>
    <d v="1899-12-30T00:00:00"/>
    <s v="Não"/>
    <s v="00:00.00"/>
    <n v="1"/>
    <n v="0"/>
    <d v="1899-12-30T01:12:38"/>
    <d v="1899-12-30T01:12:38"/>
    <n v="20"/>
    <n v="116"/>
  </r>
  <r>
    <x v="0"/>
    <d v="2020-04-30T18:43:03"/>
    <s v="false"/>
    <s v="Musculação"/>
    <n v="0"/>
    <n v="216"/>
    <d v="1899-12-30T00:41:17"/>
    <n v="111"/>
    <n v="161"/>
    <s v="--"/>
    <s v="--"/>
    <s v="--"/>
    <s v="--"/>
    <s v="--"/>
    <s v="--"/>
    <s v="--"/>
    <n v="0"/>
    <n v="0"/>
    <n v="0"/>
    <n v="0"/>
    <n v="0"/>
    <n v="0"/>
    <s v="--"/>
    <s v="--"/>
    <d v="1899-12-31T17:17:00"/>
    <d v="1899-12-30T00:00:00"/>
    <n v="0"/>
    <d v="1899-12-30T00:00:00"/>
    <s v="Não"/>
    <s v="00:00.00"/>
    <n v="1"/>
    <n v="0"/>
    <d v="1899-12-30T00:00:00"/>
    <d v="1899-12-30T00:41:17"/>
    <s v="--"/>
    <s v="--"/>
  </r>
  <r>
    <x v="2"/>
    <d v="2020-04-29T06:31:42"/>
    <s v="false"/>
    <s v="Blumenau Corrida"/>
    <n v="6.41"/>
    <n v="586"/>
    <d v="1899-12-30T00:51:44"/>
    <n v="153"/>
    <n v="182"/>
    <s v="--"/>
    <s v="--"/>
    <s v="--"/>
    <d v="1899-12-30T08:04:00"/>
    <d v="1899-12-30T03:47:00"/>
    <n v="18"/>
    <n v="30"/>
    <n v="0"/>
    <n v="0"/>
    <n v="0"/>
    <n v="0"/>
    <n v="0"/>
    <n v="0"/>
    <s v="--"/>
    <s v="--"/>
    <d v="1900-01-01T03:44:00"/>
    <d v="1899-12-30T00:00:00"/>
    <n v="0"/>
    <d v="1899-12-30T00:00:00"/>
    <s v="Não"/>
    <s v="00:05.33"/>
    <n v="22"/>
    <n v="0"/>
    <d v="1899-12-30T00:40:38"/>
    <d v="1899-12-30T00:51:44"/>
    <n v="12"/>
    <n v="31"/>
  </r>
  <r>
    <x v="0"/>
    <d v="2020-04-28T06:29:00"/>
    <s v="false"/>
    <s v="Musculação"/>
    <n v="0"/>
    <n v="179"/>
    <d v="1899-12-30T00:56:14"/>
    <n v="98"/>
    <n v="120"/>
    <s v="--"/>
    <s v="--"/>
    <s v="--"/>
    <s v="--"/>
    <s v="--"/>
    <s v="--"/>
    <s v="--"/>
    <n v="0"/>
    <n v="0"/>
    <n v="0"/>
    <n v="0"/>
    <n v="0"/>
    <n v="0"/>
    <s v="--"/>
    <s v="--"/>
    <d v="1900-01-01T08:14:00"/>
    <d v="1899-12-30T00:00:00"/>
    <n v="0"/>
    <d v="1899-12-30T00:00:00"/>
    <s v="Não"/>
    <s v="00:00.00"/>
    <n v="1"/>
    <n v="0"/>
    <d v="1899-12-30T00:00:00"/>
    <d v="1899-12-30T00:56:14"/>
    <s v="--"/>
    <s v="--"/>
  </r>
  <r>
    <x v="2"/>
    <d v="2020-04-27T06:30:05"/>
    <s v="false"/>
    <s v="Blumenau Corrida"/>
    <n v="7"/>
    <n v="577"/>
    <d v="1899-12-30T00:45:17"/>
    <n v="162"/>
    <n v="182"/>
    <s v="--"/>
    <s v="--"/>
    <s v="--"/>
    <d v="1899-12-30T06:28:00"/>
    <d v="1899-12-30T02:33:00"/>
    <n v="24"/>
    <n v="40"/>
    <n v="0"/>
    <n v="0"/>
    <n v="0"/>
    <n v="0"/>
    <n v="0"/>
    <n v="0"/>
    <s v="--"/>
    <s v="--"/>
    <d v="1899-12-31T21:17:00"/>
    <d v="1899-12-30T00:00:00"/>
    <n v="0"/>
    <d v="1899-12-30T00:00:00"/>
    <s v="Não"/>
    <s v="01:00.28"/>
    <n v="9"/>
    <n v="0"/>
    <d v="1899-12-30T00:40:52"/>
    <d v="1899-12-30T00:45:17"/>
    <n v="12"/>
    <n v="28"/>
  </r>
  <r>
    <x v="2"/>
    <d v="2020-04-25T07:36:09"/>
    <s v="false"/>
    <s v="Blumenau Corrida"/>
    <n v="9.44"/>
    <n v="871"/>
    <d v="1899-12-30T01:00:01"/>
    <n v="173"/>
    <n v="186"/>
    <s v="--"/>
    <s v="--"/>
    <s v="--"/>
    <d v="1899-12-30T06:21:00"/>
    <d v="1899-12-30T02:31:00"/>
    <n v="143"/>
    <n v="147"/>
    <n v="0"/>
    <n v="0"/>
    <n v="0"/>
    <n v="0"/>
    <n v="0"/>
    <n v="0"/>
    <s v="--"/>
    <s v="--"/>
    <d v="1899-12-30T01:00:01"/>
    <d v="1899-12-30T00:00:00"/>
    <n v="0"/>
    <d v="1899-12-30T00:00:00"/>
    <s v="Não"/>
    <s v="02:36.71"/>
    <n v="10"/>
    <n v="0"/>
    <d v="1899-12-30T00:59:34"/>
    <d v="1899-12-30T01:00:01"/>
    <n v="21"/>
    <n v="71"/>
  </r>
  <r>
    <x v="2"/>
    <d v="2020-04-24T17:27:20"/>
    <s v="false"/>
    <s v="Blumenau Corrida"/>
    <n v="8"/>
    <n v="708"/>
    <d v="1899-12-30T00:48:39"/>
    <n v="173"/>
    <n v="184"/>
    <s v="--"/>
    <s v="--"/>
    <s v="--"/>
    <d v="1899-12-30T06:05:00"/>
    <d v="1899-12-30T02:41:00"/>
    <n v="117"/>
    <n v="116"/>
    <n v="0"/>
    <n v="0"/>
    <n v="0"/>
    <n v="0"/>
    <n v="0"/>
    <n v="0"/>
    <s v="--"/>
    <s v="--"/>
    <d v="1900-01-01T00:39:00"/>
    <d v="1899-12-30T00:00:00"/>
    <n v="0"/>
    <d v="1899-12-30T00:00:00"/>
    <s v="Não"/>
    <s v="05:47.12"/>
    <n v="8"/>
    <n v="0"/>
    <d v="1899-12-30T00:48:37"/>
    <d v="1899-12-30T00:48:39"/>
    <n v="21"/>
    <n v="60"/>
  </r>
  <r>
    <x v="0"/>
    <d v="2020-04-23T06:30:02"/>
    <s v="false"/>
    <s v="Musculação"/>
    <n v="0"/>
    <n v="355"/>
    <d v="1899-12-30T00:56:05"/>
    <n v="119"/>
    <n v="161"/>
    <s v="--"/>
    <s v="--"/>
    <s v="--"/>
    <s v="--"/>
    <s v="--"/>
    <s v="--"/>
    <s v="--"/>
    <n v="0"/>
    <n v="0"/>
    <n v="0"/>
    <n v="0"/>
    <n v="0"/>
    <n v="0"/>
    <s v="--"/>
    <s v="--"/>
    <d v="1900-01-01T08:05:00"/>
    <d v="1899-12-30T00:00:00"/>
    <n v="0"/>
    <d v="1899-12-30T00:00:00"/>
    <s v="Não"/>
    <s v="00:00.00"/>
    <n v="1"/>
    <n v="0"/>
    <d v="1899-12-30T00:00:00"/>
    <d v="1899-12-30T00:56:05"/>
    <s v="--"/>
    <s v="--"/>
  </r>
  <r>
    <x v="2"/>
    <d v="2020-04-22T06:30:38"/>
    <s v="false"/>
    <s v="Blumenau Corrida"/>
    <n v="9.01"/>
    <n v="758"/>
    <d v="1899-12-30T00:54:32"/>
    <n v="169"/>
    <n v="184"/>
    <s v="--"/>
    <s v="--"/>
    <s v="--"/>
    <d v="1899-12-30T06:03:00"/>
    <d v="1899-12-30T03:08:00"/>
    <n v="138"/>
    <n v="140"/>
    <n v="0"/>
    <n v="0"/>
    <n v="0"/>
    <n v="0"/>
    <n v="0"/>
    <n v="0"/>
    <s v="--"/>
    <s v="--"/>
    <d v="1900-01-01T06:32:00"/>
    <d v="1899-12-30T00:00:00"/>
    <n v="0"/>
    <d v="1899-12-30T00:00:00"/>
    <s v="Não"/>
    <s v="00:08.21"/>
    <n v="13"/>
    <n v="0"/>
    <d v="1899-12-30T00:54:29"/>
    <d v="1899-12-30T00:54:32"/>
    <n v="21"/>
    <n v="59"/>
  </r>
  <r>
    <x v="2"/>
    <d v="2020-04-20T06:59:59"/>
    <s v="false"/>
    <s v="Blumenau Corrida"/>
    <n v="5"/>
    <n v="426"/>
    <d v="1899-12-30T00:31:00"/>
    <n v="168"/>
    <n v="187"/>
    <s v="--"/>
    <s v="--"/>
    <s v="--"/>
    <d v="1899-12-30T06:12:00"/>
    <d v="1899-12-30T04:13:00"/>
    <n v="11"/>
    <n v="25"/>
    <n v="0"/>
    <n v="0"/>
    <n v="0"/>
    <n v="0"/>
    <n v="0"/>
    <n v="0"/>
    <s v="--"/>
    <s v="--"/>
    <d v="1899-12-31T07:00:00"/>
    <d v="1899-12-30T00:00:00"/>
    <n v="0"/>
    <d v="1899-12-30T00:00:00"/>
    <s v="Não"/>
    <s v="01:09.44"/>
    <n v="7"/>
    <n v="0"/>
    <d v="1899-12-30T00:26:20"/>
    <d v="1899-12-30T00:31:00"/>
    <n v="12"/>
    <n v="30"/>
  </r>
  <r>
    <x v="2"/>
    <d v="2020-04-18T07:17:43"/>
    <s v="false"/>
    <s v="Blumenau Corrida"/>
    <n v="9.69"/>
    <n v="881"/>
    <d v="1899-12-30T01:00:02"/>
    <n v="174"/>
    <n v="184"/>
    <s v="--"/>
    <s v="--"/>
    <s v="--"/>
    <d v="1899-12-30T06:12:00"/>
    <d v="1899-12-30T02:25:00"/>
    <n v="147"/>
    <n v="151"/>
    <n v="0"/>
    <n v="0"/>
    <n v="0"/>
    <n v="0"/>
    <n v="0"/>
    <n v="0"/>
    <s v="--"/>
    <s v="--"/>
    <d v="1899-12-30T01:00:02"/>
    <d v="1899-12-30T00:00:00"/>
    <n v="0"/>
    <d v="1899-12-30T00:00:00"/>
    <s v="Não"/>
    <s v="03:59.79"/>
    <n v="10"/>
    <n v="0"/>
    <d v="1899-12-30T01:00:00"/>
    <d v="1899-12-30T01:00:02"/>
    <n v="22"/>
    <n v="73"/>
  </r>
  <r>
    <x v="2"/>
    <d v="2020-04-17T06:50:24"/>
    <s v="false"/>
    <s v="Blumenau Corrida"/>
    <n v="5.16"/>
    <n v="433"/>
    <d v="1899-12-30T00:30:02"/>
    <n v="172"/>
    <n v="187"/>
    <s v="--"/>
    <s v="--"/>
    <s v="--"/>
    <d v="1899-12-30T05:49:00"/>
    <d v="1899-12-30T04:41:00"/>
    <n v="27"/>
    <n v="30"/>
    <n v="0"/>
    <n v="0"/>
    <n v="0"/>
    <n v="0"/>
    <n v="0"/>
    <n v="0"/>
    <s v="--"/>
    <s v="--"/>
    <d v="1899-12-31T06:02:00"/>
    <d v="1899-12-30T00:00:00"/>
    <n v="0"/>
    <d v="1899-12-30T00:00:00"/>
    <s v="Não"/>
    <s v="00:00.00"/>
    <n v="1"/>
    <n v="0"/>
    <d v="1899-12-30T00:30:01"/>
    <d v="1899-12-30T00:30:02"/>
    <n v="12"/>
    <n v="29"/>
  </r>
  <r>
    <x v="2"/>
    <d v="2020-04-16T06:30:58"/>
    <s v="false"/>
    <s v="Musculação"/>
    <n v="0"/>
    <n v="267"/>
    <d v="1899-12-30T00:43:50"/>
    <n v="117"/>
    <n v="150"/>
    <s v="--"/>
    <s v="--"/>
    <s v="--"/>
    <s v="--"/>
    <s v="--"/>
    <s v="--"/>
    <s v="--"/>
    <n v="0"/>
    <n v="0"/>
    <n v="0"/>
    <n v="0"/>
    <n v="0"/>
    <n v="0"/>
    <s v="--"/>
    <s v="--"/>
    <d v="1899-12-31T19:50:00"/>
    <d v="1899-12-30T00:00:00"/>
    <n v="0"/>
    <d v="1899-12-30T00:00:00"/>
    <s v="Não"/>
    <s v="00:00.00"/>
    <n v="1"/>
    <n v="0"/>
    <d v="1899-12-30T00:00:00"/>
    <d v="1899-12-30T00:43:50"/>
    <s v="--"/>
    <s v="--"/>
  </r>
  <r>
    <x v="2"/>
    <d v="2020-04-15T06:57:11"/>
    <s v="false"/>
    <s v="Blumenau Corrida"/>
    <n v="5.23"/>
    <n v="456"/>
    <d v="1899-12-30T00:32:06"/>
    <n v="172"/>
    <n v="191"/>
    <s v="--"/>
    <s v="--"/>
    <s v="--"/>
    <d v="1899-12-30T06:08:00"/>
    <d v="1899-12-30T04:24:00"/>
    <n v="18"/>
    <n v="33"/>
    <n v="0"/>
    <n v="0"/>
    <n v="0"/>
    <n v="0"/>
    <n v="0"/>
    <n v="0"/>
    <s v="--"/>
    <s v="--"/>
    <d v="1899-12-31T08:06:00"/>
    <d v="1899-12-30T00:00:00"/>
    <n v="0"/>
    <d v="1899-12-30T00:00:00"/>
    <s v="Não"/>
    <s v="00:04.61"/>
    <n v="12"/>
    <n v="0"/>
    <d v="1899-12-30T00:29:20"/>
    <d v="1899-12-30T00:32:06"/>
    <n v="12"/>
    <n v="30"/>
  </r>
  <r>
    <x v="2"/>
    <d v="2020-04-14T07:28:53"/>
    <s v="false"/>
    <s v="Musculação&quot; em casa&quot;"/>
    <n v="0"/>
    <n v="403"/>
    <d v="1899-12-30T00:43:43"/>
    <n v="138"/>
    <n v="170"/>
    <s v="--"/>
    <s v="--"/>
    <s v="--"/>
    <s v="--"/>
    <s v="--"/>
    <s v="--"/>
    <s v="--"/>
    <n v="0"/>
    <n v="0"/>
    <n v="0"/>
    <n v="0"/>
    <n v="0"/>
    <n v="0"/>
    <s v="--"/>
    <s v="--"/>
    <d v="1899-12-31T19:43:00"/>
    <d v="1899-12-30T00:00:00"/>
    <n v="0"/>
    <d v="1899-12-30T00:00:00"/>
    <s v="Não"/>
    <s v="00:00.00"/>
    <n v="1"/>
    <n v="0"/>
    <d v="1899-12-30T00:00:00"/>
    <d v="1899-12-30T00:43:43"/>
    <s v="--"/>
    <s v="--"/>
  </r>
  <r>
    <x v="2"/>
    <d v="2020-04-13T06:45:27"/>
    <s v="false"/>
    <s v="Blumenau Corrida"/>
    <n v="5.32"/>
    <n v="470"/>
    <d v="1899-12-30T00:30:01"/>
    <n v="180"/>
    <n v="194"/>
    <s v="--"/>
    <s v="--"/>
    <s v="--"/>
    <d v="1899-12-30T05:39:00"/>
    <d v="1899-12-30T05:13:00"/>
    <n v="42"/>
    <n v="48"/>
    <n v="0"/>
    <n v="0"/>
    <n v="0"/>
    <n v="0"/>
    <n v="0"/>
    <n v="0"/>
    <s v="--"/>
    <s v="--"/>
    <d v="1899-12-31T06:01:00"/>
    <d v="1899-12-30T00:00:00"/>
    <n v="0"/>
    <d v="1899-12-30T00:00:00"/>
    <s v="Não"/>
    <s v="00:00.00"/>
    <n v="1"/>
    <n v="0"/>
    <d v="1899-12-30T00:30:01"/>
    <d v="1899-12-30T00:30:01"/>
    <n v="12"/>
    <n v="38"/>
  </r>
  <r>
    <x v="2"/>
    <d v="2020-04-11T08:28:23"/>
    <s v="false"/>
    <s v="Blumenau Corrida"/>
    <n v="5.23"/>
    <n v="465"/>
    <d v="1899-12-30T00:30:01"/>
    <n v="179"/>
    <n v="192"/>
    <s v="--"/>
    <s v="--"/>
    <s v="--"/>
    <d v="1899-12-30T05:44:00"/>
    <d v="1899-12-30T01:04:00"/>
    <n v="45"/>
    <n v="50"/>
    <n v="0"/>
    <n v="0"/>
    <n v="0"/>
    <n v="0"/>
    <n v="0"/>
    <n v="0"/>
    <s v="--"/>
    <s v="--"/>
    <d v="1899-12-31T06:01:00"/>
    <d v="1899-12-30T00:00:00"/>
    <n v="0"/>
    <d v="1899-12-30T00:00:00"/>
    <s v="Não"/>
    <s v="00:00.00"/>
    <n v="1"/>
    <n v="0"/>
    <d v="1899-12-30T00:30:01"/>
    <d v="1899-12-30T00:30:01"/>
    <n v="22"/>
    <n v="45"/>
  </r>
  <r>
    <x v="2"/>
    <d v="2020-04-08T07:46:34"/>
    <s v="false"/>
    <s v="Blumenau Corrida"/>
    <n v="5.19"/>
    <n v="346"/>
    <d v="1899-12-30T00:40:47"/>
    <s v="--"/>
    <s v="--"/>
    <s v="--"/>
    <s v="--"/>
    <s v="--"/>
    <d v="1899-12-30T07:52:00"/>
    <d v="1899-12-30T01:03:00"/>
    <n v="21"/>
    <n v="20"/>
    <n v="0"/>
    <n v="0"/>
    <n v="0"/>
    <n v="0"/>
    <n v="0"/>
    <n v="0"/>
    <s v="--"/>
    <s v="--"/>
    <d v="1899-12-31T16:47:00"/>
    <d v="1899-12-30T00:00:00"/>
    <n v="0"/>
    <d v="1899-12-30T00:00:00"/>
    <s v="Não"/>
    <s v="02:01.44"/>
    <n v="14"/>
    <n v="0"/>
    <d v="1899-12-30T00:40:46"/>
    <d v="1899-12-30T00:40:47"/>
    <n v="18"/>
    <n v="26"/>
  </r>
  <r>
    <x v="2"/>
    <d v="2020-04-06T08:28:29"/>
    <s v="false"/>
    <s v="Blumenau Corrida"/>
    <n v="3.57"/>
    <n v="312"/>
    <d v="1899-12-30T00:33:33"/>
    <n v="139"/>
    <n v="178"/>
    <s v="--"/>
    <s v="--"/>
    <s v="--"/>
    <d v="1899-12-30T09:24:00"/>
    <d v="1899-12-30T00:35:00"/>
    <n v="16"/>
    <n v="16"/>
    <n v="0"/>
    <n v="0"/>
    <n v="0"/>
    <n v="0"/>
    <n v="0"/>
    <n v="0"/>
    <s v="--"/>
    <s v="--"/>
    <d v="1899-12-31T09:33:00"/>
    <d v="1899-12-30T00:00:00"/>
    <n v="0"/>
    <d v="1899-12-30T00:00:00"/>
    <s v="Não"/>
    <s v="02:49.21"/>
    <n v="8"/>
    <n v="0"/>
    <d v="1899-12-30T00:32:13"/>
    <d v="1899-12-30T00:33:33"/>
    <n v="18"/>
    <n v="25"/>
  </r>
  <r>
    <x v="2"/>
    <d v="2020-03-14T06:54:48"/>
    <s v="false"/>
    <s v="Blumenau Corrida"/>
    <n v="10.01"/>
    <n v="711"/>
    <d v="1899-12-30T01:05:37"/>
    <s v="--"/>
    <s v="--"/>
    <s v="--"/>
    <s v="--"/>
    <s v="--"/>
    <d v="1899-12-30T06:33:00"/>
    <d v="1899-12-30T01:44:00"/>
    <n v="133"/>
    <n v="134"/>
    <n v="0"/>
    <n v="0"/>
    <n v="0"/>
    <n v="0"/>
    <n v="0"/>
    <n v="0"/>
    <s v="--"/>
    <s v="--"/>
    <d v="1899-12-30T01:05:37"/>
    <d v="1899-12-30T00:00:00"/>
    <n v="0"/>
    <d v="1899-12-30T00:00:00"/>
    <s v="Não"/>
    <s v="00:00.00"/>
    <n v="1"/>
    <n v="0"/>
    <d v="1899-12-30T01:05:37"/>
    <d v="1899-12-30T01:05:37"/>
    <n v="21"/>
    <n v="60"/>
  </r>
  <r>
    <x v="2"/>
    <d v="2020-03-09T19:05:22"/>
    <s v="false"/>
    <s v="Blumenau Corrida"/>
    <n v="6.17"/>
    <n v="449"/>
    <d v="1899-12-30T00:35:30"/>
    <s v="--"/>
    <s v="--"/>
    <s v="--"/>
    <s v="--"/>
    <s v="--"/>
    <d v="1899-12-30T05:45:00"/>
    <d v="1899-12-30T05:19:00"/>
    <n v="13"/>
    <n v="15"/>
    <n v="0"/>
    <n v="0"/>
    <n v="0"/>
    <n v="0"/>
    <n v="0"/>
    <n v="0"/>
    <s v="--"/>
    <s v="--"/>
    <d v="1899-12-31T11:30:00"/>
    <d v="1899-12-30T00:00:00"/>
    <n v="0"/>
    <d v="1899-12-30T00:00:00"/>
    <s v="Não"/>
    <s v="05:40.48"/>
    <n v="6"/>
    <n v="0"/>
    <d v="1899-12-30T00:35:29"/>
    <d v="1899-12-30T00:35:30"/>
    <n v="13"/>
    <n v="21"/>
  </r>
  <r>
    <x v="2"/>
    <d v="2020-03-04T19:09:53"/>
    <s v="false"/>
    <s v="Blumenau Corrida"/>
    <n v="3.3"/>
    <n v="193"/>
    <d v="1899-12-30T00:31:07"/>
    <s v="--"/>
    <s v="--"/>
    <s v="--"/>
    <s v="--"/>
    <s v="--"/>
    <d v="1899-12-30T09:27:00"/>
    <d v="1899-12-30T06:16:00"/>
    <n v="7"/>
    <n v="10"/>
    <n v="0"/>
    <n v="0"/>
    <n v="0"/>
    <n v="0"/>
    <n v="0"/>
    <n v="0"/>
    <s v="--"/>
    <s v="--"/>
    <d v="1899-12-31T07:07:00"/>
    <d v="1899-12-30T00:00:00"/>
    <n v="0"/>
    <d v="1899-12-30T00:00:00"/>
    <s v="Não"/>
    <s v="00:00.00"/>
    <n v="1"/>
    <n v="0"/>
    <d v="1899-12-30T00:31:06"/>
    <d v="1899-12-30T00:33:17"/>
    <n v="13"/>
    <n v="20"/>
  </r>
  <r>
    <x v="2"/>
    <d v="2020-03-02T19:08:10"/>
    <s v="false"/>
    <s v="Blumenau Corrida"/>
    <n v="4.5"/>
    <n v="333"/>
    <d v="1899-12-30T00:27:37"/>
    <s v="--"/>
    <s v="--"/>
    <s v="--"/>
    <s v="--"/>
    <s v="--"/>
    <d v="1899-12-30T06:08:00"/>
    <d v="1899-12-30T03:10:00"/>
    <n v="17"/>
    <n v="14"/>
    <n v="0"/>
    <n v="0"/>
    <n v="0"/>
    <n v="0"/>
    <n v="0"/>
    <n v="0"/>
    <s v="--"/>
    <s v="--"/>
    <d v="1899-12-31T03:37:00"/>
    <d v="1899-12-30T00:00:00"/>
    <n v="0"/>
    <d v="1899-12-30T00:00:00"/>
    <s v="Não"/>
    <s v="00:02.13"/>
    <n v="18"/>
    <n v="0"/>
    <d v="1899-12-30T00:25:14"/>
    <d v="1899-12-30T00:40:04"/>
    <n v="17"/>
    <n v="26"/>
  </r>
  <r>
    <x v="2"/>
    <d v="2020-02-29T06:48:19"/>
    <s v="false"/>
    <s v="Blumenau Corrida"/>
    <n v="10"/>
    <n v="733"/>
    <d v="1899-12-30T01:00:44"/>
    <s v="--"/>
    <s v="--"/>
    <s v="--"/>
    <s v="--"/>
    <s v="--"/>
    <d v="1899-12-30T06:04:00"/>
    <d v="1899-12-30T02:22:00"/>
    <n v="142"/>
    <n v="145"/>
    <n v="0"/>
    <n v="0"/>
    <n v="0"/>
    <n v="0"/>
    <n v="0"/>
    <n v="0"/>
    <s v="--"/>
    <s v="--"/>
    <d v="1899-12-30T01:00:44"/>
    <d v="1899-12-30T00:00:00"/>
    <n v="0"/>
    <d v="1899-12-30T00:00:00"/>
    <s v="Não"/>
    <s v="00:00.00"/>
    <n v="1"/>
    <n v="0"/>
    <d v="1899-12-30T01:00:44"/>
    <d v="1899-12-30T01:00:44"/>
    <n v="22"/>
    <n v="60"/>
  </r>
  <r>
    <x v="2"/>
    <d v="2020-02-26T19:13:49"/>
    <s v="false"/>
    <s v="Blumenau Corrida"/>
    <n v="3.47"/>
    <n v="192"/>
    <d v="1899-12-30T00:35:35"/>
    <s v="--"/>
    <s v="--"/>
    <s v="--"/>
    <s v="--"/>
    <s v="--"/>
    <d v="1899-12-30T10:16:00"/>
    <d v="1899-12-30T06:26:00"/>
    <n v="61"/>
    <n v="61"/>
    <n v="0"/>
    <n v="0"/>
    <n v="0"/>
    <n v="0"/>
    <n v="0"/>
    <n v="0"/>
    <s v="--"/>
    <s v="--"/>
    <d v="1899-12-31T11:35:00"/>
    <d v="1899-12-30T00:00:00"/>
    <n v="0"/>
    <d v="1899-12-30T00:00:00"/>
    <s v="Não"/>
    <s v="00:37.96"/>
    <n v="7"/>
    <n v="0"/>
    <d v="1899-12-30T00:33:45"/>
    <d v="1899-12-30T00:35:35"/>
    <n v="17"/>
    <n v="28"/>
  </r>
  <r>
    <x v="2"/>
    <d v="2020-02-24T19:11:49"/>
    <s v="false"/>
    <s v="Blumenau Corrida"/>
    <n v="1.53"/>
    <n v="80"/>
    <d v="1899-12-30T00:18:36"/>
    <s v="--"/>
    <s v="--"/>
    <s v="--"/>
    <s v="--"/>
    <s v="--"/>
    <d v="1899-12-30T12:09:00"/>
    <d v="1899-12-30T08:52:00"/>
    <n v="13"/>
    <s v="--"/>
    <n v="0"/>
    <n v="0"/>
    <n v="0"/>
    <n v="0"/>
    <n v="0"/>
    <n v="0"/>
    <s v="--"/>
    <s v="--"/>
    <d v="1899-12-30T18:36:00"/>
    <d v="1899-12-30T00:00:00"/>
    <n v="0"/>
    <d v="1899-12-30T00:00:00"/>
    <s v="Não"/>
    <s v="00:00.00"/>
    <n v="1"/>
    <n v="0"/>
    <d v="1899-12-30T00:18:36"/>
    <d v="1899-12-30T00:18:36"/>
    <n v="14"/>
    <n v="29"/>
  </r>
  <r>
    <x v="2"/>
    <d v="2020-02-24T18:51:28"/>
    <s v="false"/>
    <s v="Blumenau Corrida"/>
    <n v="3.06"/>
    <n v="192"/>
    <d v="1899-12-30T00:20:06"/>
    <s v="--"/>
    <s v="--"/>
    <s v="--"/>
    <s v="--"/>
    <s v="--"/>
    <d v="1899-12-30T06:34:00"/>
    <d v="1899-12-30T04:03:00"/>
    <n v="6"/>
    <n v="6"/>
    <n v="0"/>
    <n v="0"/>
    <n v="0"/>
    <n v="0"/>
    <n v="0"/>
    <n v="0"/>
    <s v="--"/>
    <s v="--"/>
    <d v="1899-12-30T20:06:00"/>
    <d v="1899-12-30T00:00:00"/>
    <n v="0"/>
    <d v="1899-12-30T00:00:00"/>
    <s v="Não"/>
    <s v="00:58.40"/>
    <n v="20"/>
    <n v="0"/>
    <d v="1899-12-30T00:20:01"/>
    <d v="1899-12-30T00:20:06"/>
    <n v="14"/>
    <n v="18"/>
  </r>
  <r>
    <x v="2"/>
    <d v="2020-02-24T18:35:14"/>
    <s v="false"/>
    <s v="Blumenau Corrida"/>
    <n v="2"/>
    <n v="149"/>
    <d v="1899-12-30T00:11:42"/>
    <s v="--"/>
    <s v="--"/>
    <s v="--"/>
    <s v="--"/>
    <s v="--"/>
    <d v="1899-12-30T05:51:00"/>
    <d v="1899-12-30T04:02:00"/>
    <n v="3"/>
    <n v="18"/>
    <n v="0"/>
    <n v="0"/>
    <n v="0"/>
    <n v="0"/>
    <n v="0"/>
    <n v="0"/>
    <s v="--"/>
    <s v="--"/>
    <d v="1899-12-30T11:42:00"/>
    <d v="1899-12-30T00:00:00"/>
    <n v="0"/>
    <d v="1899-12-30T00:00:00"/>
    <s v="Não"/>
    <s v="00:00.00"/>
    <n v="1"/>
    <n v="0"/>
    <d v="1899-12-30T00:11:42"/>
    <d v="1899-12-30T00:11:42"/>
    <n v="12"/>
    <n v="28"/>
  </r>
  <r>
    <x v="2"/>
    <d v="2020-02-21T13:08:18"/>
    <s v="false"/>
    <s v="Corrida"/>
    <n v="0"/>
    <s v="--"/>
    <d v="1899-12-30T00:00:07"/>
    <s v="--"/>
    <s v="--"/>
    <s v="--"/>
    <s v="--"/>
    <s v="--"/>
    <s v="--"/>
    <s v="--"/>
    <s v="--"/>
    <s v="--"/>
    <n v="0"/>
    <n v="0"/>
    <n v="0"/>
    <n v="0"/>
    <n v="0"/>
    <n v="0"/>
    <s v="--"/>
    <s v="--"/>
    <d v="1899-12-30T00:00:07"/>
    <d v="1899-12-30T00:00:00"/>
    <n v="0"/>
    <d v="1899-12-30T00:00:00"/>
    <s v="Não"/>
    <s v="00:00.00"/>
    <n v="1"/>
    <n v="0"/>
    <d v="1899-12-30T00:00:00"/>
    <d v="1899-12-30T00:00:07"/>
    <s v="--"/>
    <s v="--"/>
  </r>
  <r>
    <x v="2"/>
    <d v="2020-02-19T19:08:03"/>
    <s v="false"/>
    <s v="Blumenau Corrida"/>
    <n v="5.37"/>
    <n v="362"/>
    <d v="1899-12-30T00:47:58"/>
    <s v="--"/>
    <s v="--"/>
    <s v="--"/>
    <s v="--"/>
    <s v="--"/>
    <d v="1899-12-30T08:56:00"/>
    <d v="1899-12-30T03:58:00"/>
    <n v="148"/>
    <n v="138"/>
    <n v="0"/>
    <n v="0"/>
    <n v="0"/>
    <n v="0"/>
    <n v="0"/>
    <n v="0"/>
    <s v="--"/>
    <s v="--"/>
    <d v="1899-12-31T23:58:00"/>
    <d v="1899-12-30T00:00:00"/>
    <n v="0"/>
    <d v="1899-12-30T00:00:00"/>
    <s v="Não"/>
    <s v="00:36.84"/>
    <n v="24"/>
    <n v="0"/>
    <d v="1899-12-30T00:47:54"/>
    <d v="1899-12-30T00:47:58"/>
    <n v="13"/>
    <n v="61"/>
  </r>
  <r>
    <x v="2"/>
    <d v="2020-02-15T06:59:00"/>
    <s v="false"/>
    <s v="Blumenau Corrida"/>
    <n v="10"/>
    <n v="726"/>
    <d v="1899-12-30T01:02:29"/>
    <s v="--"/>
    <s v="--"/>
    <s v="--"/>
    <s v="--"/>
    <s v="--"/>
    <d v="1899-12-30T06:15:00"/>
    <d v="1899-12-30T02:07:00"/>
    <n v="125"/>
    <n v="129"/>
    <n v="0"/>
    <n v="0"/>
    <n v="0"/>
    <n v="0"/>
    <n v="0"/>
    <n v="0"/>
    <s v="--"/>
    <s v="--"/>
    <d v="1899-12-30T01:02:29"/>
    <d v="1899-12-30T00:00:00"/>
    <n v="0"/>
    <d v="1899-12-30T00:00:00"/>
    <s v="Não"/>
    <s v="00:00.00"/>
    <n v="1"/>
    <n v="0"/>
    <d v="1899-12-30T01:02:29"/>
    <d v="1899-12-30T01:02:29"/>
    <n v="22"/>
    <n v="59"/>
  </r>
  <r>
    <x v="2"/>
    <d v="2020-02-12T19:16:23"/>
    <s v="false"/>
    <s v="Blumenau Corrida"/>
    <n v="4.17"/>
    <n v="293"/>
    <d v="1899-12-30T00:33:09"/>
    <s v="--"/>
    <s v="--"/>
    <s v="--"/>
    <s v="--"/>
    <s v="--"/>
    <d v="1899-12-30T07:57:00"/>
    <d v="1899-12-30T04:28:00"/>
    <n v="138"/>
    <n v="145"/>
    <n v="0"/>
    <n v="0"/>
    <n v="0"/>
    <n v="0"/>
    <n v="0"/>
    <n v="0"/>
    <s v="--"/>
    <s v="--"/>
    <d v="1899-12-31T09:09:00"/>
    <d v="1899-12-30T00:00:00"/>
    <n v="0"/>
    <d v="1899-12-30T00:00:00"/>
    <s v="Não"/>
    <s v="01:04.36"/>
    <n v="15"/>
    <n v="0"/>
    <d v="1899-12-30T00:31:16"/>
    <d v="1899-12-30T00:33:37"/>
    <n v="19"/>
    <n v="63"/>
  </r>
  <r>
    <x v="2"/>
    <d v="2020-02-10T19:10:00"/>
    <s v="false"/>
    <s v="Blumenau Corrida"/>
    <n v="6.22"/>
    <n v="449"/>
    <d v="1899-12-30T00:44:21"/>
    <s v="--"/>
    <s v="--"/>
    <s v="--"/>
    <s v="--"/>
    <s v="--"/>
    <d v="1899-12-30T07:08:00"/>
    <d v="1899-12-30T03:32:00"/>
    <n v="6"/>
    <n v="7"/>
    <n v="0"/>
    <n v="0"/>
    <n v="0"/>
    <n v="0"/>
    <n v="0"/>
    <n v="0"/>
    <s v="--"/>
    <s v="--"/>
    <d v="1899-12-31T20:21:00"/>
    <d v="1899-12-30T00:00:00"/>
    <n v="0"/>
    <d v="1899-12-30T00:00:00"/>
    <s v="Não"/>
    <s v="00:44.84"/>
    <n v="19"/>
    <n v="0"/>
    <d v="1899-12-30T00:44:18"/>
    <d v="1899-12-30T00:44:21"/>
    <n v="13"/>
    <n v="20"/>
  </r>
  <r>
    <x v="2"/>
    <d v="2020-02-09T07:46:49"/>
    <s v="false"/>
    <s v="Blumenau Corrida"/>
    <n v="7.36"/>
    <n v="516"/>
    <d v="1899-12-30T00:50:37"/>
    <s v="--"/>
    <s v="--"/>
    <s v="--"/>
    <s v="--"/>
    <s v="--"/>
    <d v="1899-12-30T06:53:00"/>
    <d v="1899-12-30T03:03:00"/>
    <n v="27"/>
    <n v="31"/>
    <n v="0"/>
    <n v="0"/>
    <n v="0"/>
    <n v="0"/>
    <n v="0"/>
    <n v="0"/>
    <s v="--"/>
    <s v="--"/>
    <d v="1900-01-01T02:37:00"/>
    <d v="1899-12-30T00:00:00"/>
    <n v="0"/>
    <d v="1899-12-30T00:00:00"/>
    <s v="Não"/>
    <s v="00:01.16"/>
    <n v="10"/>
    <n v="0"/>
    <d v="1899-12-30T00:50:34"/>
    <d v="1899-12-30T00:50:37"/>
    <n v="12"/>
    <n v="29"/>
  </r>
  <r>
    <x v="2"/>
    <d v="2020-02-05T19:09:03"/>
    <s v="false"/>
    <s v="Blumenau Corrida"/>
    <n v="5.18"/>
    <n v="363"/>
    <d v="1899-12-30T00:40:10"/>
    <s v="--"/>
    <s v="--"/>
    <s v="--"/>
    <s v="--"/>
    <s v="--"/>
    <d v="1899-12-30T07:45:00"/>
    <d v="1899-12-30T04:27:00"/>
    <n v="158"/>
    <n v="151"/>
    <n v="0"/>
    <n v="0"/>
    <n v="0"/>
    <n v="0"/>
    <n v="0"/>
    <n v="0"/>
    <s v="--"/>
    <s v="--"/>
    <d v="1899-12-31T16:10:00"/>
    <d v="1899-12-30T00:00:00"/>
    <n v="0"/>
    <d v="1899-12-30T00:00:00"/>
    <s v="Não"/>
    <s v="00:58.36"/>
    <n v="17"/>
    <n v="0"/>
    <d v="1899-12-30T00:37:49"/>
    <d v="1899-12-30T00:40:10"/>
    <n v="16"/>
    <n v="55"/>
  </r>
  <r>
    <x v="2"/>
    <d v="2020-02-02T07:56:37"/>
    <s v="false"/>
    <s v="Blumenau Corrida"/>
    <n v="9.2799999999999994"/>
    <n v="658"/>
    <d v="1899-12-30T01:02:55"/>
    <s v="--"/>
    <s v="--"/>
    <s v="--"/>
    <s v="--"/>
    <s v="--"/>
    <d v="1899-12-30T06:47:00"/>
    <d v="1899-12-30T05:04:00"/>
    <n v="92"/>
    <n v="92"/>
    <n v="0"/>
    <n v="0"/>
    <n v="0"/>
    <n v="0"/>
    <n v="0"/>
    <n v="0"/>
    <s v="--"/>
    <s v="--"/>
    <d v="1899-12-30T01:02:55"/>
    <d v="1899-12-30T00:00:00"/>
    <n v="0"/>
    <d v="1899-12-30T00:00:00"/>
    <s v="Não"/>
    <s v="00:00.00"/>
    <n v="1"/>
    <n v="0"/>
    <d v="1899-12-30T01:02:54"/>
    <d v="1899-12-30T01:02:55"/>
    <n v="12"/>
    <n v="56"/>
  </r>
  <r>
    <x v="2"/>
    <d v="2020-01-29T19:04:28"/>
    <s v="false"/>
    <s v="Blumenau Corrida"/>
    <n v="6.13"/>
    <n v="450"/>
    <d v="1899-12-30T00:35:34"/>
    <s v="--"/>
    <s v="--"/>
    <s v="--"/>
    <s v="--"/>
    <s v="--"/>
    <d v="1899-12-30T05:48:00"/>
    <d v="1899-12-30T05:03:00"/>
    <n v="15"/>
    <n v="16"/>
    <n v="0"/>
    <n v="0"/>
    <n v="0"/>
    <n v="0"/>
    <n v="0"/>
    <n v="0"/>
    <s v="--"/>
    <s v="--"/>
    <d v="1899-12-31T11:34:00"/>
    <d v="1899-12-30T00:00:00"/>
    <n v="0"/>
    <d v="1899-12-30T00:00:00"/>
    <s v="Não"/>
    <s v="00:00.00"/>
    <n v="1"/>
    <n v="0"/>
    <d v="1899-12-30T00:35:34"/>
    <d v="1899-12-30T00:35:34"/>
    <n v="13"/>
    <n v="20"/>
  </r>
  <r>
    <x v="2"/>
    <d v="2020-01-27T19:36:10"/>
    <s v="false"/>
    <s v="Blumenau Corrida"/>
    <n v="0.65"/>
    <n v="49"/>
    <d v="1899-12-30T00:04:18"/>
    <s v="--"/>
    <s v="--"/>
    <s v="--"/>
    <s v="--"/>
    <s v="--"/>
    <d v="1899-12-30T06:33:00"/>
    <d v="1899-12-30T05:30:00"/>
    <n v="8"/>
    <n v="7"/>
    <n v="0"/>
    <n v="0"/>
    <n v="0"/>
    <n v="0"/>
    <n v="0"/>
    <n v="0"/>
    <s v="--"/>
    <s v="--"/>
    <d v="1899-12-30T00:04:18"/>
    <d v="1899-12-30T00:00:00"/>
    <n v="0"/>
    <d v="1899-12-30T00:00:00"/>
    <s v="Não"/>
    <s v="00:00.00"/>
    <n v="1"/>
    <n v="0"/>
    <d v="1899-12-30T00:04:18"/>
    <d v="1899-12-30T00:04:18"/>
    <n v="17"/>
    <n v="26"/>
  </r>
  <r>
    <x v="2"/>
    <d v="2020-01-27T19:28:14"/>
    <s v="false"/>
    <s v="Blumenau Corrida"/>
    <n v="0.99"/>
    <n v="73"/>
    <d v="1899-12-30T00:04:06"/>
    <s v="--"/>
    <s v="--"/>
    <s v="--"/>
    <s v="--"/>
    <s v="--"/>
    <d v="1899-12-30T04:07:00"/>
    <d v="1899-12-30T03:39:00"/>
    <n v="8"/>
    <n v="17"/>
    <n v="0"/>
    <n v="0"/>
    <n v="0"/>
    <n v="0"/>
    <n v="0"/>
    <n v="0"/>
    <s v="--"/>
    <s v="--"/>
    <d v="1899-12-30T00:04:06"/>
    <d v="1899-12-30T00:00:00"/>
    <n v="0"/>
    <d v="1899-12-30T00:00:00"/>
    <s v="Não"/>
    <s v="00:00.00"/>
    <n v="1"/>
    <n v="0"/>
    <d v="1899-12-30T00:04:06"/>
    <d v="1899-12-30T00:04:06"/>
    <n v="17"/>
    <n v="27"/>
  </r>
  <r>
    <x v="2"/>
    <d v="2020-01-27T19:19:49"/>
    <s v="false"/>
    <s v="Blumenau Corrida"/>
    <n v="0.63"/>
    <n v="47"/>
    <d v="1899-12-30T00:04:02"/>
    <s v="--"/>
    <s v="--"/>
    <s v="--"/>
    <s v="--"/>
    <s v="--"/>
    <d v="1899-12-30T06:26:00"/>
    <d v="1899-12-30T05:55:00"/>
    <n v="8"/>
    <n v="9"/>
    <n v="0"/>
    <n v="0"/>
    <n v="0"/>
    <n v="0"/>
    <n v="0"/>
    <n v="0"/>
    <s v="--"/>
    <s v="--"/>
    <d v="1899-12-30T00:04:02"/>
    <d v="1899-12-30T00:00:00"/>
    <n v="0"/>
    <d v="1899-12-30T00:00:00"/>
    <s v="Não"/>
    <s v="00:00.00"/>
    <n v="1"/>
    <n v="0"/>
    <d v="1899-12-30T00:04:02"/>
    <d v="1899-12-30T00:04:02"/>
    <n v="17"/>
    <n v="27"/>
  </r>
  <r>
    <x v="2"/>
    <d v="2020-01-22T19:05:33"/>
    <s v="false"/>
    <s v="Blumenau Corrida"/>
    <n v="5.32"/>
    <n v="380"/>
    <d v="1899-12-30T00:34:44"/>
    <s v="--"/>
    <s v="--"/>
    <s v="--"/>
    <s v="--"/>
    <s v="--"/>
    <d v="1899-12-30T06:32:00"/>
    <d v="1899-12-30T04:26:00"/>
    <n v="107"/>
    <n v="117"/>
    <n v="0"/>
    <n v="0"/>
    <n v="0"/>
    <n v="0"/>
    <n v="0"/>
    <n v="0"/>
    <s v="--"/>
    <s v="--"/>
    <d v="1899-12-31T10:44:00"/>
    <d v="1899-12-30T00:00:00"/>
    <n v="0"/>
    <d v="1899-12-30T00:00:00"/>
    <s v="Não"/>
    <s v="00:00.85"/>
    <n v="15"/>
    <n v="0"/>
    <d v="1899-12-30T00:34:41"/>
    <d v="1899-12-30T00:40:49"/>
    <n v="13"/>
    <n v="54"/>
  </r>
  <r>
    <x v="2"/>
    <d v="2020-01-20T19:05:50"/>
    <s v="false"/>
    <s v="Blumenau Corrida"/>
    <n v="6.96"/>
    <n v="503"/>
    <d v="1899-12-30T00:47:17"/>
    <s v="--"/>
    <s v="--"/>
    <s v="--"/>
    <s v="--"/>
    <s v="--"/>
    <d v="1899-12-30T06:47:00"/>
    <d v="1899-12-30T04:12:00"/>
    <n v="56"/>
    <n v="49"/>
    <n v="0"/>
    <n v="0"/>
    <n v="0"/>
    <n v="0"/>
    <n v="0"/>
    <n v="0"/>
    <s v="--"/>
    <s v="--"/>
    <d v="1899-12-31T23:17:00"/>
    <d v="1899-12-30T00:00:00"/>
    <n v="0"/>
    <d v="1899-12-30T00:00:00"/>
    <s v="Não"/>
    <s v="01:00.45"/>
    <n v="15"/>
    <n v="0"/>
    <d v="1899-12-30T00:45:51"/>
    <d v="1899-12-30T00:47:17"/>
    <n v="9"/>
    <n v="24"/>
  </r>
  <r>
    <x v="2"/>
    <d v="2020-01-18T07:26:32"/>
    <s v="false"/>
    <s v="Blumenau Corrida"/>
    <n v="7.71"/>
    <n v="565"/>
    <d v="1899-12-30T00:50:19"/>
    <s v="--"/>
    <s v="--"/>
    <s v="--"/>
    <s v="--"/>
    <s v="--"/>
    <d v="1899-12-30T06:31:00"/>
    <d v="1899-12-30T03:45:00"/>
    <n v="117"/>
    <n v="122"/>
    <n v="0"/>
    <n v="0"/>
    <n v="0"/>
    <n v="0"/>
    <n v="0"/>
    <n v="0"/>
    <s v="--"/>
    <s v="--"/>
    <d v="1900-01-01T02:19:00"/>
    <d v="1899-12-30T00:00:00"/>
    <n v="0"/>
    <d v="1899-12-30T00:00:00"/>
    <s v="Não"/>
    <s v="00:00.00"/>
    <n v="1"/>
    <n v="0"/>
    <d v="1899-12-30T00:50:19"/>
    <d v="1899-12-30T00:50:19"/>
    <n v="22"/>
    <n v="65"/>
  </r>
  <r>
    <x v="2"/>
    <d v="2020-01-15T19:43:08"/>
    <s v="false"/>
    <s v="Blumenau Corrida"/>
    <n v="0.41"/>
    <n v="30"/>
    <d v="1899-12-30T00:02:13"/>
    <s v="--"/>
    <s v="--"/>
    <s v="--"/>
    <s v="--"/>
    <s v="--"/>
    <d v="1899-12-30T05:24:00"/>
    <d v="1899-12-30T05:01:00"/>
    <s v="--"/>
    <s v="--"/>
    <n v="0"/>
    <n v="0"/>
    <n v="0"/>
    <n v="0"/>
    <n v="0"/>
    <n v="0"/>
    <s v="--"/>
    <s v="--"/>
    <d v="1899-12-30T00:02:13"/>
    <d v="1899-12-30T00:00:00"/>
    <n v="0"/>
    <d v="1899-12-30T00:00:00"/>
    <s v="Não"/>
    <s v="00:00.00"/>
    <n v="1"/>
    <n v="0"/>
    <d v="1899-12-30T00:02:13"/>
    <d v="1899-12-30T00:02:13"/>
    <n v="14"/>
    <n v="15"/>
  </r>
  <r>
    <x v="2"/>
    <d v="2020-01-15T19:05:45"/>
    <s v="false"/>
    <s v="Blumenau Corrida"/>
    <n v="5.66"/>
    <n v="410"/>
    <d v="1899-12-30T00:35:17"/>
    <s v="--"/>
    <s v="--"/>
    <s v="--"/>
    <s v="--"/>
    <s v="--"/>
    <d v="1899-12-30T06:14:00"/>
    <d v="1899-12-30T04:15:00"/>
    <s v="--"/>
    <s v="--"/>
    <n v="0"/>
    <n v="0"/>
    <n v="0"/>
    <n v="0"/>
    <n v="0"/>
    <n v="0"/>
    <s v="--"/>
    <s v="--"/>
    <d v="1899-12-31T11:17:00"/>
    <d v="1899-12-30T00:00:00"/>
    <n v="0"/>
    <d v="1899-12-30T00:00:00"/>
    <s v="Não"/>
    <s v="01:29.64"/>
    <n v="11"/>
    <n v="0"/>
    <d v="1899-12-30T00:32:51"/>
    <d v="1899-12-30T00:35:17"/>
    <n v="14"/>
    <n v="15"/>
  </r>
  <r>
    <x v="2"/>
    <d v="2020-01-13T19:13:36"/>
    <s v="false"/>
    <s v="Blumenau Correr"/>
    <n v="5.42"/>
    <n v="398"/>
    <d v="1899-12-30T00:30:32"/>
    <s v="--"/>
    <s v="--"/>
    <s v="--"/>
    <s v="--"/>
    <s v="--"/>
    <d v="1899-12-30T05:38:00"/>
    <d v="1899-12-30T03:36:00"/>
    <n v="41"/>
    <n v="40"/>
    <n v="0"/>
    <n v="0"/>
    <n v="0"/>
    <n v="0"/>
    <n v="0"/>
    <n v="0"/>
    <s v="--"/>
    <s v="--"/>
    <d v="1899-12-31T06:32:00"/>
    <d v="1899-12-30T00:00:00"/>
    <n v="0"/>
    <d v="1899-12-30T00:00:00"/>
    <s v="Não"/>
    <s v="00:00.00"/>
    <n v="1"/>
    <n v="0"/>
    <d v="1899-12-30T00:30:32"/>
    <d v="1899-12-30T00:32:25"/>
    <n v="15"/>
    <n v="24"/>
  </r>
  <r>
    <x v="2"/>
    <d v="2020-01-13T19:05:33"/>
    <s v="false"/>
    <s v="Blumenau Correr"/>
    <n v="0.69"/>
    <n v="51"/>
    <d v="1899-12-30T00:04:35"/>
    <s v="--"/>
    <s v="--"/>
    <s v="--"/>
    <s v="--"/>
    <s v="--"/>
    <d v="1899-12-30T06:39:00"/>
    <d v="1899-12-30T05:54:00"/>
    <n v="7"/>
    <n v="6"/>
    <n v="0"/>
    <n v="0"/>
    <n v="0"/>
    <n v="0"/>
    <n v="0"/>
    <n v="0"/>
    <s v="--"/>
    <s v="--"/>
    <d v="1899-12-30T00:04:35"/>
    <d v="1899-12-30T00:00:00"/>
    <n v="0"/>
    <d v="1899-12-30T00:00:00"/>
    <s v="Não"/>
    <s v="00:00.00"/>
    <n v="1"/>
    <n v="0"/>
    <d v="1899-12-30T00:04:35"/>
    <d v="1899-12-30T00:04:35"/>
    <n v="9"/>
    <n v="20"/>
  </r>
  <r>
    <x v="2"/>
    <d v="2020-01-11T07:30:46"/>
    <s v="false"/>
    <s v="Blumenau Correr"/>
    <n v="1.75"/>
    <n v="92"/>
    <d v="1899-12-30T00:22:10"/>
    <s v="--"/>
    <s v="--"/>
    <s v="--"/>
    <s v="--"/>
    <s v="--"/>
    <d v="1899-12-30T12:39:00"/>
    <d v="1899-12-30T08:29:00"/>
    <n v="18"/>
    <n v="15"/>
    <n v="0"/>
    <n v="0"/>
    <n v="0"/>
    <n v="0"/>
    <n v="0"/>
    <n v="0"/>
    <s v="--"/>
    <s v="--"/>
    <d v="1899-12-30T22:10:00"/>
    <d v="1899-12-30T00:00:00"/>
    <n v="0"/>
    <d v="1899-12-30T00:00:00"/>
    <s v="Não"/>
    <s v="00:00.00"/>
    <n v="1"/>
    <n v="0"/>
    <d v="1899-12-30T00:22:10"/>
    <d v="1899-12-30T00:22:10"/>
    <n v="14"/>
    <n v="28"/>
  </r>
  <r>
    <x v="2"/>
    <d v="2020-01-11T06:50:57"/>
    <s v="false"/>
    <s v="Blumenau Correr"/>
    <n v="4.8099999999999996"/>
    <n v="343"/>
    <d v="1899-12-30T00:38:59"/>
    <s v="--"/>
    <s v="--"/>
    <s v="--"/>
    <s v="--"/>
    <s v="--"/>
    <d v="1899-12-30T08:07:00"/>
    <d v="1899-12-30T04:22:00"/>
    <n v="6"/>
    <n v="5"/>
    <n v="0"/>
    <n v="0"/>
    <n v="0"/>
    <n v="0"/>
    <n v="0"/>
    <n v="0"/>
    <s v="--"/>
    <s v="--"/>
    <d v="1899-12-31T14:59:00"/>
    <d v="1899-12-30T00:00:00"/>
    <n v="0"/>
    <d v="1899-12-30T00:00:00"/>
    <s v="Não"/>
    <s v="00:02.29"/>
    <n v="16"/>
    <n v="0"/>
    <d v="1899-12-30T00:35:38"/>
    <d v="1899-12-30T00:38:59"/>
    <n v="14"/>
    <n v="18"/>
  </r>
  <r>
    <x v="2"/>
    <d v="2020-01-11T06:41:08"/>
    <s v="false"/>
    <s v="Blumenau Correr"/>
    <n v="1.42"/>
    <n v="104"/>
    <d v="1899-12-30T00:08:19"/>
    <s v="--"/>
    <s v="--"/>
    <s v="--"/>
    <s v="--"/>
    <s v="--"/>
    <d v="1899-12-30T05:52:00"/>
    <d v="1899-12-30T04:03:00"/>
    <n v="8"/>
    <n v="19"/>
    <n v="0"/>
    <n v="0"/>
    <n v="0"/>
    <n v="0"/>
    <n v="0"/>
    <n v="0"/>
    <s v="--"/>
    <s v="--"/>
    <d v="1899-12-30T00:08:19"/>
    <d v="1899-12-30T00:00:00"/>
    <n v="0"/>
    <d v="1899-12-30T00:00:00"/>
    <s v="Não"/>
    <s v="00:00.00"/>
    <n v="1"/>
    <n v="0"/>
    <d v="1899-12-30T00:08:19"/>
    <d v="1899-12-30T00:08:19"/>
    <n v="14"/>
    <n v="28"/>
  </r>
  <r>
    <x v="2"/>
    <d v="2020-01-06T19:17:39"/>
    <s v="false"/>
    <s v="Blumenau Correr"/>
    <n v="4.04"/>
    <n v="287"/>
    <d v="1899-12-30T00:27:06"/>
    <s v="--"/>
    <s v="--"/>
    <s v="--"/>
    <s v="--"/>
    <s v="--"/>
    <d v="1899-12-30T06:43:00"/>
    <d v="1899-12-30T03:46:00"/>
    <n v="43"/>
    <n v="36"/>
    <n v="0"/>
    <n v="0"/>
    <n v="0"/>
    <n v="0"/>
    <n v="0"/>
    <n v="0"/>
    <s v="--"/>
    <s v="--"/>
    <d v="1899-12-31T03:06:00"/>
    <d v="1899-12-30T00:00:00"/>
    <n v="0"/>
    <d v="1899-12-30T00:00:00"/>
    <s v="Não"/>
    <s v="00:53.56"/>
    <n v="23"/>
    <n v="0"/>
    <d v="1899-12-30T00:26:27"/>
    <d v="1899-12-30T00:27:06"/>
    <n v="17"/>
    <n v="26"/>
  </r>
  <r>
    <x v="2"/>
    <d v="2020-01-06T19:11:51"/>
    <s v="false"/>
    <s v="Blumenau Correr"/>
    <n v="0.63"/>
    <n v="45"/>
    <d v="1899-12-30T00:03:45"/>
    <s v="--"/>
    <s v="--"/>
    <s v="--"/>
    <s v="--"/>
    <s v="--"/>
    <d v="1899-12-30T05:59:00"/>
    <d v="1899-12-30T05:10:00"/>
    <n v="2"/>
    <s v="--"/>
    <n v="0"/>
    <n v="0"/>
    <n v="0"/>
    <n v="0"/>
    <n v="0"/>
    <n v="0"/>
    <s v="--"/>
    <s v="--"/>
    <d v="1899-12-30T00:03:45"/>
    <d v="1899-12-30T00:00:00"/>
    <n v="0"/>
    <d v="1899-12-30T00:00:00"/>
    <s v="Não"/>
    <s v="00:00.00"/>
    <n v="1"/>
    <n v="0"/>
    <d v="1899-12-30T00:03:45"/>
    <d v="1899-12-30T00:03:45"/>
    <n v="17"/>
    <n v="21"/>
  </r>
  <r>
    <x v="2"/>
    <d v="2019-12-02T18:16:17"/>
    <s v="false"/>
    <s v="Blumenau Correr"/>
    <n v="8"/>
    <n v="567"/>
    <d v="1899-12-30T00:48:43"/>
    <s v="--"/>
    <s v="--"/>
    <s v="--"/>
    <s v="--"/>
    <s v="--"/>
    <d v="1899-12-30T06:05:00"/>
    <d v="1899-12-30T04:38:00"/>
    <n v="26"/>
    <n v="30"/>
    <n v="0"/>
    <n v="0"/>
    <n v="0"/>
    <n v="0"/>
    <n v="0"/>
    <n v="0"/>
    <s v="--"/>
    <s v="--"/>
    <d v="1900-01-01T00:43:00"/>
    <d v="1899-12-30T00:00:00"/>
    <n v="0"/>
    <d v="1899-12-30T00:00:00"/>
    <s v="Não"/>
    <s v="02:02.08"/>
    <n v="11"/>
    <n v="0"/>
    <d v="1899-12-30T00:48:41"/>
    <d v="1899-12-30T00:48:43"/>
    <n v="12"/>
    <n v="29"/>
  </r>
  <r>
    <x v="2"/>
    <d v="2019-11-20T20:08:06"/>
    <s v="false"/>
    <s v="Blumenau Correr"/>
    <n v="4"/>
    <n v="292"/>
    <d v="1899-12-30T00:22:08"/>
    <s v="--"/>
    <s v="--"/>
    <s v="--"/>
    <s v="--"/>
    <s v="--"/>
    <d v="1899-12-30T05:32:00"/>
    <d v="1899-12-30T05:08:00"/>
    <n v="44"/>
    <n v="42"/>
    <n v="0"/>
    <n v="0"/>
    <n v="0"/>
    <n v="0"/>
    <n v="0"/>
    <n v="0"/>
    <s v="--"/>
    <s v="--"/>
    <d v="1899-12-30T22:08:00"/>
    <d v="1899-12-30T00:00:00"/>
    <n v="0"/>
    <d v="1899-12-30T00:00:00"/>
    <s v="Não"/>
    <s v="00:00.00"/>
    <n v="1"/>
    <n v="0"/>
    <d v="1899-12-30T00:22:08"/>
    <d v="1899-12-30T00:22:08"/>
    <n v="17"/>
    <n v="27"/>
  </r>
  <r>
    <x v="2"/>
    <d v="2019-11-13T20:11:10"/>
    <s v="false"/>
    <s v="Blumenau Correr"/>
    <n v="5"/>
    <n v="360"/>
    <d v="1899-12-30T00:26:25"/>
    <s v="--"/>
    <s v="--"/>
    <s v="--"/>
    <s v="--"/>
    <s v="--"/>
    <d v="1899-12-30T05:17:00"/>
    <d v="1899-12-30T04:42:00"/>
    <n v="51"/>
    <n v="44"/>
    <n v="0"/>
    <n v="0"/>
    <n v="0"/>
    <n v="0"/>
    <n v="0"/>
    <n v="0"/>
    <s v="--"/>
    <s v="--"/>
    <d v="1899-12-31T02:25:00"/>
    <d v="1899-12-30T00:00:00"/>
    <n v="0"/>
    <d v="1899-12-30T00:00:00"/>
    <s v="Não"/>
    <s v="00:00.77"/>
    <n v="6"/>
    <n v="0"/>
    <d v="1899-12-30T00:26:24"/>
    <d v="1899-12-30T00:26:25"/>
    <n v="17"/>
    <n v="26"/>
  </r>
  <r>
    <x v="2"/>
    <d v="2019-11-12T22:06:05"/>
    <s v="false"/>
    <s v="Correr"/>
    <n v="0"/>
    <s v="--"/>
    <d v="1899-12-30T00:56:46"/>
    <s v="--"/>
    <s v="--"/>
    <s v="--"/>
    <s v="--"/>
    <s v="--"/>
    <s v="--"/>
    <s v="--"/>
    <s v="--"/>
    <s v="--"/>
    <n v="0"/>
    <n v="0"/>
    <n v="0"/>
    <n v="0"/>
    <n v="0"/>
    <n v="0"/>
    <s v="--"/>
    <s v="--"/>
    <d v="1900-01-01T08:46:00"/>
    <d v="1899-12-30T00:00:00"/>
    <n v="0"/>
    <d v="1899-12-30T00:00:00"/>
    <s v="Não"/>
    <s v="00:00.00"/>
    <n v="1"/>
    <n v="0"/>
    <d v="1899-12-30T00:00:00"/>
    <d v="1899-12-30T00:56:46"/>
    <s v="--"/>
    <s v="--"/>
  </r>
  <r>
    <x v="2"/>
    <d v="2019-11-11T20:13:32"/>
    <s v="false"/>
    <s v="Blumenau Correr"/>
    <n v="6"/>
    <n v="437"/>
    <d v="1899-12-30T00:34:36"/>
    <s v="--"/>
    <s v="--"/>
    <s v="--"/>
    <s v="--"/>
    <s v="--"/>
    <d v="1899-12-30T05:46:00"/>
    <d v="1899-12-30T04:55:00"/>
    <n v="70"/>
    <n v="67"/>
    <n v="0"/>
    <n v="0"/>
    <n v="0"/>
    <n v="0"/>
    <n v="0"/>
    <n v="0"/>
    <s v="--"/>
    <s v="--"/>
    <d v="1899-12-31T10:36:00"/>
    <d v="1899-12-30T00:00:00"/>
    <n v="0"/>
    <d v="1899-12-30T00:00:00"/>
    <s v="Não"/>
    <s v="00:00.81"/>
    <n v="8"/>
    <n v="0"/>
    <d v="1899-12-30T00:34:36"/>
    <d v="1899-12-30T00:34:36"/>
    <n v="15"/>
    <n v="27"/>
  </r>
  <r>
    <x v="2"/>
    <d v="2019-11-08T19:33:01"/>
    <s v="false"/>
    <s v="Blumenau Corrida"/>
    <n v="0.97"/>
    <n v="65"/>
    <d v="1899-12-30T00:04:56"/>
    <s v="--"/>
    <s v="--"/>
    <s v="--"/>
    <n v="151"/>
    <n v="173"/>
    <d v="1899-12-30T05:06:00"/>
    <d v="1899-12-30T02:24:00"/>
    <s v="--"/>
    <s v="--"/>
    <n v="1.3"/>
    <n v="0"/>
    <n v="0"/>
    <n v="0"/>
    <n v="0"/>
    <n v="0"/>
    <s v="--"/>
    <s v="--"/>
    <d v="1899-12-30T00:04:56"/>
    <d v="1899-12-30T00:00:00"/>
    <n v="0"/>
    <d v="1899-12-30T00:00:00"/>
    <s v="Não"/>
    <s v="00:00.00"/>
    <n v="1"/>
    <n v="0"/>
    <d v="1899-12-30T00:04:30"/>
    <d v="1899-12-30T00:05:02"/>
    <n v="11"/>
    <n v="13"/>
  </r>
  <r>
    <x v="2"/>
    <d v="2019-11-08T19:16:29"/>
    <s v="false"/>
    <s v="Blumenau Corrida"/>
    <n v="2.31"/>
    <n v="172"/>
    <d v="1899-12-30T00:11:05"/>
    <s v="--"/>
    <s v="--"/>
    <s v="--"/>
    <n v="169"/>
    <n v="177"/>
    <d v="1899-12-30T04:47:00"/>
    <d v="1899-12-30T03:57:00"/>
    <s v="--"/>
    <s v="--"/>
    <n v="1.24"/>
    <n v="0"/>
    <n v="0"/>
    <n v="0"/>
    <n v="0"/>
    <n v="0"/>
    <s v="--"/>
    <s v="--"/>
    <d v="1899-12-30T11:05:00"/>
    <d v="1899-12-30T00:00:00"/>
    <n v="0"/>
    <d v="1899-12-30T00:00:00"/>
    <s v="Não"/>
    <s v="01:41.76"/>
    <n v="3"/>
    <n v="0"/>
    <d v="1899-12-30T00:10:58"/>
    <d v="1899-12-30T00:14:25"/>
    <n v="11"/>
    <n v="13"/>
  </r>
  <r>
    <x v="2"/>
    <d v="2019-11-08T19:06:10"/>
    <s v="false"/>
    <s v="Blumenau Corrida"/>
    <n v="1.02"/>
    <n v="73"/>
    <d v="1899-12-30T00:05:51"/>
    <s v="--"/>
    <s v="--"/>
    <s v="--"/>
    <n v="159"/>
    <n v="164"/>
    <d v="1899-12-30T05:45:00"/>
    <d v="1899-12-30T05:31:00"/>
    <s v="--"/>
    <s v="--"/>
    <n v="1.0900000000000001"/>
    <n v="0"/>
    <n v="0"/>
    <n v="0"/>
    <n v="0"/>
    <n v="0"/>
    <s v="--"/>
    <s v="--"/>
    <d v="1899-12-30T00:05:51"/>
    <d v="1899-12-30T00:00:00"/>
    <n v="0"/>
    <d v="1899-12-30T00:00:00"/>
    <s v="Não"/>
    <s v="00:06.54"/>
    <n v="2"/>
    <n v="0"/>
    <d v="1899-12-30T00:05:50"/>
    <d v="1899-12-30T00:05:51"/>
    <n v="10"/>
    <n v="13"/>
  </r>
  <r>
    <x v="2"/>
    <d v="2019-11-06T18:03:39"/>
    <s v="false"/>
    <s v="Blumenau Corrida"/>
    <n v="2.34"/>
    <n v="79"/>
    <d v="1899-12-30T00:11:26"/>
    <s v="--"/>
    <s v="--"/>
    <s v="--"/>
    <n v="173"/>
    <n v="185"/>
    <d v="1899-12-30T04:53:00"/>
    <d v="1899-12-30T02:49:00"/>
    <s v="--"/>
    <s v="--"/>
    <n v="1.19"/>
    <n v="0"/>
    <n v="0"/>
    <n v="0"/>
    <n v="0"/>
    <n v="0"/>
    <s v="--"/>
    <s v="--"/>
    <d v="1899-12-30T11:26:00"/>
    <d v="1899-12-30T00:00:00"/>
    <n v="0"/>
    <d v="1899-12-30T00:00:00"/>
    <s v="Não"/>
    <s v="01:43.26"/>
    <n v="3"/>
    <n v="0"/>
    <d v="1899-12-30T00:10:41"/>
    <d v="1899-12-30T00:12:00"/>
    <n v="11"/>
    <n v="13"/>
  </r>
  <r>
    <x v="2"/>
    <d v="2019-11-06T18:01:54"/>
    <s v="false"/>
    <s v="Blumenau Corrida"/>
    <n v="0.16"/>
    <s v="--"/>
    <d v="1899-12-30T00:00:52"/>
    <s v="--"/>
    <s v="--"/>
    <s v="--"/>
    <n v="118"/>
    <n v="118"/>
    <d v="1899-12-30T05:20:00"/>
    <s v="--"/>
    <s v="--"/>
    <s v="--"/>
    <n v="1.59"/>
    <n v="0"/>
    <n v="0"/>
    <n v="0"/>
    <n v="0"/>
    <n v="0"/>
    <s v="--"/>
    <s v="--"/>
    <d v="1899-12-30T00:00:52"/>
    <d v="1899-12-30T00:00:00"/>
    <n v="0"/>
    <d v="1899-12-30T00:00:00"/>
    <s v="Não"/>
    <s v="00:00.00"/>
    <n v="1"/>
    <n v="0"/>
    <d v="1899-12-30T00:00:00"/>
    <d v="1899-12-30T00:00:57"/>
    <n v="11"/>
    <n v="13"/>
  </r>
  <r>
    <x v="2"/>
    <d v="2019-11-06T17:53:13"/>
    <s v="false"/>
    <s v="Blumenau Corrida"/>
    <n v="0.4"/>
    <n v="14"/>
    <d v="1899-12-30T00:02:19"/>
    <s v="--"/>
    <s v="--"/>
    <s v="--"/>
    <n v="157"/>
    <n v="171"/>
    <d v="1899-12-30T05:50:00"/>
    <d v="1899-12-30T04:59:00"/>
    <s v="--"/>
    <s v="--"/>
    <n v="1.0900000000000001"/>
    <n v="0"/>
    <n v="0"/>
    <n v="0"/>
    <n v="0"/>
    <n v="0"/>
    <s v="--"/>
    <s v="--"/>
    <d v="1899-12-30T00:02:19"/>
    <d v="1899-12-30T00:00:00"/>
    <n v="0"/>
    <d v="1899-12-30T00:00:00"/>
    <s v="Não"/>
    <s v="00:00.00"/>
    <n v="1"/>
    <n v="0"/>
    <d v="1899-12-30T00:02:19"/>
    <d v="1899-12-30T00:02:19"/>
    <n v="11"/>
    <n v="13"/>
  </r>
  <r>
    <x v="2"/>
    <d v="2019-11-05T17:47:59"/>
    <s v="false"/>
    <s v="Blumenau Corrida"/>
    <n v="5.09"/>
    <n v="186"/>
    <d v="1899-12-30T00:30:03"/>
    <s v="--"/>
    <s v="--"/>
    <s v="--"/>
    <n v="164"/>
    <n v="171"/>
    <d v="1899-12-30T05:54:00"/>
    <d v="1899-12-30T04:31:00"/>
    <n v="1"/>
    <n v="1"/>
    <n v="1.03"/>
    <n v="0"/>
    <n v="0"/>
    <n v="0"/>
    <n v="0"/>
    <n v="0"/>
    <s v="--"/>
    <s v="--"/>
    <d v="1899-12-31T06:03:00"/>
    <d v="1899-12-30T00:00:00"/>
    <n v="0"/>
    <d v="1899-12-30T00:00:00"/>
    <s v="Não"/>
    <s v="00:34.37"/>
    <n v="6"/>
    <n v="0"/>
    <d v="1899-12-30T00:30:02"/>
    <d v="1899-12-30T00:30:03"/>
    <n v="10"/>
    <n v="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x v="0"/>
    <d v="2021-07-19T06:49:42"/>
    <s v="false"/>
    <s v="Força"/>
    <n v="0"/>
    <n v="170"/>
    <d v="1899-12-30T00:36:12"/>
    <n v="107"/>
    <n v="152"/>
    <n v="1.1000000000000001"/>
    <s v="--"/>
    <s v="--"/>
    <s v="--"/>
    <s v="--"/>
    <s v="--"/>
    <s v="--"/>
    <n v="0"/>
    <n v="0"/>
    <n v="0"/>
    <n v="0"/>
    <n v="0"/>
    <n v="0"/>
    <n v="166"/>
    <n v="20"/>
    <d v="1899-12-31T12:12:00"/>
    <d v="1899-12-30T00:00:00"/>
    <n v="0"/>
    <d v="1899-12-30T00:00:00"/>
    <s v="Não"/>
    <s v="36:12.03"/>
    <n v="1"/>
    <n v="0"/>
    <d v="1899-12-30T00:18:51"/>
    <d v="1899-12-30T00:36:12"/>
    <s v="--"/>
    <s v="--"/>
  </r>
  <r>
    <x v="1"/>
    <d v="2021-07-18T08:38:18"/>
    <s v="false"/>
    <s v="Blumenau Ciclismo"/>
    <n v="18.04"/>
    <n v="636"/>
    <d v="1899-12-30T02:03:44"/>
    <n v="116"/>
    <n v="163"/>
    <n v="2.2000000000000002"/>
    <s v="--"/>
    <s v="--"/>
    <n v="8.6999999999999993"/>
    <n v="24.6"/>
    <n v="142"/>
    <n v="145"/>
    <n v="0"/>
    <n v="0"/>
    <n v="0"/>
    <n v="0"/>
    <n v="0"/>
    <n v="0"/>
    <s v="--"/>
    <s v="--"/>
    <d v="1899-12-30T02:03:44"/>
    <d v="1899-12-30T00:00:00"/>
    <n v="0"/>
    <d v="1899-12-30T00:00:00"/>
    <s v="Não"/>
    <s v="12:25.05"/>
    <n v="4"/>
    <n v="0"/>
    <d v="1899-12-30T01:29:55"/>
    <d v="1899-12-30T02:03:44"/>
    <n v="3"/>
    <n v="41"/>
  </r>
  <r>
    <x v="2"/>
    <d v="2021-07-17T07:12:56"/>
    <s v="false"/>
    <s v="Pomerode Corrida"/>
    <n v="6.05"/>
    <n v="602"/>
    <d v="1899-12-30T00:49:39"/>
    <n v="176"/>
    <n v="218"/>
    <n v="4.5999999999999996"/>
    <n v="113"/>
    <n v="243"/>
    <d v="1899-12-30T08:13:00"/>
    <d v="1899-12-30T04:08:00"/>
    <n v="293"/>
    <n v="294"/>
    <n v="1.01"/>
    <n v="0"/>
    <n v="0"/>
    <n v="0"/>
    <n v="0"/>
    <n v="0"/>
    <s v="--"/>
    <s v="--"/>
    <d v="1900-01-01T01:39:00"/>
    <d v="1899-12-30T00:00:00"/>
    <n v="0"/>
    <d v="1899-12-30T00:00:00"/>
    <s v="Não"/>
    <s v="00:30.41"/>
    <n v="8"/>
    <n v="0"/>
    <d v="1899-12-30T00:42:10"/>
    <d v="1899-12-30T00:49:39"/>
    <n v="84"/>
    <n v="380"/>
  </r>
  <r>
    <x v="0"/>
    <d v="2021-07-13T06:56:10"/>
    <s v="false"/>
    <s v="Força"/>
    <n v="0"/>
    <n v="219"/>
    <d v="1899-12-30T00:37:39"/>
    <n v="117"/>
    <n v="160"/>
    <n v="1.7"/>
    <s v="--"/>
    <s v="--"/>
    <s v="--"/>
    <s v="--"/>
    <s v="--"/>
    <s v="--"/>
    <n v="0"/>
    <n v="0"/>
    <n v="0"/>
    <n v="0"/>
    <n v="0"/>
    <n v="0"/>
    <n v="159"/>
    <n v="20"/>
    <d v="1899-12-31T13:39:00"/>
    <d v="1899-12-30T00:00:00"/>
    <n v="0"/>
    <d v="1899-12-30T00:00:00"/>
    <s v="Não"/>
    <s v="37:38.93"/>
    <n v="1"/>
    <n v="0"/>
    <d v="1899-12-30T00:18:40"/>
    <d v="1899-12-30T00:37:39"/>
    <s v="--"/>
    <s v="--"/>
  </r>
  <r>
    <x v="2"/>
    <d v="2021-07-12T06:40:44"/>
    <s v="false"/>
    <s v="Blumenau Corrida"/>
    <n v="5.91"/>
    <n v="396"/>
    <d v="1899-12-30T00:40:01"/>
    <n v="153"/>
    <n v="189"/>
    <n v="3.2"/>
    <n v="137"/>
    <n v="181"/>
    <d v="1899-12-30T06:46:00"/>
    <d v="1899-12-30T03:52:00"/>
    <n v="36"/>
    <n v="36"/>
    <n v="1.06"/>
    <n v="0"/>
    <n v="0"/>
    <n v="0"/>
    <n v="0"/>
    <n v="0"/>
    <s v="--"/>
    <s v="--"/>
    <d v="1899-12-31T16:01:00"/>
    <d v="1899-12-30T00:00:00"/>
    <n v="0"/>
    <d v="1899-12-30T00:00:00"/>
    <s v="Não"/>
    <s v="00:01.43"/>
    <n v="8"/>
    <n v="0"/>
    <d v="1899-12-30T00:39:11"/>
    <d v="1899-12-30T00:40:47"/>
    <n v="11"/>
    <n v="21"/>
  </r>
  <r>
    <x v="2"/>
    <d v="2021-07-10T07:48:19"/>
    <s v="false"/>
    <s v="Blumenau Corrida"/>
    <n v="16.010000000000002"/>
    <n v="1233"/>
    <d v="1899-12-30T01:44:30"/>
    <n v="174"/>
    <n v="206"/>
    <n v="5"/>
    <n v="150"/>
    <n v="247"/>
    <d v="1899-12-30T06:32:00"/>
    <d v="1899-12-30T05:25:00"/>
    <n v="305"/>
    <n v="307"/>
    <n v="1.02"/>
    <n v="0"/>
    <n v="0"/>
    <n v="0"/>
    <n v="0"/>
    <n v="0"/>
    <s v="--"/>
    <s v="--"/>
    <d v="1899-12-30T01:44:30"/>
    <d v="1899-12-30T00:00:00"/>
    <n v="0"/>
    <d v="1899-12-30T00:00:00"/>
    <s v="Não"/>
    <s v="00:03.65"/>
    <n v="17"/>
    <n v="0"/>
    <d v="1899-12-30T01:44:25"/>
    <d v="1899-12-30T01:44:30"/>
    <n v="17"/>
    <n v="125"/>
  </r>
  <r>
    <x v="0"/>
    <d v="2021-07-09T07:01:28"/>
    <s v="false"/>
    <s v="Força"/>
    <n v="0"/>
    <n v="333"/>
    <d v="1899-12-30T00:53:49"/>
    <n v="125"/>
    <n v="168"/>
    <n v="2.2000000000000002"/>
    <s v="--"/>
    <s v="--"/>
    <s v="--"/>
    <s v="--"/>
    <s v="--"/>
    <s v="--"/>
    <n v="0"/>
    <n v="0"/>
    <n v="0"/>
    <n v="0"/>
    <n v="0"/>
    <n v="0"/>
    <n v="265"/>
    <n v="24"/>
    <d v="1900-01-01T05:49:00"/>
    <d v="1899-12-30T00:00:00"/>
    <n v="0"/>
    <d v="1899-12-30T00:00:00"/>
    <s v="Não"/>
    <s v="53:48.75"/>
    <n v="1"/>
    <n v="0"/>
    <d v="1899-12-30T00:29:18"/>
    <d v="1899-12-30T00:53:49"/>
    <s v="--"/>
    <s v="--"/>
  </r>
  <r>
    <x v="2"/>
    <d v="2021-07-08T17:49:32"/>
    <s v="false"/>
    <s v="Blumenau - 10k - 90 a 95%"/>
    <n v="10.01"/>
    <n v="744"/>
    <d v="1899-12-30T01:01:52"/>
    <n v="172"/>
    <n v="188"/>
    <n v="5"/>
    <n v="160"/>
    <n v="168"/>
    <d v="1899-12-30T06:11:00"/>
    <d v="1899-12-30T05:04:00"/>
    <n v="64"/>
    <n v="78"/>
    <n v="1.01"/>
    <n v="0"/>
    <n v="0"/>
    <n v="0"/>
    <n v="0"/>
    <n v="0"/>
    <s v="--"/>
    <s v="--"/>
    <d v="1899-12-30T01:01:52"/>
    <d v="1899-12-30T00:00:00"/>
    <n v="0"/>
    <d v="1899-12-30T00:00:00"/>
    <s v="Não"/>
    <s v="00:05.04"/>
    <n v="11"/>
    <n v="0"/>
    <d v="1899-12-30T01:01:43"/>
    <d v="1899-12-30T01:01:52"/>
    <n v="9"/>
    <n v="49"/>
  </r>
  <r>
    <x v="2"/>
    <d v="2021-07-03T08:08:16"/>
    <s v="false"/>
    <s v="Blumenau Corrida"/>
    <n v="14.12"/>
    <n v="1047"/>
    <d v="1899-12-30T01:30:02"/>
    <n v="170"/>
    <n v="201"/>
    <n v="5"/>
    <n v="153"/>
    <n v="244"/>
    <d v="1899-12-30T06:23:00"/>
    <d v="1899-12-30T05:32:00"/>
    <n v="175"/>
    <n v="177"/>
    <n v="1.03"/>
    <n v="0"/>
    <n v="0"/>
    <n v="0"/>
    <n v="0"/>
    <n v="0"/>
    <s v="--"/>
    <s v="--"/>
    <d v="1899-12-30T01:30:02"/>
    <d v="1899-12-30T00:00:00"/>
    <n v="0"/>
    <d v="1899-12-30T00:00:00"/>
    <s v="Não"/>
    <s v="00:36.10"/>
    <n v="15"/>
    <n v="0"/>
    <d v="1899-12-30T01:29:59"/>
    <d v="1899-12-30T01:30:02"/>
    <n v="15"/>
    <n v="64"/>
  </r>
  <r>
    <x v="0"/>
    <d v="2021-07-02T07:02:14"/>
    <s v="false"/>
    <s v="Força"/>
    <n v="0"/>
    <n v="280"/>
    <d v="1899-12-30T00:49:59"/>
    <n v="119"/>
    <n v="168"/>
    <n v="2.1"/>
    <s v="--"/>
    <s v="--"/>
    <s v="--"/>
    <s v="--"/>
    <s v="--"/>
    <s v="--"/>
    <n v="0"/>
    <n v="0"/>
    <n v="0"/>
    <n v="0"/>
    <n v="0"/>
    <n v="0"/>
    <n v="236"/>
    <n v="24"/>
    <d v="1900-01-01T01:59:00"/>
    <d v="1899-12-30T00:00:00"/>
    <n v="0"/>
    <d v="1899-12-30T00:00:00"/>
    <s v="Não"/>
    <s v="49:58.81"/>
    <n v="1"/>
    <n v="0"/>
    <d v="1899-12-30T00:26:15"/>
    <d v="1899-12-30T00:49:59"/>
    <s v="--"/>
    <s v="--"/>
  </r>
  <r>
    <x v="3"/>
    <d v="2021-07-01T18:17:01"/>
    <s v="false"/>
    <s v="8k - 95 a 100%"/>
    <n v="8.01"/>
    <n v="610"/>
    <d v="1899-12-30T00:51:57"/>
    <n v="165"/>
    <n v="176"/>
    <n v="4.3"/>
    <n v="157"/>
    <n v="180"/>
    <d v="1899-12-30T06:29:00"/>
    <d v="1899-12-30T05:31:00"/>
    <s v="--"/>
    <s v="--"/>
    <n v="0.98"/>
    <n v="0"/>
    <n v="0"/>
    <n v="0"/>
    <n v="0"/>
    <n v="0"/>
    <s v="--"/>
    <s v="--"/>
    <d v="1900-01-01T03:57:00"/>
    <d v="1899-12-30T00:00:00"/>
    <n v="0"/>
    <d v="1899-12-30T00:00:00"/>
    <s v="Não"/>
    <s v="00:02.87"/>
    <n v="9"/>
    <n v="0"/>
    <d v="1899-12-30T00:51:31"/>
    <d v="1899-12-30T00:51:57"/>
    <s v="--"/>
    <s v="--"/>
  </r>
  <r>
    <x v="0"/>
    <d v="2021-06-30T07:01:20"/>
    <s v="false"/>
    <s v="Força"/>
    <n v="0"/>
    <n v="313"/>
    <d v="1899-12-30T00:51:16"/>
    <n v="124"/>
    <n v="142"/>
    <n v="2"/>
    <s v="--"/>
    <s v="--"/>
    <s v="--"/>
    <s v="--"/>
    <s v="--"/>
    <s v="--"/>
    <n v="0"/>
    <n v="0"/>
    <n v="0"/>
    <n v="0"/>
    <n v="0"/>
    <n v="0"/>
    <n v="173"/>
    <n v="24"/>
    <d v="1900-01-01T03:16:00"/>
    <d v="1899-12-30T00:00:00"/>
    <n v="0"/>
    <d v="1899-12-30T00:00:00"/>
    <s v="Não"/>
    <s v="51:15.65"/>
    <n v="1"/>
    <n v="0"/>
    <d v="1899-12-30T00:26:38"/>
    <d v="1899-12-30T00:51:16"/>
    <s v="--"/>
    <s v="--"/>
  </r>
  <r>
    <x v="3"/>
    <d v="2021-06-29T17:25:46"/>
    <s v="false"/>
    <s v="6 x 1km com intervalo 3min parad"/>
    <n v="8.1"/>
    <n v="615"/>
    <d v="1899-12-30T01:04:46"/>
    <n v="151"/>
    <n v="183"/>
    <n v="3.5"/>
    <n v="123"/>
    <n v="210"/>
    <d v="1899-12-30T08:00:00"/>
    <d v="1899-12-30T04:54:00"/>
    <s v="--"/>
    <s v="--"/>
    <n v="0.84"/>
    <n v="0"/>
    <n v="0"/>
    <n v="0"/>
    <n v="0"/>
    <n v="0"/>
    <s v="--"/>
    <s v="--"/>
    <d v="1899-12-30T01:04:46"/>
    <d v="1899-12-30T00:00:00"/>
    <n v="0"/>
    <d v="1899-12-30T00:00:00"/>
    <s v="Não"/>
    <s v="00:02.70"/>
    <n v="15"/>
    <n v="0"/>
    <d v="1899-12-30T00:47:13"/>
    <d v="1899-12-30T01:04:46"/>
    <s v="--"/>
    <s v="--"/>
  </r>
  <r>
    <x v="0"/>
    <d v="2021-06-28T07:02:15"/>
    <s v="false"/>
    <s v="Força"/>
    <n v="0"/>
    <n v="313"/>
    <d v="1899-12-30T00:49:20"/>
    <n v="124"/>
    <n v="174"/>
    <n v="2.4"/>
    <s v="--"/>
    <s v="--"/>
    <s v="--"/>
    <s v="--"/>
    <s v="--"/>
    <s v="--"/>
    <n v="0"/>
    <n v="0"/>
    <n v="0"/>
    <n v="0"/>
    <n v="0"/>
    <n v="0"/>
    <n v="266"/>
    <n v="24"/>
    <d v="1900-01-01T01:20:00"/>
    <d v="1899-12-30T00:00:00"/>
    <n v="0"/>
    <d v="1899-12-30T00:00:00"/>
    <s v="Não"/>
    <s v="49:19.86"/>
    <n v="1"/>
    <n v="0"/>
    <d v="1899-12-30T00:25:07"/>
    <d v="1899-12-30T00:49:20"/>
    <s v="--"/>
    <s v="--"/>
  </r>
  <r>
    <x v="2"/>
    <d v="2021-06-27T09:01:30"/>
    <s v="false"/>
    <s v="Blumenau Corrida"/>
    <n v="13.95"/>
    <n v="1038"/>
    <d v="1899-12-30T01:30:02"/>
    <n v="171"/>
    <n v="201"/>
    <n v="5"/>
    <n v="150"/>
    <n v="241"/>
    <d v="1899-12-30T06:27:00"/>
    <d v="1899-12-30T05:37:00"/>
    <n v="169"/>
    <n v="178"/>
    <n v="1.03"/>
    <n v="0"/>
    <n v="0"/>
    <n v="0"/>
    <n v="0"/>
    <n v="0"/>
    <s v="--"/>
    <s v="--"/>
    <d v="1899-12-30T01:30:02"/>
    <d v="1899-12-30T00:00:00"/>
    <n v="0"/>
    <d v="1899-12-30T00:00:00"/>
    <s v="Não"/>
    <s v="05:45.15"/>
    <n v="14"/>
    <n v="0"/>
    <d v="1899-12-30T01:29:51"/>
    <d v="1899-12-30T01:30:02"/>
    <n v="10"/>
    <n v="57"/>
  </r>
  <r>
    <x v="0"/>
    <d v="2021-06-25T07:05:29"/>
    <s v="false"/>
    <s v="Força"/>
    <n v="0"/>
    <n v="319"/>
    <d v="1899-12-30T00:52:39"/>
    <n v="124"/>
    <n v="148"/>
    <n v="2"/>
    <s v="--"/>
    <s v="--"/>
    <s v="--"/>
    <s v="--"/>
    <s v="--"/>
    <s v="--"/>
    <n v="0"/>
    <n v="0"/>
    <n v="0"/>
    <n v="0"/>
    <n v="0"/>
    <n v="0"/>
    <n v="157"/>
    <n v="24"/>
    <d v="1900-01-01T04:39:00"/>
    <d v="1899-12-30T00:00:00"/>
    <n v="0"/>
    <d v="1899-12-30T00:00:00"/>
    <s v="Não"/>
    <s v="52:38.80"/>
    <n v="1"/>
    <n v="0"/>
    <d v="1899-12-30T00:25:11"/>
    <d v="1899-12-30T00:52:39"/>
    <s v="--"/>
    <s v="--"/>
  </r>
  <r>
    <x v="3"/>
    <d v="2021-06-24T18:03:30"/>
    <s v="false"/>
    <s v="10k - 90 a 95%"/>
    <n v="10.01"/>
    <n v="704"/>
    <d v="1899-12-30T00:59:41"/>
    <n v="167"/>
    <n v="185"/>
    <n v="4.9000000000000004"/>
    <n v="160"/>
    <n v="176"/>
    <d v="1899-12-30T05:58:00"/>
    <d v="1899-12-30T05:12:00"/>
    <s v="--"/>
    <s v="--"/>
    <n v="1.05"/>
    <n v="0"/>
    <n v="0"/>
    <n v="0"/>
    <n v="0"/>
    <n v="0"/>
    <s v="--"/>
    <s v="--"/>
    <d v="1900-01-01T11:41:00"/>
    <d v="1899-12-30T00:00:00"/>
    <n v="0"/>
    <d v="1899-12-30T00:00:00"/>
    <s v="Não"/>
    <s v="00:01.37"/>
    <n v="11"/>
    <n v="0"/>
    <d v="1899-12-30T00:59:34"/>
    <d v="1899-12-30T00:59:41"/>
    <s v="--"/>
    <s v="--"/>
  </r>
  <r>
    <x v="2"/>
    <d v="2021-06-22T06:51:27"/>
    <s v="false"/>
    <s v="Blumenau - 4 x 1km forte com 500m leve"/>
    <n v="8.01"/>
    <n v="560"/>
    <d v="1899-12-30T00:48:54"/>
    <n v="166"/>
    <n v="186"/>
    <n v="4.2"/>
    <n v="158"/>
    <n v="170"/>
    <d v="1899-12-30T06:06:00"/>
    <d v="1899-12-30T04:42:00"/>
    <n v="24"/>
    <n v="36"/>
    <n v="1.03"/>
    <n v="0"/>
    <n v="0"/>
    <n v="0"/>
    <n v="0"/>
    <n v="0"/>
    <s v="--"/>
    <s v="--"/>
    <d v="1900-01-01T00:54:00"/>
    <d v="1899-12-30T00:00:00"/>
    <n v="0"/>
    <d v="1899-12-30T00:00:00"/>
    <s v="Não"/>
    <s v="00:04.61"/>
    <n v="11"/>
    <n v="0"/>
    <d v="1899-12-30T00:48:50"/>
    <d v="1899-12-30T00:48:54"/>
    <n v="12"/>
    <n v="28"/>
  </r>
  <r>
    <x v="0"/>
    <d v="2021-06-21T06:55:09"/>
    <s v="false"/>
    <s v="Força"/>
    <n v="0"/>
    <n v="296"/>
    <d v="1899-12-30T00:53:04"/>
    <n v="119"/>
    <n v="164"/>
    <n v="2.1"/>
    <s v="--"/>
    <s v="--"/>
    <s v="--"/>
    <s v="--"/>
    <s v="--"/>
    <s v="--"/>
    <n v="0"/>
    <n v="0"/>
    <n v="0"/>
    <n v="0"/>
    <n v="0"/>
    <n v="0"/>
    <n v="321"/>
    <n v="27"/>
    <d v="1900-01-01T05:04:00"/>
    <d v="1899-12-30T00:00:00"/>
    <n v="0"/>
    <d v="1899-12-30T00:00:00"/>
    <s v="Não"/>
    <s v="53:03.70"/>
    <n v="1"/>
    <n v="0"/>
    <d v="1899-12-30T00:26:21"/>
    <d v="1899-12-30T00:53:04"/>
    <s v="--"/>
    <s v="--"/>
  </r>
  <r>
    <x v="3"/>
    <d v="2021-06-20T09:20:41"/>
    <s v="false"/>
    <s v="Corrida em esteira"/>
    <n v="6.19"/>
    <n v="470"/>
    <d v="1899-12-30T00:46:02"/>
    <n v="155"/>
    <n v="186"/>
    <n v="3.6"/>
    <n v="142"/>
    <n v="225"/>
    <d v="1899-12-30T07:26:00"/>
    <d v="1899-12-30T04:50:00"/>
    <s v="--"/>
    <s v="--"/>
    <n v="0.93"/>
    <n v="0"/>
    <n v="0"/>
    <n v="0"/>
    <n v="0"/>
    <n v="0"/>
    <s v="--"/>
    <s v="--"/>
    <d v="1899-12-31T22:02:00"/>
    <d v="1899-12-30T00:00:00"/>
    <n v="0"/>
    <d v="1899-12-30T00:00:00"/>
    <s v="Não"/>
    <s v="03:50.01"/>
    <n v="7"/>
    <n v="0"/>
    <d v="1899-12-30T00:43:41"/>
    <d v="1899-12-30T00:46:02"/>
    <s v="--"/>
    <s v="--"/>
  </r>
  <r>
    <x v="3"/>
    <d v="2021-06-17T17:57:56"/>
    <s v="false"/>
    <s v="8k - 90 a 95%"/>
    <n v="8.02"/>
    <n v="555"/>
    <d v="1899-12-30T00:49:54"/>
    <n v="159"/>
    <n v="172"/>
    <n v="4.0999999999999996"/>
    <n v="157"/>
    <n v="161"/>
    <d v="1899-12-30T06:13:00"/>
    <d v="1899-12-30T04:59:00"/>
    <s v="--"/>
    <s v="--"/>
    <n v="1.03"/>
    <n v="0"/>
    <n v="0"/>
    <n v="0"/>
    <n v="0"/>
    <n v="0"/>
    <s v="--"/>
    <s v="--"/>
    <d v="1900-01-01T01:54:00"/>
    <d v="1899-12-30T00:00:00"/>
    <n v="0"/>
    <d v="1899-12-30T00:00:00"/>
    <s v="Não"/>
    <s v="00:07.70"/>
    <n v="9"/>
    <n v="0"/>
    <d v="1899-12-30T00:49:53"/>
    <d v="1899-12-30T00:49:54"/>
    <s v="--"/>
    <s v="--"/>
  </r>
  <r>
    <x v="3"/>
    <d v="2021-06-15T18:11:22"/>
    <s v="false"/>
    <s v="10 x 300m moderado/forte com 100"/>
    <n v="7.01"/>
    <n v="410"/>
    <d v="1899-12-30T00:42:34"/>
    <n v="147"/>
    <n v="172"/>
    <n v="3.3"/>
    <n v="155"/>
    <n v="161"/>
    <d v="1899-12-30T06:04:00"/>
    <d v="1899-12-30T04:38:00"/>
    <s v="--"/>
    <s v="--"/>
    <n v="1.06"/>
    <n v="0"/>
    <n v="0"/>
    <n v="0"/>
    <n v="0"/>
    <n v="0"/>
    <s v="--"/>
    <s v="--"/>
    <d v="1899-12-31T18:34:00"/>
    <d v="1899-12-30T00:00:00"/>
    <n v="0"/>
    <d v="1899-12-30T00:00:00"/>
    <s v="Não"/>
    <s v="00:03.37"/>
    <n v="24"/>
    <n v="0"/>
    <d v="1899-12-30T00:42:26"/>
    <d v="1899-12-30T00:42:34"/>
    <s v="--"/>
    <s v="--"/>
  </r>
  <r>
    <x v="2"/>
    <d v="2021-06-13T08:46:56"/>
    <s v="false"/>
    <s v="Blumenau Corrida"/>
    <n v="18.399999999999999"/>
    <n v="1332"/>
    <d v="1899-12-30T02:00:01"/>
    <n v="167"/>
    <n v="192"/>
    <n v="5"/>
    <n v="154"/>
    <n v="244"/>
    <d v="1899-12-30T06:31:00"/>
    <d v="1899-12-30T05:31:00"/>
    <n v="409"/>
    <n v="377"/>
    <n v="1"/>
    <n v="0"/>
    <n v="0"/>
    <n v="0"/>
    <n v="0"/>
    <n v="0"/>
    <s v="--"/>
    <s v="--"/>
    <d v="1899-12-30T02:00:01"/>
    <d v="1899-12-30T00:00:00"/>
    <n v="0"/>
    <d v="1899-12-30T00:00:00"/>
    <s v="Não"/>
    <s v="02:23.79"/>
    <n v="19"/>
    <n v="0"/>
    <d v="1899-12-30T01:59:49"/>
    <d v="1899-12-30T02:00:01"/>
    <n v="17"/>
    <n v="160"/>
  </r>
  <r>
    <x v="0"/>
    <d v="2021-06-11T06:48:51"/>
    <s v="false"/>
    <s v="Força"/>
    <n v="0"/>
    <n v="310"/>
    <d v="1899-12-30T01:03:07"/>
    <n v="114"/>
    <n v="146"/>
    <n v="1.4"/>
    <s v="--"/>
    <s v="--"/>
    <s v="--"/>
    <s v="--"/>
    <s v="--"/>
    <s v="--"/>
    <n v="0"/>
    <n v="0"/>
    <n v="0"/>
    <n v="0"/>
    <n v="0"/>
    <n v="0"/>
    <n v="209"/>
    <n v="28"/>
    <d v="1899-12-30T01:03:07"/>
    <d v="1899-12-30T00:00:00"/>
    <n v="0"/>
    <d v="1899-12-30T00:00:00"/>
    <s v="Não"/>
    <s v="01:03:07.04"/>
    <n v="1"/>
    <n v="0"/>
    <d v="1899-12-30T00:28:09"/>
    <d v="1899-12-30T01:03:07"/>
    <s v="--"/>
    <s v="--"/>
  </r>
  <r>
    <x v="3"/>
    <d v="2021-06-10T18:33:53"/>
    <s v="false"/>
    <s v="10k - 90 a 95%"/>
    <n v="10.01"/>
    <n v="693"/>
    <d v="1899-12-30T01:01:09"/>
    <n v="165"/>
    <n v="179"/>
    <n v="5"/>
    <n v="158"/>
    <n v="167"/>
    <d v="1899-12-30T06:06:00"/>
    <d v="1899-12-30T04:38:00"/>
    <s v="--"/>
    <s v="--"/>
    <n v="1.04"/>
    <n v="0"/>
    <n v="0"/>
    <n v="0"/>
    <n v="0"/>
    <n v="0"/>
    <s v="--"/>
    <s v="--"/>
    <d v="1899-12-30T01:01:09"/>
    <d v="1899-12-30T00:00:00"/>
    <n v="0"/>
    <d v="1899-12-30T00:00:00"/>
    <s v="Não"/>
    <s v="00:04.95"/>
    <n v="11"/>
    <n v="0"/>
    <d v="1899-12-30T01:00:22"/>
    <d v="1899-12-30T01:01:09"/>
    <s v="--"/>
    <s v="--"/>
  </r>
  <r>
    <x v="3"/>
    <d v="2021-06-08T18:07:33"/>
    <s v="false"/>
    <s v="6 x 500m com intervalo 2min para"/>
    <n v="7.2"/>
    <n v="471"/>
    <d v="1899-12-30T00:54:02"/>
    <n v="144"/>
    <n v="184"/>
    <n v="3.1"/>
    <n v="130"/>
    <n v="170"/>
    <d v="1899-12-30T07:30:00"/>
    <d v="1899-12-30T04:26:00"/>
    <s v="--"/>
    <s v="--"/>
    <n v="0.93"/>
    <n v="0"/>
    <n v="0"/>
    <n v="0"/>
    <n v="0"/>
    <n v="0"/>
    <s v="--"/>
    <s v="--"/>
    <d v="1900-01-01T06:02:00"/>
    <d v="1899-12-30T00:00:00"/>
    <n v="0"/>
    <d v="1899-12-30T00:00:00"/>
    <s v="Não"/>
    <s v="00:03.37"/>
    <n v="17"/>
    <n v="0"/>
    <d v="1899-12-30T00:42:51"/>
    <d v="1899-12-30T00:54:02"/>
    <s v="--"/>
    <s v="--"/>
  </r>
  <r>
    <x v="0"/>
    <d v="2021-06-07T06:43:42"/>
    <s v="false"/>
    <s v="Força"/>
    <n v="0"/>
    <n v="262"/>
    <d v="1899-12-30T00:58:08"/>
    <n v="110"/>
    <n v="150"/>
    <n v="1.5"/>
    <s v="--"/>
    <s v="--"/>
    <s v="--"/>
    <s v="--"/>
    <s v="--"/>
    <s v="--"/>
    <n v="0"/>
    <n v="0"/>
    <n v="0"/>
    <n v="0"/>
    <n v="0"/>
    <n v="0"/>
    <n v="332"/>
    <n v="28"/>
    <d v="1900-01-01T10:08:00"/>
    <d v="1899-12-30T00:00:00"/>
    <n v="0"/>
    <d v="1899-12-30T00:00:00"/>
    <s v="Não"/>
    <s v="58:07.55"/>
    <n v="1"/>
    <n v="0"/>
    <d v="1899-12-30T00:27:58"/>
    <d v="1899-12-30T00:58:08"/>
    <s v="--"/>
    <s v="--"/>
  </r>
  <r>
    <x v="2"/>
    <d v="2021-06-06T08:52:54"/>
    <s v="false"/>
    <s v="Blumenau Corrida"/>
    <n v="13.67"/>
    <n v="1054"/>
    <d v="1899-12-30T01:30:01"/>
    <n v="174"/>
    <n v="205"/>
    <n v="5"/>
    <n v="143"/>
    <n v="244"/>
    <d v="1899-12-30T06:35:00"/>
    <d v="1899-12-30T04:15:00"/>
    <n v="327"/>
    <n v="335"/>
    <n v="1.07"/>
    <n v="0"/>
    <n v="0"/>
    <n v="0"/>
    <n v="0"/>
    <n v="0"/>
    <s v="--"/>
    <s v="--"/>
    <d v="1899-12-30T01:30:01"/>
    <d v="1899-12-30T00:00:00"/>
    <n v="0"/>
    <d v="1899-12-30T00:00:00"/>
    <s v="Não"/>
    <s v="04:05.35"/>
    <n v="14"/>
    <n v="0"/>
    <d v="1899-12-30T01:29:48"/>
    <d v="1899-12-30T01:30:01"/>
    <n v="16"/>
    <n v="123"/>
  </r>
  <r>
    <x v="2"/>
    <d v="2021-06-03T07:25:17"/>
    <s v="false"/>
    <s v="Blumenau - 10 x 400 - intervalo 1 minuto"/>
    <n v="8.65"/>
    <n v="600"/>
    <d v="1899-12-30T00:57:16"/>
    <n v="159"/>
    <n v="183"/>
    <n v="4.5999999999999996"/>
    <n v="146"/>
    <n v="249"/>
    <d v="1899-12-30T06:37:00"/>
    <d v="1899-12-30T03:53:00"/>
    <n v="22"/>
    <n v="33"/>
    <n v="1.03"/>
    <n v="0"/>
    <n v="0"/>
    <n v="0"/>
    <n v="0"/>
    <n v="0"/>
    <s v="--"/>
    <s v="--"/>
    <d v="1900-01-01T09:16:00"/>
    <d v="1899-12-30T00:00:00"/>
    <n v="0"/>
    <d v="1899-12-30T00:00:00"/>
    <s v="Não"/>
    <s v="00:04.31"/>
    <n v="25"/>
    <n v="0"/>
    <d v="1899-12-30T00:53:53"/>
    <d v="1899-12-30T00:57:16"/>
    <n v="7"/>
    <n v="25"/>
  </r>
  <r>
    <x v="2"/>
    <d v="2021-06-01T06:21:28"/>
    <s v="false"/>
    <s v="Blumenau - 10k - 90 a 95%"/>
    <n v="10.02"/>
    <n v="706"/>
    <d v="1899-12-30T01:01:55"/>
    <n v="168"/>
    <n v="190"/>
    <n v="5"/>
    <n v="156"/>
    <n v="170"/>
    <d v="1899-12-30T06:11:00"/>
    <d v="1899-12-30T05:15:00"/>
    <n v="76"/>
    <n v="76"/>
    <n v="1.04"/>
    <n v="0"/>
    <n v="0"/>
    <n v="0"/>
    <n v="0"/>
    <n v="0"/>
    <s v="--"/>
    <s v="--"/>
    <d v="1899-12-30T01:01:55"/>
    <d v="1899-12-30T00:00:00"/>
    <n v="0"/>
    <d v="1899-12-30T00:00:00"/>
    <s v="Não"/>
    <s v="00:06.79"/>
    <n v="11"/>
    <n v="0"/>
    <d v="1899-12-30T01:01:52"/>
    <d v="1899-12-30T01:01:55"/>
    <n v="12"/>
    <n v="42"/>
  </r>
  <r>
    <x v="0"/>
    <d v="2021-05-31T06:44:06"/>
    <s v="false"/>
    <s v="Força"/>
    <n v="0"/>
    <n v="242"/>
    <d v="1899-12-30T00:57:44"/>
    <n v="110"/>
    <n v="157"/>
    <n v="1.6"/>
    <s v="--"/>
    <s v="--"/>
    <s v="--"/>
    <s v="--"/>
    <s v="--"/>
    <s v="--"/>
    <n v="0"/>
    <n v="0"/>
    <n v="0"/>
    <n v="0"/>
    <n v="0"/>
    <n v="0"/>
    <n v="368"/>
    <n v="31"/>
    <d v="1900-01-01T09:44:00"/>
    <d v="1899-12-30T00:00:00"/>
    <n v="0"/>
    <d v="1899-12-30T00:00:00"/>
    <s v="Não"/>
    <s v="57:43.69"/>
    <n v="1"/>
    <n v="0"/>
    <d v="1899-12-30T00:27:05"/>
    <d v="1899-12-30T00:57:54"/>
    <s v="--"/>
    <s v="--"/>
  </r>
  <r>
    <x v="2"/>
    <d v="2021-05-30T08:30:06"/>
    <s v="false"/>
    <s v="Blumenau Corrida"/>
    <n v="16.010000000000002"/>
    <n v="1056"/>
    <d v="1899-12-30T01:42:50"/>
    <n v="163"/>
    <n v="185"/>
    <n v="5"/>
    <n v="154"/>
    <n v="168"/>
    <d v="1899-12-30T06:25:00"/>
    <d v="1899-12-30T05:22:00"/>
    <n v="273"/>
    <n v="282"/>
    <n v="1.01"/>
    <n v="0"/>
    <n v="0"/>
    <n v="0"/>
    <n v="0"/>
    <n v="0"/>
    <s v="--"/>
    <s v="--"/>
    <d v="1899-12-30T01:42:50"/>
    <d v="1899-12-30T00:00:00"/>
    <n v="0"/>
    <d v="1899-12-30T00:00:00"/>
    <s v="Não"/>
    <s v="00:02.42"/>
    <n v="17"/>
    <n v="0"/>
    <d v="1899-12-30T01:42:46"/>
    <d v="1899-12-30T01:42:50"/>
    <n v="17"/>
    <n v="114"/>
  </r>
  <r>
    <x v="0"/>
    <d v="2021-05-28T06:46:37"/>
    <s v="false"/>
    <s v="Força"/>
    <n v="0"/>
    <n v="251"/>
    <d v="1899-12-30T01:00:10"/>
    <n v="113"/>
    <n v="137"/>
    <n v="1.3"/>
    <s v="--"/>
    <s v="--"/>
    <s v="--"/>
    <s v="--"/>
    <s v="--"/>
    <s v="--"/>
    <n v="0"/>
    <n v="0"/>
    <n v="0"/>
    <n v="0"/>
    <n v="0"/>
    <n v="0"/>
    <n v="299"/>
    <n v="45"/>
    <d v="1899-12-30T01:00:10"/>
    <d v="1899-12-30T00:00:00"/>
    <n v="0"/>
    <d v="1899-12-30T00:00:00"/>
    <s v="Não"/>
    <s v="01:00:09.53"/>
    <n v="1"/>
    <n v="0"/>
    <d v="1899-12-30T00:25:43"/>
    <d v="1899-12-30T01:00:10"/>
    <s v="--"/>
    <s v="--"/>
  </r>
  <r>
    <x v="2"/>
    <d v="2021-05-27T06:23:46"/>
    <s v="false"/>
    <s v="Blumenau Corrida"/>
    <n v="10"/>
    <n v="841"/>
    <d v="1899-12-30T01:03:19"/>
    <n v="165"/>
    <n v="183"/>
    <s v="--"/>
    <s v="--"/>
    <s v="--"/>
    <d v="1899-12-30T06:20:00"/>
    <d v="1899-12-30T03:00:00"/>
    <n v="85"/>
    <n v="89"/>
    <n v="0"/>
    <n v="0"/>
    <n v="0"/>
    <n v="0"/>
    <n v="0"/>
    <n v="0"/>
    <s v="--"/>
    <s v="--"/>
    <d v="1899-12-30T01:03:19"/>
    <d v="1899-12-30T00:00:00"/>
    <n v="0"/>
    <d v="1899-12-30T00:00:00"/>
    <s v="Não"/>
    <s v="00:01.41"/>
    <n v="11"/>
    <n v="0"/>
    <d v="1899-12-30T01:02:18"/>
    <d v="1899-12-30T01:03:19"/>
    <n v="14"/>
    <n v="40"/>
  </r>
  <r>
    <x v="2"/>
    <d v="2021-05-25T17:46:46"/>
    <s v="false"/>
    <s v="Blumenau Corrida"/>
    <n v="9.2100000000000009"/>
    <n v="742"/>
    <d v="1899-12-30T00:59:57"/>
    <n v="159"/>
    <n v="182"/>
    <s v="--"/>
    <s v="--"/>
    <s v="--"/>
    <d v="1899-12-30T06:31:00"/>
    <d v="1899-12-30T00:52:00"/>
    <n v="32"/>
    <n v="32"/>
    <n v="0"/>
    <n v="0"/>
    <n v="0"/>
    <n v="0"/>
    <n v="0"/>
    <n v="0"/>
    <s v="--"/>
    <s v="--"/>
    <d v="1900-01-01T11:57:00"/>
    <d v="1899-12-30T00:00:00"/>
    <n v="0"/>
    <d v="1899-12-30T00:00:00"/>
    <s v="Não"/>
    <s v="00:56.73"/>
    <n v="14"/>
    <n v="0"/>
    <d v="1899-12-30T00:59:18"/>
    <d v="1899-12-30T00:59:57"/>
    <n v="10"/>
    <n v="25"/>
  </r>
  <r>
    <x v="2"/>
    <d v="2021-05-20T06:25:31"/>
    <s v="false"/>
    <s v="Blumenau Corrida"/>
    <n v="10.08"/>
    <n v="826"/>
    <d v="1899-12-30T01:00:51"/>
    <n v="167"/>
    <n v="184"/>
    <s v="--"/>
    <s v="--"/>
    <s v="--"/>
    <d v="1899-12-30T06:02:00"/>
    <d v="1899-12-30T04:27:00"/>
    <n v="37"/>
    <n v="50"/>
    <n v="0"/>
    <n v="0"/>
    <n v="0"/>
    <n v="0"/>
    <n v="0"/>
    <n v="0"/>
    <s v="--"/>
    <s v="--"/>
    <d v="1899-12-30T01:00:51"/>
    <d v="1899-12-30T00:00:00"/>
    <n v="0"/>
    <d v="1899-12-30T00:00:00"/>
    <s v="Não"/>
    <s v="02:59.52"/>
    <n v="9"/>
    <n v="0"/>
    <d v="1899-12-30T01:00:49"/>
    <d v="1899-12-30T01:00:51"/>
    <n v="9"/>
    <n v="26"/>
  </r>
  <r>
    <x v="2"/>
    <d v="2021-05-15T07:42:16"/>
    <s v="false"/>
    <s v="Blumenau Corrida"/>
    <n v="11.24"/>
    <n v="953"/>
    <d v="1899-12-30T01:12:08"/>
    <n v="164"/>
    <n v="179"/>
    <s v="--"/>
    <s v="--"/>
    <s v="--"/>
    <d v="1899-12-30T06:25:00"/>
    <d v="1899-12-30T01:45:00"/>
    <n v="125"/>
    <n v="131"/>
    <n v="0"/>
    <n v="0"/>
    <n v="0"/>
    <n v="0"/>
    <n v="0"/>
    <n v="0"/>
    <s v="--"/>
    <s v="--"/>
    <d v="1899-12-30T01:12:08"/>
    <d v="1899-12-30T00:00:00"/>
    <n v="0"/>
    <d v="1899-12-30T00:00:00"/>
    <s v="Não"/>
    <s v="01:30.82"/>
    <n v="12"/>
    <n v="0"/>
    <d v="1899-12-30T01:12:04"/>
    <d v="1899-12-30T01:12:08"/>
    <n v="15"/>
    <n v="59"/>
  </r>
  <r>
    <x v="2"/>
    <d v="2021-05-13T17:33:02"/>
    <s v="false"/>
    <s v="Blumenau Corrida"/>
    <n v="9.01"/>
    <n v="701"/>
    <d v="1899-12-30T00:54:32"/>
    <n v="162"/>
    <n v="187"/>
    <s v="--"/>
    <s v="--"/>
    <s v="--"/>
    <d v="1899-12-30T06:03:00"/>
    <d v="1899-12-30T03:57:00"/>
    <n v="29"/>
    <n v="43"/>
    <n v="0"/>
    <n v="0"/>
    <n v="0"/>
    <n v="0"/>
    <n v="0"/>
    <n v="0"/>
    <s v="--"/>
    <s v="--"/>
    <d v="1900-01-01T06:32:00"/>
    <d v="1899-12-30T00:00:00"/>
    <n v="0"/>
    <d v="1899-12-30T00:00:00"/>
    <s v="Não"/>
    <s v="00:02.00"/>
    <n v="10"/>
    <n v="0"/>
    <d v="1899-12-30T00:54:31"/>
    <d v="1899-12-30T00:54:32"/>
    <n v="12"/>
    <n v="28"/>
  </r>
  <r>
    <x v="2"/>
    <d v="2021-05-08T07:35:22"/>
    <s v="false"/>
    <s v="Blumenau Corrida"/>
    <n v="16.149999999999999"/>
    <n v="1374"/>
    <d v="1899-12-30T01:40:01"/>
    <n v="168"/>
    <n v="181"/>
    <s v="--"/>
    <s v="--"/>
    <s v="--"/>
    <d v="1899-12-30T06:11:00"/>
    <d v="1899-12-30T01:00:00"/>
    <n v="255"/>
    <n v="270"/>
    <n v="0"/>
    <n v="0"/>
    <n v="0"/>
    <n v="0"/>
    <n v="0"/>
    <n v="0"/>
    <s v="--"/>
    <s v="--"/>
    <d v="1899-12-30T01:40:01"/>
    <d v="1899-12-30T00:00:00"/>
    <n v="0"/>
    <d v="1899-12-30T00:00:00"/>
    <s v="Não"/>
    <s v="00:54.30"/>
    <n v="17"/>
    <n v="0"/>
    <d v="1899-12-30T01:39:55"/>
    <d v="1899-12-30T01:40:01"/>
    <n v="20"/>
    <n v="117"/>
  </r>
  <r>
    <x v="2"/>
    <d v="2021-05-06T06:48:38"/>
    <s v="false"/>
    <s v="Blumenau Corrida"/>
    <n v="7"/>
    <n v="573"/>
    <d v="1899-12-30T00:43:19"/>
    <n v="164"/>
    <n v="176"/>
    <s v="--"/>
    <s v="--"/>
    <s v="--"/>
    <d v="1899-12-30T06:11:00"/>
    <d v="1899-12-30T05:39:00"/>
    <n v="35"/>
    <n v="36"/>
    <n v="0"/>
    <n v="0"/>
    <n v="0"/>
    <n v="0"/>
    <n v="0"/>
    <n v="0"/>
    <s v="--"/>
    <s v="--"/>
    <d v="1899-12-31T19:19:00"/>
    <d v="1899-12-30T00:00:00"/>
    <n v="0"/>
    <d v="1899-12-30T00:00:00"/>
    <s v="Não"/>
    <s v="00:00.63"/>
    <n v="8"/>
    <n v="0"/>
    <d v="1899-12-30T00:43:17"/>
    <d v="1899-12-30T00:43:19"/>
    <n v="12"/>
    <n v="29"/>
  </r>
  <r>
    <x v="2"/>
    <d v="2021-05-04T17:46:36"/>
    <s v="false"/>
    <s v="Blumenau Corrida"/>
    <n v="10"/>
    <n v="863"/>
    <d v="1899-12-30T01:02:00"/>
    <n v="169"/>
    <n v="185"/>
    <s v="--"/>
    <s v="--"/>
    <s v="--"/>
    <d v="1899-12-30T06:12:00"/>
    <d v="1899-12-30T05:16:00"/>
    <n v="64"/>
    <n v="64"/>
    <n v="0"/>
    <n v="0"/>
    <n v="0"/>
    <n v="0"/>
    <n v="0"/>
    <n v="0"/>
    <s v="--"/>
    <s v="--"/>
    <d v="1899-12-30T01:02:00"/>
    <d v="1899-12-30T00:00:00"/>
    <n v="0"/>
    <d v="1899-12-30T00:00:00"/>
    <s v="Não"/>
    <s v="06:00.32"/>
    <n v="10"/>
    <n v="0"/>
    <d v="1899-12-30T01:01:57"/>
    <d v="1899-12-30T01:02:00"/>
    <n v="10"/>
    <n v="34"/>
  </r>
  <r>
    <x v="2"/>
    <d v="2021-04-29T18:01:38"/>
    <s v="false"/>
    <s v="Blumenau Corrida"/>
    <n v="10"/>
    <n v="826"/>
    <d v="1899-12-30T01:02:14"/>
    <n v="165"/>
    <n v="181"/>
    <s v="--"/>
    <s v="--"/>
    <s v="--"/>
    <d v="1899-12-30T06:13:00"/>
    <d v="1899-12-30T05:01:00"/>
    <n v="57"/>
    <n v="51"/>
    <n v="0"/>
    <n v="0"/>
    <n v="0"/>
    <n v="0"/>
    <n v="0"/>
    <n v="0"/>
    <s v="--"/>
    <s v="--"/>
    <d v="1899-12-30T01:02:14"/>
    <d v="1899-12-30T00:00:00"/>
    <n v="0"/>
    <d v="1899-12-30T00:00:00"/>
    <s v="Não"/>
    <s v="02:40.24"/>
    <n v="11"/>
    <n v="0"/>
    <d v="1899-12-30T01:02:12"/>
    <d v="1899-12-30T01:02:14"/>
    <n v="10"/>
    <n v="34"/>
  </r>
  <r>
    <x v="2"/>
    <d v="2021-04-27T06:47:04"/>
    <s v="false"/>
    <s v="Blumenau Corrida"/>
    <n v="8"/>
    <n v="649"/>
    <d v="1899-12-30T00:50:18"/>
    <n v="163"/>
    <n v="181"/>
    <s v="--"/>
    <s v="--"/>
    <s v="--"/>
    <d v="1899-12-30T06:17:00"/>
    <d v="1899-12-30T04:41:00"/>
    <n v="23"/>
    <n v="18"/>
    <n v="0"/>
    <n v="0"/>
    <n v="0"/>
    <n v="0"/>
    <n v="0"/>
    <n v="0"/>
    <s v="--"/>
    <s v="--"/>
    <d v="1900-01-01T02:18:00"/>
    <d v="1899-12-30T00:00:00"/>
    <n v="0"/>
    <d v="1899-12-30T00:00:00"/>
    <s v="Não"/>
    <s v="00:59.48"/>
    <n v="14"/>
    <n v="0"/>
    <d v="1899-12-30T00:44:34"/>
    <d v="1899-12-30T00:50:18"/>
    <n v="12"/>
    <n v="22"/>
  </r>
  <r>
    <x v="2"/>
    <d v="2021-04-24T07:32:10"/>
    <s v="false"/>
    <s v="Blumenau Corrida"/>
    <n v="15.01"/>
    <n v="1358"/>
    <d v="1899-12-30T01:34:50"/>
    <n v="172"/>
    <n v="187"/>
    <s v="--"/>
    <s v="--"/>
    <s v="--"/>
    <d v="1899-12-30T06:19:00"/>
    <d v="1899-12-30T03:28:00"/>
    <n v="205"/>
    <n v="198"/>
    <n v="0"/>
    <n v="0"/>
    <n v="0"/>
    <n v="0"/>
    <n v="0"/>
    <n v="0"/>
    <s v="--"/>
    <s v="--"/>
    <d v="1899-12-30T01:34:50"/>
    <d v="1899-12-30T00:00:00"/>
    <n v="0"/>
    <d v="1899-12-30T00:00:00"/>
    <s v="Não"/>
    <s v="00:02.74"/>
    <n v="16"/>
    <n v="0"/>
    <d v="1899-12-30T01:34:47"/>
    <d v="1899-12-30T01:34:50"/>
    <n v="14"/>
    <n v="60"/>
  </r>
  <r>
    <x v="2"/>
    <d v="2021-04-20T06:35:48"/>
    <s v="false"/>
    <s v="Blumenau Corrida"/>
    <n v="8.01"/>
    <n v="649"/>
    <d v="1899-12-30T00:48:55"/>
    <n v="165"/>
    <n v="229"/>
    <s v="--"/>
    <s v="--"/>
    <s v="--"/>
    <d v="1899-12-30T06:06:00"/>
    <d v="1899-12-30T02:25:00"/>
    <n v="92"/>
    <n v="92"/>
    <n v="0"/>
    <n v="0"/>
    <n v="0"/>
    <n v="0"/>
    <n v="0"/>
    <n v="0"/>
    <s v="--"/>
    <s v="--"/>
    <d v="1900-01-01T00:55:00"/>
    <d v="1899-12-30T00:00:00"/>
    <n v="0"/>
    <d v="1899-12-30T00:00:00"/>
    <s v="Não"/>
    <s v="00:02.84"/>
    <n v="9"/>
    <n v="0"/>
    <d v="1899-12-30T00:48:52"/>
    <d v="1899-12-30T00:48:55"/>
    <n v="10"/>
    <n v="37"/>
  </r>
  <r>
    <x v="2"/>
    <d v="2021-04-17T07:15:56"/>
    <s v="false"/>
    <s v="Blumenau Corrida"/>
    <n v="10.01"/>
    <n v="877"/>
    <d v="1899-12-30T00:58:41"/>
    <n v="176"/>
    <n v="184"/>
    <s v="--"/>
    <s v="--"/>
    <s v="--"/>
    <d v="1899-12-30T05:52:00"/>
    <d v="1899-12-30T04:01:00"/>
    <n v="32"/>
    <n v="39"/>
    <n v="0"/>
    <n v="0"/>
    <n v="0"/>
    <n v="0"/>
    <n v="0"/>
    <n v="0"/>
    <s v="--"/>
    <s v="--"/>
    <d v="1900-01-01T10:41:00"/>
    <d v="1899-12-30T00:00:00"/>
    <n v="0"/>
    <d v="1899-12-30T00:00:00"/>
    <s v="Não"/>
    <s v="00:02.73"/>
    <n v="11"/>
    <n v="0"/>
    <d v="1899-12-30T00:58:39"/>
    <d v="1899-12-30T00:58:41"/>
    <n v="10"/>
    <n v="26"/>
  </r>
  <r>
    <x v="2"/>
    <d v="2021-04-13T19:10:35"/>
    <s v="false"/>
    <s v="Blumenau Corrida"/>
    <n v="5.03"/>
    <n v="414"/>
    <d v="1899-12-30T00:34:56"/>
    <n v="156"/>
    <n v="180"/>
    <s v="--"/>
    <s v="--"/>
    <s v="--"/>
    <d v="1899-12-30T06:56:00"/>
    <d v="1899-12-30T04:00:00"/>
    <n v="103"/>
    <n v="102"/>
    <n v="0"/>
    <n v="0"/>
    <n v="0"/>
    <n v="0"/>
    <n v="0"/>
    <n v="0"/>
    <s v="--"/>
    <s v="--"/>
    <d v="1899-12-31T10:56:00"/>
    <d v="1899-12-30T00:00:00"/>
    <n v="0"/>
    <d v="1899-12-30T00:00:00"/>
    <s v="Não"/>
    <s v="02:19.44"/>
    <n v="8"/>
    <n v="0"/>
    <d v="1899-12-30T00:29:10"/>
    <d v="1899-12-30T00:34:56"/>
    <n v="11"/>
    <n v="25"/>
  </r>
  <r>
    <x v="2"/>
    <d v="2021-04-13T18:17:18"/>
    <s v="false"/>
    <s v="Corrida"/>
    <n v="0.01"/>
    <s v="--"/>
    <d v="1899-12-30T00:00:06"/>
    <n v="66"/>
    <n v="70"/>
    <n v="1"/>
    <n v="60"/>
    <n v="120"/>
    <d v="1899-12-30T13:13:00"/>
    <d v="1899-12-30T07:28:00"/>
    <s v="--"/>
    <s v="--"/>
    <n v="1.26"/>
    <n v="0"/>
    <n v="0"/>
    <n v="0"/>
    <n v="0"/>
    <n v="0"/>
    <s v="--"/>
    <s v="--"/>
    <d v="1899-12-30T00:00:06"/>
    <d v="1899-12-30T00:00:00"/>
    <n v="0"/>
    <d v="1899-12-30T00:00:00"/>
    <s v="Não"/>
    <s v="00:01.16"/>
    <n v="2"/>
    <n v="0"/>
    <d v="1899-12-30T00:00:03"/>
    <d v="1899-12-30T00:00:19"/>
    <s v="--"/>
    <s v="--"/>
  </r>
  <r>
    <x v="2"/>
    <d v="2021-04-10T07:20:00"/>
    <s v="false"/>
    <s v="Blumenau - Run Workout"/>
    <n v="7.01"/>
    <n v="471"/>
    <d v="1899-12-30T00:38:21"/>
    <n v="179"/>
    <n v="190"/>
    <n v="4.5999999999999996"/>
    <n v="166"/>
    <n v="174"/>
    <d v="1899-12-30T05:28:00"/>
    <d v="1899-12-30T05:12:00"/>
    <n v="3"/>
    <n v="17"/>
    <n v="1.1000000000000001"/>
    <n v="0"/>
    <n v="0"/>
    <n v="0"/>
    <n v="0"/>
    <n v="0"/>
    <s v="--"/>
    <s v="--"/>
    <d v="1899-12-31T14:21:00"/>
    <d v="1899-12-30T00:00:00"/>
    <n v="0"/>
    <d v="1899-12-30T00:00:00"/>
    <s v="Não"/>
    <s v="00:04.80"/>
    <n v="2"/>
    <n v="0"/>
    <d v="1899-12-30T00:38:21"/>
    <d v="1899-12-30T00:38:21"/>
    <n v="12"/>
    <n v="28"/>
  </r>
  <r>
    <x v="2"/>
    <d v="2021-04-08T17:39:09"/>
    <s v="false"/>
    <s v="Corrida"/>
    <n v="10.029999999999999"/>
    <n v="663"/>
    <d v="1899-12-30T00:57:27"/>
    <n v="174"/>
    <n v="188"/>
    <n v="5"/>
    <n v="160"/>
    <n v="168"/>
    <d v="1899-12-30T05:44:00"/>
    <d v="1899-12-30T04:49:00"/>
    <s v="--"/>
    <s v="--"/>
    <n v="1.0900000000000001"/>
    <n v="0"/>
    <n v="0"/>
    <n v="0"/>
    <n v="0"/>
    <n v="0"/>
    <s v="--"/>
    <s v="--"/>
    <d v="1900-01-01T09:27:00"/>
    <d v="1899-12-30T00:00:00"/>
    <n v="0"/>
    <d v="1899-12-30T00:00:00"/>
    <s v="Não"/>
    <s v="00:08.53"/>
    <n v="11"/>
    <n v="0"/>
    <d v="1899-12-30T00:57:26"/>
    <d v="1899-12-30T00:57:27"/>
    <s v="--"/>
    <s v="--"/>
  </r>
  <r>
    <x v="2"/>
    <d v="2021-04-06T17:51:05"/>
    <s v="false"/>
    <s v="Blumenau - 15 x 400 - intervalo 1 minuto caminhando"/>
    <n v="11.35"/>
    <n v="774"/>
    <d v="1899-12-30T01:10:25"/>
    <n v="168"/>
    <n v="187"/>
    <n v="5"/>
    <n v="154"/>
    <n v="175"/>
    <d v="1899-12-30T06:12:00"/>
    <d v="1899-12-30T02:30:00"/>
    <n v="13"/>
    <n v="20"/>
    <n v="1.03"/>
    <n v="0"/>
    <n v="0"/>
    <n v="0"/>
    <n v="0"/>
    <n v="0"/>
    <s v="--"/>
    <s v="--"/>
    <d v="1899-12-30T01:10:25"/>
    <d v="1899-12-30T00:00:00"/>
    <n v="0"/>
    <d v="1899-12-30T00:00:00"/>
    <s v="Não"/>
    <s v="00:01.31"/>
    <n v="33"/>
    <n v="0"/>
    <d v="1899-12-30T01:10:08"/>
    <d v="1899-12-30T01:10:25"/>
    <n v="9"/>
    <n v="26"/>
  </r>
  <r>
    <x v="2"/>
    <d v="2021-04-02T07:00:18"/>
    <s v="false"/>
    <s v="Blumenau - 4 x 2km com intervalo 3min caminhando"/>
    <n v="11.18"/>
    <n v="687"/>
    <d v="1899-12-30T01:08:33"/>
    <n v="165"/>
    <n v="186"/>
    <n v="4.0999999999999996"/>
    <n v="150"/>
    <n v="171"/>
    <d v="1899-12-30T06:08:00"/>
    <d v="1899-12-30T04:36:00"/>
    <n v="35"/>
    <n v="37"/>
    <n v="1.08"/>
    <n v="0"/>
    <n v="0"/>
    <n v="0"/>
    <n v="0"/>
    <n v="0"/>
    <s v="--"/>
    <s v="--"/>
    <d v="1899-12-30T01:08:33"/>
    <d v="1899-12-30T00:00:00"/>
    <n v="0"/>
    <d v="1899-12-30T00:00:00"/>
    <s v="Não"/>
    <s v="03:00.00"/>
    <n v="10"/>
    <n v="0"/>
    <d v="1899-12-30T01:08:32"/>
    <d v="1899-12-30T01:08:51"/>
    <n v="9"/>
    <n v="25"/>
  </r>
  <r>
    <x v="2"/>
    <d v="2021-03-30T17:41:01"/>
    <s v="false"/>
    <s v="Blumenau - 12 x 300m moderado/forte com 100m leve"/>
    <n v="8.3000000000000007"/>
    <n v="484"/>
    <d v="1899-12-30T00:57:04"/>
    <n v="157"/>
    <n v="229"/>
    <s v="--"/>
    <n v="142"/>
    <n v="177"/>
    <d v="1899-12-30T06:52:00"/>
    <d v="1899-12-30T03:47:00"/>
    <n v="35"/>
    <n v="37"/>
    <n v="1"/>
    <n v="0"/>
    <n v="0"/>
    <n v="0"/>
    <n v="0"/>
    <n v="0"/>
    <s v="--"/>
    <s v="--"/>
    <d v="1900-01-01T09:04:00"/>
    <d v="1899-12-30T00:00:00"/>
    <n v="0"/>
    <d v="1899-12-30T00:00:00"/>
    <s v="Não"/>
    <s v="00:45.62"/>
    <n v="27"/>
    <n v="0"/>
    <d v="1899-12-30T00:56:45"/>
    <d v="1899-12-30T00:57:04"/>
    <n v="9"/>
    <n v="26"/>
  </r>
  <r>
    <x v="2"/>
    <d v="2021-03-27T07:13:10"/>
    <s v="false"/>
    <s v="Blumenau Corrida"/>
    <n v="12.34"/>
    <n v="904"/>
    <d v="1899-12-30T01:20:02"/>
    <n v="173"/>
    <n v="188"/>
    <n v="5"/>
    <n v="152"/>
    <n v="169"/>
    <d v="1899-12-30T06:29:00"/>
    <d v="1899-12-30T05:23:00"/>
    <n v="156"/>
    <n v="165"/>
    <n v="1.01"/>
    <n v="0"/>
    <n v="0"/>
    <n v="0"/>
    <n v="0"/>
    <n v="0"/>
    <s v="--"/>
    <s v="--"/>
    <d v="1899-12-30T01:20:02"/>
    <d v="1899-12-30T00:00:00"/>
    <n v="0"/>
    <d v="1899-12-30T00:00:00"/>
    <s v="Não"/>
    <s v="02:03.27"/>
    <n v="13"/>
    <n v="0"/>
    <d v="1899-12-30T01:20:00"/>
    <d v="1899-12-30T01:20:02"/>
    <n v="16"/>
    <n v="109"/>
  </r>
  <r>
    <x v="2"/>
    <d v="2021-03-23T17:41:33"/>
    <s v="false"/>
    <s v="Blumenau - Progressivo - leve p/ forte"/>
    <n v="6.01"/>
    <n v="396"/>
    <d v="1899-12-30T00:37:11"/>
    <n v="164"/>
    <n v="187"/>
    <n v="3.8"/>
    <n v="159"/>
    <n v="171"/>
    <d v="1899-12-30T06:11:00"/>
    <d v="1899-12-30T04:51:00"/>
    <s v="--"/>
    <n v="13"/>
    <n v="1.01"/>
    <n v="0"/>
    <n v="0"/>
    <n v="0"/>
    <n v="0"/>
    <n v="0"/>
    <s v="--"/>
    <s v="--"/>
    <d v="1899-12-31T13:11:00"/>
    <d v="1899-12-30T00:00:00"/>
    <n v="0"/>
    <d v="1899-12-30T00:00:00"/>
    <s v="Não"/>
    <s v="00:03.92"/>
    <n v="4"/>
    <n v="0"/>
    <d v="1899-12-30T00:37:11"/>
    <d v="1899-12-30T00:37:11"/>
    <n v="9"/>
    <n v="25"/>
  </r>
  <r>
    <x v="2"/>
    <d v="2021-03-21T08:03:17"/>
    <s v="false"/>
    <s v="Blumenau Corrida"/>
    <n v="9.42"/>
    <n v="693"/>
    <d v="1899-12-30T01:00:01"/>
    <n v="175"/>
    <n v="188"/>
    <n v="5"/>
    <n v="156"/>
    <n v="172"/>
    <d v="1899-12-30T06:22:00"/>
    <d v="1899-12-30T04:27:00"/>
    <n v="29"/>
    <n v="34"/>
    <n v="1.01"/>
    <n v="0"/>
    <n v="0"/>
    <n v="0"/>
    <n v="0"/>
    <n v="0"/>
    <s v="--"/>
    <s v="--"/>
    <d v="1899-12-30T01:00:01"/>
    <d v="1899-12-30T00:00:00"/>
    <n v="0"/>
    <d v="1899-12-30T00:00:00"/>
    <s v="Não"/>
    <s v="03:26.45"/>
    <n v="10"/>
    <n v="0"/>
    <d v="1899-12-30T00:59:59"/>
    <d v="1899-12-30T01:00:01"/>
    <n v="9"/>
    <n v="26"/>
  </r>
  <r>
    <x v="2"/>
    <d v="2021-03-18T06:15:35"/>
    <s v="false"/>
    <s v="Blumenau - 6 x 2:30 - 2:30 com 2km aquec e 2km desaquec"/>
    <n v="9.41"/>
    <n v="673"/>
    <d v="1899-12-30T01:02:37"/>
    <n v="168"/>
    <n v="192"/>
    <n v="4.5"/>
    <n v="151"/>
    <n v="171"/>
    <d v="1899-12-30T06:39:00"/>
    <d v="1899-12-30T04:13:00"/>
    <n v="12"/>
    <n v="14"/>
    <n v="0.99"/>
    <n v="0"/>
    <n v="0"/>
    <n v="0"/>
    <n v="0"/>
    <n v="0"/>
    <s v="--"/>
    <s v="--"/>
    <d v="1899-12-30T01:02:37"/>
    <d v="1899-12-30T00:00:00"/>
    <n v="0"/>
    <d v="1899-12-30T00:00:00"/>
    <s v="Não"/>
    <s v="02:30.00"/>
    <n v="15"/>
    <n v="0"/>
    <d v="1899-12-30T01:02:19"/>
    <d v="1899-12-30T01:02:37"/>
    <n v="12"/>
    <n v="30"/>
  </r>
  <r>
    <x v="2"/>
    <d v="2021-03-16T06:06:17"/>
    <s v="false"/>
    <s v="Blumenau Corrida"/>
    <n v="10.02"/>
    <n v="723"/>
    <d v="1899-12-30T01:07:48"/>
    <n v="164"/>
    <n v="185"/>
    <n v="4.2"/>
    <n v="148"/>
    <n v="166"/>
    <d v="1899-12-30T06:46:00"/>
    <d v="1899-12-30T05:35:00"/>
    <n v="115"/>
    <n v="121"/>
    <n v="1"/>
    <n v="0"/>
    <n v="0"/>
    <n v="0"/>
    <n v="0"/>
    <n v="0"/>
    <s v="--"/>
    <s v="--"/>
    <d v="1899-12-30T01:07:48"/>
    <d v="1899-12-30T00:00:00"/>
    <n v="0"/>
    <d v="1899-12-30T00:00:00"/>
    <s v="Não"/>
    <s v="00:04.70"/>
    <n v="11"/>
    <n v="0"/>
    <d v="1899-12-30T01:07:46"/>
    <d v="1899-12-30T01:07:48"/>
    <n v="17"/>
    <n v="51"/>
  </r>
  <r>
    <x v="2"/>
    <d v="2021-03-07T07:54:09"/>
    <s v="false"/>
    <s v="Blumenau Corrida"/>
    <n v="15.39"/>
    <n v="1115"/>
    <d v="1899-12-30T01:41:24"/>
    <n v="168"/>
    <n v="184"/>
    <n v="4.5999999999999996"/>
    <n v="146"/>
    <n v="170"/>
    <d v="1899-12-30T06:35:00"/>
    <d v="1899-12-30T05:19:00"/>
    <n v="289"/>
    <n v="268"/>
    <n v="1.03"/>
    <n v="0"/>
    <n v="0"/>
    <n v="0"/>
    <n v="0"/>
    <n v="0"/>
    <s v="--"/>
    <s v="--"/>
    <d v="1899-12-30T01:41:24"/>
    <d v="1899-12-30T00:00:00"/>
    <n v="0"/>
    <d v="1899-12-30T00:00:00"/>
    <s v="Não"/>
    <s v="02:10.21"/>
    <n v="16"/>
    <n v="0"/>
    <d v="1899-12-30T01:41:14"/>
    <d v="1899-12-30T01:41:24"/>
    <n v="17"/>
    <n v="126"/>
  </r>
  <r>
    <x v="2"/>
    <d v="2021-03-04T06:30:41"/>
    <s v="false"/>
    <s v="Blumenau Corrida"/>
    <n v="8.01"/>
    <n v="547"/>
    <d v="1899-12-30T00:49:14"/>
    <n v="166"/>
    <n v="181"/>
    <n v="4.0999999999999996"/>
    <n v="161"/>
    <n v="168"/>
    <d v="1899-12-30T06:09:00"/>
    <d v="1899-12-30T05:21:00"/>
    <n v="96"/>
    <n v="98"/>
    <n v="1.01"/>
    <n v="0"/>
    <n v="0"/>
    <n v="0"/>
    <n v="0"/>
    <n v="0"/>
    <s v="--"/>
    <s v="--"/>
    <d v="1900-01-01T01:14:00"/>
    <d v="1899-12-30T00:00:00"/>
    <n v="0"/>
    <d v="1899-12-30T00:00:00"/>
    <s v="Não"/>
    <s v="00:02.66"/>
    <n v="9"/>
    <n v="0"/>
    <d v="1899-12-30T00:49:12"/>
    <d v="1899-12-30T00:49:14"/>
    <n v="17"/>
    <n v="52"/>
  </r>
  <r>
    <x v="2"/>
    <d v="2021-03-02T06:30:54"/>
    <s v="false"/>
    <s v="Blumenau - 10 X 1'30 subida&quot;"/>
    <n v="7.77"/>
    <n v="528"/>
    <d v="1899-12-30T01:12:42"/>
    <n v="145"/>
    <n v="182"/>
    <n v="3.2"/>
    <n v="135"/>
    <n v="177"/>
    <d v="1899-12-30T09:22:00"/>
    <d v="1899-12-30T02:31:00"/>
    <n v="256"/>
    <n v="265"/>
    <n v="0.79"/>
    <n v="0"/>
    <n v="0"/>
    <n v="0"/>
    <n v="0"/>
    <n v="0"/>
    <s v="--"/>
    <s v="--"/>
    <d v="1899-12-30T01:12:42"/>
    <d v="1899-12-30T00:00:00"/>
    <n v="0"/>
    <d v="1899-12-30T00:00:00"/>
    <s v="Não"/>
    <s v="00:04.61"/>
    <n v="23"/>
    <n v="0"/>
    <d v="1899-12-30T01:11:02"/>
    <d v="1899-12-30T01:12:42"/>
    <n v="10"/>
    <n v="42"/>
  </r>
  <r>
    <x v="2"/>
    <d v="2021-02-25T06:33:07"/>
    <s v="false"/>
    <s v="Blumenau - 2 x 5km com intervalo 5min caminhando"/>
    <n v="11.15"/>
    <n v="704"/>
    <d v="1899-12-30T01:09:08"/>
    <n v="167"/>
    <n v="188"/>
    <n v="4.5"/>
    <n v="155"/>
    <n v="173"/>
    <d v="1899-12-30T06:12:00"/>
    <d v="1899-12-30T02:30:00"/>
    <n v="25"/>
    <n v="32"/>
    <n v="1.03"/>
    <n v="0"/>
    <n v="0"/>
    <n v="0"/>
    <n v="0"/>
    <n v="0"/>
    <s v="--"/>
    <s v="--"/>
    <d v="1899-12-30T01:09:08"/>
    <d v="1899-12-30T00:00:00"/>
    <n v="0"/>
    <d v="1899-12-30T00:00:00"/>
    <s v="Não"/>
    <s v="03:18.82"/>
    <n v="5"/>
    <n v="0"/>
    <d v="1899-12-30T01:09:02"/>
    <d v="1899-12-30T01:09:08"/>
    <n v="10"/>
    <n v="26"/>
  </r>
  <r>
    <x v="2"/>
    <d v="2021-02-23T06:26:33"/>
    <s v="false"/>
    <s v="Blumenau - 3 x 2km com intervalo 3min caminhando"/>
    <n v="9.27"/>
    <n v="548"/>
    <d v="1899-12-30T01:01:33"/>
    <n v="163"/>
    <n v="188"/>
    <n v="4.3"/>
    <n v="144"/>
    <n v="171"/>
    <d v="1899-12-30T06:38:00"/>
    <d v="1899-12-30T04:44:00"/>
    <n v="10"/>
    <n v="14"/>
    <n v="1.02"/>
    <n v="0"/>
    <n v="0"/>
    <n v="0"/>
    <n v="0"/>
    <n v="0"/>
    <s v="--"/>
    <s v="--"/>
    <d v="1899-12-30T01:01:33"/>
    <d v="1899-12-30T00:00:00"/>
    <n v="0"/>
    <d v="1899-12-30T00:00:00"/>
    <s v="Não"/>
    <s v="03:00.00"/>
    <n v="8"/>
    <n v="0"/>
    <d v="1899-12-30T01:01:32"/>
    <d v="1899-12-30T01:01:33"/>
    <n v="12"/>
    <n v="29"/>
  </r>
  <r>
    <x v="2"/>
    <d v="2021-02-21T06:36:56"/>
    <s v="false"/>
    <s v="Ilhota Corrida"/>
    <n v="9.32"/>
    <n v="349"/>
    <d v="1899-12-30T03:42:39"/>
    <s v="--"/>
    <s v="--"/>
    <s v="--"/>
    <n v="54"/>
    <n v="244"/>
    <d v="1899-12-30T23:53:00"/>
    <d v="1899-12-30T02:46:00"/>
    <n v="658"/>
    <n v="666"/>
    <n v="0.82"/>
    <n v="0"/>
    <n v="0"/>
    <n v="0"/>
    <n v="0"/>
    <n v="0"/>
    <s v="--"/>
    <s v="--"/>
    <d v="1899-12-30T03:42:39"/>
    <d v="1899-12-30T00:00:00"/>
    <n v="0"/>
    <d v="1899-12-30T00:00:00"/>
    <s v="Não"/>
    <s v="05:16.08"/>
    <n v="10"/>
    <n v="0"/>
    <d v="1899-12-30T01:55:57"/>
    <d v="1899-12-30T03:42:39"/>
    <n v="218"/>
    <n v="805"/>
  </r>
  <r>
    <x v="2"/>
    <d v="2021-02-20T07:14:03"/>
    <s v="false"/>
    <s v="Blumenau Corrida"/>
    <n v="14.01"/>
    <n v="1011"/>
    <d v="1899-12-30T01:33:35"/>
    <n v="169"/>
    <n v="186"/>
    <n v="5"/>
    <n v="147"/>
    <n v="180"/>
    <d v="1899-12-30T06:41:00"/>
    <d v="1899-12-30T04:44:00"/>
    <n v="224"/>
    <n v="233"/>
    <n v="1.02"/>
    <n v="0"/>
    <n v="0"/>
    <n v="0"/>
    <n v="0"/>
    <n v="0"/>
    <s v="--"/>
    <s v="--"/>
    <d v="1899-12-30T01:33:35"/>
    <d v="1899-12-30T00:00:00"/>
    <n v="0"/>
    <d v="1899-12-30T00:00:00"/>
    <s v="Não"/>
    <s v="00:05.93"/>
    <n v="15"/>
    <n v="0"/>
    <d v="1899-12-30T01:33:33"/>
    <d v="1899-12-30T01:33:35"/>
    <n v="16"/>
    <n v="111"/>
  </r>
  <r>
    <x v="2"/>
    <d v="2021-02-18T06:37:03"/>
    <s v="false"/>
    <s v="Blumenau - Run Workout"/>
    <n v="10.01"/>
    <n v="683"/>
    <d v="1899-12-30T01:00:54"/>
    <n v="172"/>
    <n v="186"/>
    <n v="5"/>
    <n v="155"/>
    <n v="171"/>
    <d v="1899-12-30T06:05:00"/>
    <d v="1899-12-30T02:01:00"/>
    <n v="158"/>
    <n v="161"/>
    <n v="1.06"/>
    <n v="0"/>
    <n v="0"/>
    <n v="0"/>
    <n v="0"/>
    <n v="0"/>
    <s v="--"/>
    <s v="--"/>
    <d v="1899-12-30T01:00:54"/>
    <d v="1899-12-30T00:00:00"/>
    <n v="0"/>
    <d v="1899-12-30T00:00:00"/>
    <s v="Não"/>
    <s v="00:03.16"/>
    <n v="2"/>
    <n v="0"/>
    <d v="1899-12-30T01:00:35"/>
    <d v="1899-12-30T01:00:54"/>
    <n v="-35"/>
    <n v="56"/>
  </r>
  <r>
    <x v="2"/>
    <d v="2021-02-16T18:01:02"/>
    <s v="false"/>
    <s v="Blumenau - 4 x 1km com intervalo 3min caminhando"/>
    <n v="9.44"/>
    <n v="593"/>
    <d v="1899-12-30T01:09:36"/>
    <n v="157"/>
    <n v="187"/>
    <n v="3.8"/>
    <n v="137"/>
    <n v="168"/>
    <d v="1899-12-30T07:22:00"/>
    <d v="1899-12-30T04:27:00"/>
    <n v="22"/>
    <n v="24"/>
    <n v="0.97"/>
    <n v="0"/>
    <n v="0"/>
    <n v="0"/>
    <n v="0"/>
    <n v="0"/>
    <s v="--"/>
    <s v="--"/>
    <d v="1899-12-30T01:09:36"/>
    <d v="1899-12-30T00:00:00"/>
    <n v="0"/>
    <d v="1899-12-30T00:00:00"/>
    <s v="Não"/>
    <s v="03:00.00"/>
    <n v="11"/>
    <n v="0"/>
    <d v="1899-12-30T01:07:23"/>
    <d v="1899-12-30T01:09:36"/>
    <n v="9"/>
    <n v="26"/>
  </r>
  <r>
    <x v="2"/>
    <d v="2021-02-14T08:18:42"/>
    <s v="false"/>
    <s v="Blumenau Corrida"/>
    <n v="12.52"/>
    <n v="960"/>
    <d v="1899-12-30T01:27:17"/>
    <n v="174"/>
    <n v="188"/>
    <n v="5"/>
    <n v="143"/>
    <n v="170"/>
    <d v="1899-12-30T06:58:00"/>
    <d v="1899-12-30T05:25:00"/>
    <n v="259"/>
    <n v="240"/>
    <n v="1"/>
    <n v="0"/>
    <n v="0"/>
    <n v="0"/>
    <n v="0"/>
    <n v="0"/>
    <s v="--"/>
    <s v="--"/>
    <d v="1899-12-30T01:27:17"/>
    <d v="1899-12-30T00:00:00"/>
    <n v="0"/>
    <d v="1899-12-30T00:00:00"/>
    <s v="Não"/>
    <s v="03:00.45"/>
    <n v="13"/>
    <n v="0"/>
    <d v="1899-12-30T01:24:57"/>
    <d v="1899-12-30T01:27:17"/>
    <n v="18"/>
    <n v="127"/>
  </r>
  <r>
    <x v="2"/>
    <d v="2021-02-11T06:38:53"/>
    <s v="false"/>
    <s v="Blumenau - Run Workout"/>
    <n v="8.6300000000000008"/>
    <n v="583"/>
    <d v="1899-12-30T00:54:28"/>
    <n v="172"/>
    <n v="188"/>
    <n v="4.7"/>
    <n v="154"/>
    <n v="172"/>
    <d v="1899-12-30T06:19:00"/>
    <d v="1899-12-30T03:53:00"/>
    <n v="67"/>
    <n v="74"/>
    <n v="1.02"/>
    <n v="0"/>
    <n v="0"/>
    <n v="0"/>
    <n v="0"/>
    <n v="0"/>
    <s v="--"/>
    <s v="--"/>
    <d v="1900-01-01T06:28:00"/>
    <d v="1899-12-30T00:00:00"/>
    <n v="0"/>
    <d v="1899-12-30T00:00:00"/>
    <s v="Não"/>
    <s v="06:57.48"/>
    <n v="2"/>
    <n v="0"/>
    <d v="1899-12-30T00:54:20"/>
    <d v="1899-12-30T00:54:28"/>
    <n v="9"/>
    <n v="49"/>
  </r>
  <r>
    <x v="2"/>
    <d v="2021-02-09T06:29:20"/>
    <s v="false"/>
    <s v="Blumenau - 10 x 400 - intervalo 1 minuto"/>
    <n v="8.3000000000000007"/>
    <n v="562"/>
    <d v="1899-12-30T00:56:10"/>
    <n v="163"/>
    <n v="183"/>
    <n v="4.0999999999999996"/>
    <n v="139"/>
    <n v="173"/>
    <d v="1899-12-30T06:46:00"/>
    <d v="1899-12-30T03:16:00"/>
    <n v="10"/>
    <n v="20"/>
    <n v="1.07"/>
    <n v="0"/>
    <n v="0"/>
    <n v="0"/>
    <n v="0"/>
    <n v="0"/>
    <s v="--"/>
    <s v="--"/>
    <d v="1900-01-01T08:10:00"/>
    <d v="1899-12-30T00:00:00"/>
    <n v="0"/>
    <d v="1899-12-30T00:00:00"/>
    <s v="Não"/>
    <s v="00:02.67"/>
    <n v="23"/>
    <n v="0"/>
    <d v="1899-12-30T00:47:22"/>
    <d v="1899-12-30T00:56:10"/>
    <n v="9"/>
    <n v="26"/>
  </r>
  <r>
    <x v="2"/>
    <d v="2021-02-06T07:20:28"/>
    <s v="false"/>
    <s v="Blumenau - Run Workout"/>
    <n v="10.01"/>
    <n v="697"/>
    <d v="1899-12-30T01:06:23"/>
    <n v="168"/>
    <n v="181"/>
    <n v="4.5"/>
    <n v="146"/>
    <n v="171"/>
    <d v="1899-12-30T06:38:00"/>
    <d v="1899-12-30T03:11:00"/>
    <n v="126"/>
    <n v="126"/>
    <n v="1.04"/>
    <n v="0"/>
    <n v="0"/>
    <n v="0"/>
    <n v="0"/>
    <n v="0"/>
    <s v="--"/>
    <s v="--"/>
    <d v="1899-12-30T01:06:23"/>
    <d v="1899-12-30T00:00:00"/>
    <n v="0"/>
    <d v="1899-12-30T00:00:00"/>
    <s v="Não"/>
    <s v="20:26.31"/>
    <n v="2"/>
    <n v="0"/>
    <d v="1899-12-30T01:06:23"/>
    <d v="1899-12-30T01:06:23"/>
    <n v="17"/>
    <n v="50"/>
  </r>
  <r>
    <x v="2"/>
    <d v="2021-02-02T06:34:54"/>
    <s v="false"/>
    <s v="Blumenau - Run Workout"/>
    <n v="7"/>
    <n v="445"/>
    <d v="1899-12-30T00:44:30"/>
    <n v="163"/>
    <n v="180"/>
    <n v="3.9"/>
    <n v="155"/>
    <n v="170"/>
    <d v="1899-12-30T06:21:00"/>
    <d v="1899-12-30T01:43:00"/>
    <n v="53"/>
    <n v="64"/>
    <n v="1.02"/>
    <n v="0"/>
    <n v="0"/>
    <n v="0"/>
    <n v="0"/>
    <n v="0"/>
    <s v="--"/>
    <s v="--"/>
    <d v="1899-12-31T20:30:00"/>
    <d v="1899-12-30T00:00:00"/>
    <n v="0"/>
    <d v="1899-12-30T00:00:00"/>
    <s v="Não"/>
    <s v="00:03.29"/>
    <n v="2"/>
    <n v="0"/>
    <d v="1899-12-30T00:44:30"/>
    <d v="1899-12-30T00:44:30"/>
    <n v="9"/>
    <n v="49"/>
  </r>
  <r>
    <x v="2"/>
    <d v="2021-01-30T07:09:55"/>
    <s v="false"/>
    <s v="Gaspar Corrida"/>
    <n v="16.73"/>
    <n v="1528"/>
    <d v="1899-12-30T02:43:39"/>
    <n v="168"/>
    <n v="201"/>
    <n v="5"/>
    <n v="102"/>
    <n v="173"/>
    <d v="1899-12-30T09:47:00"/>
    <d v="1899-12-30T04:41:00"/>
    <n v="870"/>
    <n v="691"/>
    <n v="0.97"/>
    <n v="0"/>
    <n v="0"/>
    <n v="0"/>
    <n v="0"/>
    <n v="0"/>
    <s v="--"/>
    <s v="--"/>
    <d v="1899-12-30T02:43:39"/>
    <d v="1899-12-30T00:00:00"/>
    <n v="0"/>
    <d v="1899-12-30T00:00:00"/>
    <s v="Não"/>
    <s v="04:47.11"/>
    <n v="17"/>
    <n v="0"/>
    <d v="1899-12-30T02:20:35"/>
    <d v="1899-12-30T02:44:34"/>
    <n v="115"/>
    <n v="802"/>
  </r>
  <r>
    <x v="2"/>
    <d v="2021-01-28T06:33:35"/>
    <s v="false"/>
    <s v="Blumenau - Run Workout"/>
    <n v="8.64"/>
    <n v="588"/>
    <d v="1899-12-30T00:59:34"/>
    <n v="168"/>
    <n v="185"/>
    <n v="5"/>
    <n v="149"/>
    <n v="171"/>
    <d v="1899-12-30T06:54:00"/>
    <d v="1899-12-30T03:31:00"/>
    <n v="62"/>
    <n v="69"/>
    <n v="0.97"/>
    <n v="0"/>
    <n v="0"/>
    <n v="0"/>
    <n v="0"/>
    <n v="0"/>
    <s v="--"/>
    <s v="--"/>
    <d v="1900-01-01T11:34:00"/>
    <d v="1899-12-30T00:00:00"/>
    <n v="0"/>
    <d v="1899-12-30T00:00:00"/>
    <s v="Não"/>
    <s v="07:55.08"/>
    <n v="2"/>
    <n v="0"/>
    <d v="1899-12-30T00:58:39"/>
    <d v="1899-12-30T00:59:34"/>
    <n v="9"/>
    <n v="49"/>
  </r>
  <r>
    <x v="2"/>
    <d v="2021-01-26T06:33:32"/>
    <s v="false"/>
    <s v="Blumenau - Teste de 5km"/>
    <n v="8.36"/>
    <n v="523"/>
    <d v="1899-12-30T01:01:25"/>
    <n v="164"/>
    <n v="190"/>
    <n v="5"/>
    <n v="140"/>
    <n v="173"/>
    <d v="1899-12-30T07:21:00"/>
    <d v="1899-12-30T03:53:00"/>
    <n v="18"/>
    <n v="23"/>
    <n v="1.04"/>
    <n v="0"/>
    <n v="0"/>
    <n v="0"/>
    <n v="0"/>
    <n v="0"/>
    <s v="--"/>
    <s v="--"/>
    <d v="1899-12-30T01:01:25"/>
    <d v="1899-12-30T00:00:00"/>
    <n v="0"/>
    <d v="1899-12-30T00:00:00"/>
    <s v="Não"/>
    <s v="00:20.00"/>
    <n v="15"/>
    <n v="0"/>
    <d v="1899-12-30T00:58:30"/>
    <d v="1899-12-30T01:01:25"/>
    <n v="9"/>
    <n v="26"/>
  </r>
  <r>
    <x v="2"/>
    <d v="2021-01-23T07:17:01"/>
    <s v="false"/>
    <s v="Blumenau - Teste de 1km SUBIDA"/>
    <n v="7.89"/>
    <n v="531"/>
    <d v="1899-12-30T01:07:03"/>
    <n v="161"/>
    <n v="191"/>
    <n v="4.8"/>
    <n v="125"/>
    <n v="170"/>
    <d v="1899-12-30T08:30:00"/>
    <d v="1899-12-30T04:23:00"/>
    <n v="129"/>
    <n v="125"/>
    <n v="0.94"/>
    <n v="0"/>
    <n v="0"/>
    <n v="0"/>
    <n v="0"/>
    <n v="0"/>
    <s v="--"/>
    <s v="--"/>
    <d v="1899-12-30T01:07:03"/>
    <d v="1899-12-30T00:00:00"/>
    <n v="0"/>
    <d v="1899-12-30T00:00:00"/>
    <s v="Não"/>
    <s v="00:20.00"/>
    <n v="15"/>
    <n v="0"/>
    <d v="1899-12-30T01:02:59"/>
    <d v="1899-12-30T01:07:03"/>
    <n v="9"/>
    <n v="138"/>
  </r>
  <r>
    <x v="2"/>
    <d v="2021-01-19T06:34:00"/>
    <s v="false"/>
    <s v="Blumenau - Teste de 1km"/>
    <n v="6.52"/>
    <n v="353"/>
    <d v="1899-12-30T00:53:29"/>
    <n v="147"/>
    <n v="192"/>
    <n v="3.9"/>
    <n v="130"/>
    <n v="186"/>
    <d v="1899-12-30T08:12:00"/>
    <d v="1899-12-30T02:42:00"/>
    <n v="14"/>
    <n v="16"/>
    <n v="0.9"/>
    <n v="0"/>
    <n v="0"/>
    <n v="0"/>
    <n v="0"/>
    <n v="0"/>
    <s v="--"/>
    <s v="--"/>
    <d v="1900-01-01T05:29:00"/>
    <d v="1899-12-30T00:00:00"/>
    <n v="0"/>
    <d v="1899-12-30T00:00:00"/>
    <s v="Não"/>
    <s v="00:20.00"/>
    <n v="15"/>
    <n v="0"/>
    <d v="1899-12-30T00:51:02"/>
    <d v="1899-12-30T00:53:29"/>
    <n v="9"/>
    <n v="26"/>
  </r>
  <r>
    <x v="2"/>
    <d v="2021-01-16T07:10:16"/>
    <s v="false"/>
    <s v="Blumenau Corrida"/>
    <n v="5.91"/>
    <n v="383"/>
    <d v="1899-12-30T00:37:58"/>
    <n v="169"/>
    <n v="184"/>
    <n v="4.8"/>
    <n v="150"/>
    <n v="168"/>
    <d v="1899-12-30T06:26:00"/>
    <d v="1899-12-30T04:47:00"/>
    <n v="67"/>
    <n v="57"/>
    <n v="1.04"/>
    <n v="0"/>
    <n v="0"/>
    <n v="0"/>
    <n v="0"/>
    <n v="0"/>
    <s v="--"/>
    <s v="--"/>
    <d v="1899-12-31T13:58:00"/>
    <d v="1899-12-30T00:00:00"/>
    <n v="0"/>
    <d v="1899-12-30T00:00:00"/>
    <s v="Não"/>
    <s v="05:47.76"/>
    <n v="6"/>
    <n v="0"/>
    <d v="1899-12-30T00:37:57"/>
    <d v="1899-12-30T00:37:58"/>
    <n v="22"/>
    <n v="60"/>
  </r>
  <r>
    <x v="2"/>
    <d v="2021-01-14T06:37:16"/>
    <s v="false"/>
    <s v="Blumenau Corrida"/>
    <n v="8.01"/>
    <n v="521"/>
    <d v="1899-12-30T00:51:12"/>
    <n v="172"/>
    <n v="186"/>
    <n v="5"/>
    <n v="149"/>
    <n v="170"/>
    <d v="1899-12-30T06:23:00"/>
    <d v="1899-12-30T05:27:00"/>
    <n v="44"/>
    <n v="55"/>
    <n v="1.05"/>
    <n v="0"/>
    <n v="0"/>
    <n v="0"/>
    <n v="0"/>
    <n v="0"/>
    <s v="--"/>
    <s v="--"/>
    <d v="1900-01-01T03:12:00"/>
    <d v="1899-12-30T00:00:00"/>
    <n v="0"/>
    <d v="1899-12-30T00:00:00"/>
    <s v="Não"/>
    <s v="00:05.40"/>
    <n v="9"/>
    <n v="0"/>
    <d v="1899-12-30T00:50:56"/>
    <d v="1899-12-30T00:51:12"/>
    <n v="9"/>
    <n v="49"/>
  </r>
  <r>
    <x v="2"/>
    <d v="2021-01-12T07:08:13"/>
    <s v="false"/>
    <s v="Blumenau Corrida"/>
    <n v="8.01"/>
    <n v="550"/>
    <d v="1899-12-30T00:51:24"/>
    <n v="177"/>
    <n v="195"/>
    <n v="5"/>
    <n v="147"/>
    <n v="170"/>
    <d v="1899-12-30T06:25:00"/>
    <d v="1899-12-30T05:12:00"/>
    <n v="76"/>
    <n v="83"/>
    <n v="1.06"/>
    <n v="0"/>
    <n v="0"/>
    <n v="0"/>
    <n v="0"/>
    <n v="0"/>
    <s v="--"/>
    <s v="--"/>
    <d v="1900-01-01T03:24:00"/>
    <d v="1899-12-30T00:00:00"/>
    <n v="0"/>
    <d v="1899-12-30T00:00:00"/>
    <s v="Não"/>
    <s v="00:02.05"/>
    <n v="9"/>
    <n v="0"/>
    <d v="1899-12-30T00:51:22"/>
    <d v="1899-12-30T00:51:24"/>
    <n v="17"/>
    <n v="51"/>
  </r>
  <r>
    <x v="2"/>
    <d v="2020-12-31T10:06:13"/>
    <s v="false"/>
    <s v="Corrida"/>
    <n v="8.01"/>
    <n v="601"/>
    <d v="1899-12-30T00:48:30"/>
    <s v="--"/>
    <s v="--"/>
    <s v="--"/>
    <n v="156"/>
    <n v="164"/>
    <d v="1899-12-30T06:03:00"/>
    <d v="1899-12-30T04:59:00"/>
    <s v="--"/>
    <s v="--"/>
    <n v="1.06"/>
    <n v="0"/>
    <n v="0"/>
    <n v="0"/>
    <n v="0"/>
    <n v="0"/>
    <s v="--"/>
    <s v="--"/>
    <d v="1900-01-01T00:30:00"/>
    <d v="1899-12-30T00:00:00"/>
    <n v="0"/>
    <d v="1899-12-30T00:00:00"/>
    <s v="Não"/>
    <s v="00:02.35"/>
    <n v="9"/>
    <n v="0"/>
    <d v="1899-12-30T00:48:28"/>
    <d v="1899-12-30T00:48:30"/>
    <s v="--"/>
    <s v="--"/>
  </r>
  <r>
    <x v="2"/>
    <d v="2020-12-26T06:53:23"/>
    <s v="false"/>
    <s v="Corrida"/>
    <n v="12.01"/>
    <n v="900"/>
    <d v="1899-12-30T01:14:12"/>
    <s v="--"/>
    <s v="--"/>
    <s v="--"/>
    <n v="153"/>
    <n v="164"/>
    <d v="1899-12-30T06:11:00"/>
    <d v="1899-12-30T05:03:00"/>
    <s v="--"/>
    <s v="--"/>
    <n v="1.06"/>
    <n v="0"/>
    <n v="0"/>
    <n v="0"/>
    <n v="0"/>
    <n v="0"/>
    <s v="--"/>
    <s v="--"/>
    <d v="1899-12-30T01:14:12"/>
    <d v="1899-12-30T00:00:00"/>
    <n v="0"/>
    <d v="1899-12-30T00:00:00"/>
    <s v="Não"/>
    <s v="00:04.68"/>
    <n v="13"/>
    <n v="0"/>
    <d v="1899-12-30T01:14:10"/>
    <d v="1899-12-30T01:14:12"/>
    <s v="--"/>
    <s v="--"/>
  </r>
  <r>
    <x v="2"/>
    <d v="2020-12-22T06:37:37"/>
    <s v="false"/>
    <s v="Blumenau - 10 x 400 - intervalo 1 minuto"/>
    <n v="8.4499999999999993"/>
    <n v="585"/>
    <d v="1899-12-30T01:07:14"/>
    <s v="--"/>
    <s v="--"/>
    <s v="--"/>
    <n v="126"/>
    <n v="181"/>
    <d v="1899-12-30T07:57:00"/>
    <d v="1899-12-30T03:41:00"/>
    <n v="13"/>
    <n v="17"/>
    <n v="0.98"/>
    <n v="0"/>
    <n v="0"/>
    <n v="0"/>
    <n v="0"/>
    <n v="0"/>
    <s v="--"/>
    <s v="--"/>
    <d v="1899-12-30T01:07:14"/>
    <d v="1899-12-30T00:00:00"/>
    <n v="0"/>
    <d v="1899-12-30T00:00:00"/>
    <s v="Não"/>
    <s v="01:00.00"/>
    <n v="23"/>
    <n v="0"/>
    <d v="1899-12-30T00:58:50"/>
    <d v="1899-12-30T01:07:14"/>
    <n v="12"/>
    <n v="29"/>
  </r>
  <r>
    <x v="2"/>
    <d v="2020-12-20T20:48:46"/>
    <s v="false"/>
    <s v="Corrida"/>
    <n v="3.01"/>
    <n v="156"/>
    <d v="1899-12-30T00:34:40"/>
    <s v="--"/>
    <s v="--"/>
    <s v="--"/>
    <n v="112"/>
    <n v="130"/>
    <d v="1899-12-30T11:31:00"/>
    <d v="1899-12-30T09:30:00"/>
    <s v="--"/>
    <s v="--"/>
    <n v="0.78"/>
    <n v="0"/>
    <n v="0"/>
    <n v="0"/>
    <n v="0"/>
    <n v="0"/>
    <s v="--"/>
    <s v="--"/>
    <d v="1899-12-31T10:40:00"/>
    <d v="1899-12-30T00:00:00"/>
    <n v="0"/>
    <d v="1899-12-30T00:00:00"/>
    <s v="Não"/>
    <s v="00:07.04"/>
    <n v="4"/>
    <n v="0"/>
    <d v="1899-12-30T00:34:40"/>
    <d v="1899-12-30T00:34:40"/>
    <s v="--"/>
    <s v="--"/>
  </r>
  <r>
    <x v="2"/>
    <d v="2020-12-17T06:37:53"/>
    <s v="false"/>
    <s v="Blumenau - 8 x 500m com intervalo 2min caminhando"/>
    <n v="7.42"/>
    <n v="515"/>
    <d v="1899-12-30T00:52:59"/>
    <s v="--"/>
    <s v="--"/>
    <s v="--"/>
    <n v="138"/>
    <n v="240"/>
    <d v="1899-12-30T07:08:00"/>
    <d v="1899-12-30T03:44:00"/>
    <n v="15"/>
    <n v="17"/>
    <n v="0.98"/>
    <n v="0"/>
    <n v="0"/>
    <n v="0"/>
    <n v="0"/>
    <n v="0"/>
    <s v="--"/>
    <s v="--"/>
    <d v="1900-01-01T04:59:00"/>
    <d v="1899-12-30T00:00:00"/>
    <n v="0"/>
    <d v="1899-12-30T00:00:00"/>
    <s v="Não"/>
    <s v="02:00.00"/>
    <n v="18"/>
    <n v="0"/>
    <d v="1899-12-30T00:52:55"/>
    <d v="1899-12-30T00:52:59"/>
    <n v="12"/>
    <n v="29"/>
  </r>
  <r>
    <x v="2"/>
    <d v="2020-12-15T06:28:31"/>
    <s v="false"/>
    <s v="Corrida"/>
    <n v="8"/>
    <n v="565"/>
    <d v="1899-12-30T00:58:13"/>
    <s v="--"/>
    <s v="--"/>
    <s v="--"/>
    <n v="133"/>
    <n v="164"/>
    <d v="1899-12-30T07:16:00"/>
    <d v="1899-12-30T05:31:00"/>
    <s v="--"/>
    <s v="--"/>
    <n v="1.02"/>
    <n v="0"/>
    <n v="0"/>
    <n v="0"/>
    <n v="0"/>
    <n v="0"/>
    <s v="--"/>
    <s v="--"/>
    <d v="1900-01-01T10:13:00"/>
    <d v="1899-12-30T00:00:00"/>
    <n v="0"/>
    <d v="1899-12-30T00:00:00"/>
    <s v="Não"/>
    <s v="00:05.71"/>
    <n v="9"/>
    <n v="0"/>
    <d v="1899-12-30T00:58:11"/>
    <d v="1899-12-30T00:58:13"/>
    <s v="--"/>
    <s v="--"/>
  </r>
  <r>
    <x v="2"/>
    <d v="2020-12-13T07:22:58"/>
    <s v="false"/>
    <s v="Gaspar Corrida"/>
    <n v="13.44"/>
    <n v="885"/>
    <d v="1899-12-30T01:52:17"/>
    <s v="--"/>
    <s v="--"/>
    <s v="--"/>
    <n v="127"/>
    <n v="246"/>
    <d v="1899-12-30T08:21:00"/>
    <d v="1899-12-30T02:42:00"/>
    <n v="449"/>
    <n v="496"/>
    <n v="0.94"/>
    <n v="0"/>
    <n v="0"/>
    <n v="0"/>
    <n v="0"/>
    <n v="0"/>
    <s v="--"/>
    <s v="--"/>
    <d v="1899-12-30T01:52:17"/>
    <d v="1899-12-30T00:00:00"/>
    <n v="0"/>
    <d v="1899-12-30T00:00:00"/>
    <s v="Não"/>
    <s v="03:07.57"/>
    <n v="14"/>
    <n v="0"/>
    <d v="1899-12-30T01:48:39"/>
    <d v="1899-12-30T01:52:17"/>
    <n v="90"/>
    <n v="374"/>
  </r>
  <r>
    <x v="2"/>
    <d v="2020-12-10T06:43:18"/>
    <s v="false"/>
    <s v="Blumenau Corrida"/>
    <n v="7.34"/>
    <n v="505"/>
    <d v="1899-12-30T00:54:00"/>
    <s v="--"/>
    <s v="--"/>
    <s v="--"/>
    <n v="139"/>
    <n v="175"/>
    <d v="1899-12-30T07:22:00"/>
    <d v="1899-12-30T03:42:00"/>
    <n v="19"/>
    <n v="21"/>
    <n v="0.95"/>
    <n v="0"/>
    <n v="0"/>
    <n v="0"/>
    <n v="0"/>
    <n v="0"/>
    <s v="--"/>
    <s v="--"/>
    <d v="1900-01-01T06:00:00"/>
    <d v="1899-12-30T00:00:00"/>
    <n v="0"/>
    <d v="1899-12-30T00:00:00"/>
    <s v="Não"/>
    <s v="12:23.58"/>
    <n v="3"/>
    <n v="0"/>
    <d v="1899-12-30T00:54:00"/>
    <d v="1899-12-30T00:54:00"/>
    <n v="12"/>
    <n v="28"/>
  </r>
  <r>
    <x v="2"/>
    <d v="2020-12-08T06:34:04"/>
    <s v="false"/>
    <s v="Blumenau Corrida"/>
    <n v="7.38"/>
    <n v="496"/>
    <d v="1899-12-30T00:52:47"/>
    <s v="--"/>
    <s v="--"/>
    <s v="--"/>
    <n v="139"/>
    <n v="173"/>
    <d v="1899-12-30T07:09:00"/>
    <d v="1899-12-30T03:41:00"/>
    <n v="15"/>
    <n v="17"/>
    <n v="0.97"/>
    <n v="0"/>
    <n v="0"/>
    <n v="0"/>
    <n v="0"/>
    <n v="0"/>
    <s v="--"/>
    <s v="--"/>
    <d v="1900-01-01T04:47:00"/>
    <d v="1899-12-30T00:00:00"/>
    <n v="0"/>
    <d v="1899-12-30T00:00:00"/>
    <s v="Não"/>
    <s v="01:00.00"/>
    <n v="8"/>
    <n v="0"/>
    <d v="1899-12-30T00:52:25"/>
    <d v="1899-12-30T00:53:22"/>
    <n v="12"/>
    <n v="29"/>
  </r>
  <r>
    <x v="2"/>
    <d v="2020-12-05T07:09:03"/>
    <s v="false"/>
    <s v="Blumenau Corrida"/>
    <n v="7.54"/>
    <n v="536"/>
    <d v="1899-12-30T00:51:05"/>
    <s v="--"/>
    <s v="--"/>
    <s v="--"/>
    <n v="134"/>
    <n v="246"/>
    <d v="1899-12-30T06:46:00"/>
    <d v="1899-12-30T04:18:00"/>
    <n v="22"/>
    <n v="27"/>
    <n v="1.2"/>
    <n v="0"/>
    <n v="0"/>
    <n v="0"/>
    <n v="0"/>
    <n v="0"/>
    <s v="--"/>
    <s v="--"/>
    <d v="1900-01-01T03:05:00"/>
    <d v="1899-12-30T00:00:00"/>
    <n v="0"/>
    <d v="1899-12-30T00:00:00"/>
    <s v="Não"/>
    <s v="04:00.00"/>
    <n v="8"/>
    <n v="0"/>
    <d v="1899-12-30T00:44:04"/>
    <d v="1899-12-30T00:51:33"/>
    <n v="12"/>
    <n v="30"/>
  </r>
  <r>
    <x v="2"/>
    <d v="2020-12-01T18:34:24"/>
    <s v="false"/>
    <s v="Corrida"/>
    <n v="6.79"/>
    <n v="494"/>
    <d v="1899-12-30T00:40:03"/>
    <s v="--"/>
    <s v="--"/>
    <s v="--"/>
    <n v="155"/>
    <n v="161"/>
    <d v="1899-12-30T05:54:00"/>
    <d v="1899-12-30T05:19:00"/>
    <s v="--"/>
    <s v="--"/>
    <n v="1.0900000000000001"/>
    <n v="0"/>
    <n v="0"/>
    <n v="0"/>
    <n v="0"/>
    <n v="0"/>
    <s v="--"/>
    <s v="--"/>
    <d v="1899-12-31T16:03:00"/>
    <d v="1899-12-30T00:00:00"/>
    <n v="0"/>
    <d v="1899-12-30T00:00:00"/>
    <s v="Não"/>
    <s v="04:33.26"/>
    <n v="7"/>
    <n v="0"/>
    <d v="1899-12-30T00:40:02"/>
    <d v="1899-12-30T00:40:03"/>
    <s v="--"/>
    <s v="--"/>
  </r>
  <r>
    <x v="2"/>
    <d v="2020-11-28T06:10:16"/>
    <s v="false"/>
    <s v="Ilhota Corrida"/>
    <n v="22.01"/>
    <n v="1437"/>
    <d v="1899-12-30T02:50:34"/>
    <s v="--"/>
    <s v="--"/>
    <s v="--"/>
    <n v="124"/>
    <n v="182"/>
    <d v="1899-12-30T07:45:00"/>
    <d v="1899-12-30T04:20:00"/>
    <n v="858"/>
    <n v="861"/>
    <n v="1.04"/>
    <n v="0"/>
    <n v="0"/>
    <n v="0"/>
    <n v="0"/>
    <n v="0"/>
    <s v="--"/>
    <s v="--"/>
    <d v="1899-12-30T02:50:34"/>
    <d v="1899-12-30T00:00:00"/>
    <n v="0"/>
    <d v="1899-12-30T00:00:00"/>
    <s v="Não"/>
    <s v="00:05.52"/>
    <n v="23"/>
    <n v="0"/>
    <d v="1899-12-30T02:49:22"/>
    <d v="1899-12-30T02:50:34"/>
    <n v="209"/>
    <n v="514"/>
  </r>
  <r>
    <x v="2"/>
    <d v="2020-11-26T06:26:45"/>
    <s v="false"/>
    <s v="Blumenau Corrida"/>
    <n v="10.119999999999999"/>
    <n v="728"/>
    <d v="1899-12-30T01:02:06"/>
    <s v="--"/>
    <s v="--"/>
    <s v="--"/>
    <n v="158"/>
    <n v="171"/>
    <d v="1899-12-30T06:08:00"/>
    <d v="1899-12-30T04:59:00"/>
    <n v="45"/>
    <n v="50"/>
    <n v="1.03"/>
    <n v="0"/>
    <n v="0"/>
    <n v="0"/>
    <n v="0"/>
    <n v="0"/>
    <s v="--"/>
    <s v="--"/>
    <d v="1899-12-30T01:02:06"/>
    <d v="1899-12-30T00:00:00"/>
    <n v="0"/>
    <d v="1899-12-30T00:00:00"/>
    <s v="Não"/>
    <s v="01:21.53"/>
    <n v="11"/>
    <n v="0"/>
    <d v="1899-12-30T01:02:04"/>
    <d v="1899-12-30T01:02:06"/>
    <n v="12"/>
    <n v="41"/>
  </r>
  <r>
    <x v="2"/>
    <d v="2020-11-24T06:51:15"/>
    <s v="false"/>
    <s v="Blumenau Corrida"/>
    <n v="10.43"/>
    <n v="700"/>
    <d v="1899-12-30T01:13:12"/>
    <s v="--"/>
    <s v="--"/>
    <s v="--"/>
    <n v="134"/>
    <n v="173"/>
    <d v="1899-12-30T07:01:00"/>
    <d v="1899-12-30T03:59:00"/>
    <n v="32"/>
    <n v="35"/>
    <n v="1.02"/>
    <n v="0"/>
    <n v="0"/>
    <n v="0"/>
    <n v="0"/>
    <n v="0"/>
    <s v="--"/>
    <s v="--"/>
    <d v="1899-12-30T01:13:12"/>
    <d v="1899-12-30T00:00:00"/>
    <n v="0"/>
    <d v="1899-12-30T00:00:00"/>
    <s v="Não"/>
    <s v="01:00.00"/>
    <n v="26"/>
    <n v="0"/>
    <d v="1899-12-30T01:10:21"/>
    <d v="1899-12-30T01:13:12"/>
    <n v="12"/>
    <n v="28"/>
  </r>
  <r>
    <x v="2"/>
    <d v="2020-11-21T07:31:30"/>
    <s v="false"/>
    <s v="Blumenau Corrida"/>
    <n v="10.01"/>
    <n v="694"/>
    <d v="1899-12-30T01:03:31"/>
    <s v="--"/>
    <s v="--"/>
    <s v="--"/>
    <n v="151"/>
    <n v="168"/>
    <d v="1899-12-30T06:21:00"/>
    <d v="1899-12-30T04:08:00"/>
    <n v="143"/>
    <n v="144"/>
    <n v="1.04"/>
    <n v="0"/>
    <n v="0"/>
    <n v="0"/>
    <n v="0"/>
    <n v="0"/>
    <s v="--"/>
    <s v="--"/>
    <d v="1899-12-30T01:03:31"/>
    <d v="1899-12-30T00:00:00"/>
    <n v="0"/>
    <d v="1899-12-30T00:00:00"/>
    <s v="Não"/>
    <s v="00:01.88"/>
    <n v="11"/>
    <n v="0"/>
    <d v="1899-12-30T01:03:27"/>
    <d v="1899-12-30T01:03:31"/>
    <n v="20"/>
    <n v="78"/>
  </r>
  <r>
    <x v="2"/>
    <d v="2020-11-19T06:58:23"/>
    <s v="false"/>
    <s v="Corrida"/>
    <n v="5.01"/>
    <n v="365"/>
    <d v="1899-12-30T00:29:34"/>
    <s v="--"/>
    <s v="--"/>
    <s v="--"/>
    <n v="157"/>
    <n v="167"/>
    <d v="1899-12-30T05:54:00"/>
    <d v="1899-12-30T05:18:00"/>
    <s v="--"/>
    <s v="--"/>
    <n v="1.08"/>
    <n v="0"/>
    <n v="0"/>
    <n v="0"/>
    <n v="0"/>
    <n v="0"/>
    <s v="--"/>
    <s v="--"/>
    <d v="1899-12-31T05:34:00"/>
    <d v="1899-12-30T00:00:00"/>
    <n v="0"/>
    <d v="1899-12-30T00:00:00"/>
    <s v="Não"/>
    <s v="00:02.80"/>
    <n v="6"/>
    <n v="0"/>
    <d v="1899-12-30T00:29:33"/>
    <d v="1899-12-30T00:29:34"/>
    <s v="--"/>
    <s v="--"/>
  </r>
  <r>
    <x v="2"/>
    <d v="2020-11-17T06:39:41"/>
    <s v="false"/>
    <s v="Blumenau - 2 x 5km progressivo"/>
    <n v="9.82"/>
    <n v="713"/>
    <d v="1899-12-30T00:57:25"/>
    <s v="--"/>
    <s v="--"/>
    <s v="--"/>
    <n v="160"/>
    <n v="171"/>
    <d v="1899-12-30T05:51:00"/>
    <d v="1899-12-30T03:50:00"/>
    <n v="42"/>
    <n v="45"/>
    <n v="1.06"/>
    <n v="0"/>
    <n v="0"/>
    <n v="0"/>
    <n v="0"/>
    <n v="0"/>
    <s v="--"/>
    <s v="--"/>
    <d v="1900-01-01T09:25:00"/>
    <d v="1899-12-30T00:00:00"/>
    <n v="0"/>
    <d v="1899-12-30T00:00:00"/>
    <s v="Não"/>
    <s v="00:03.08"/>
    <n v="11"/>
    <n v="0"/>
    <d v="1899-12-30T00:57:23"/>
    <d v="1899-12-30T00:57:37"/>
    <n v="12"/>
    <n v="41"/>
  </r>
  <r>
    <x v="2"/>
    <d v="2020-11-15T07:56:58"/>
    <s v="false"/>
    <s v="Blumenau Corrida"/>
    <n v="12.01"/>
    <n v="843"/>
    <d v="1899-12-30T01:20:55"/>
    <s v="--"/>
    <s v="--"/>
    <s v="--"/>
    <n v="151"/>
    <n v="169"/>
    <d v="1899-12-30T06:44:00"/>
    <d v="1899-12-30T01:30:00"/>
    <n v="178"/>
    <n v="170"/>
    <n v="0.98"/>
    <n v="0"/>
    <n v="0"/>
    <n v="0"/>
    <n v="0"/>
    <n v="0"/>
    <s v="--"/>
    <s v="--"/>
    <d v="1899-12-30T01:20:55"/>
    <d v="1899-12-30T00:00:00"/>
    <n v="0"/>
    <d v="1899-12-30T00:00:00"/>
    <s v="Não"/>
    <s v="00:01.65"/>
    <n v="13"/>
    <n v="0"/>
    <d v="1899-12-30T01:19:30"/>
    <d v="1899-12-30T01:20:55"/>
    <n v="-6"/>
    <n v="78"/>
  </r>
  <r>
    <x v="2"/>
    <d v="2020-11-12T18:45:39"/>
    <s v="false"/>
    <s v="8 x 800m com intervalo 2min caminhando"/>
    <n v="8.84"/>
    <n v="607"/>
    <d v="1899-12-30T00:59:01"/>
    <s v="--"/>
    <s v="--"/>
    <s v="--"/>
    <n v="143"/>
    <n v="168"/>
    <d v="1899-12-30T06:41:00"/>
    <d v="1899-12-30T05:01:00"/>
    <s v="--"/>
    <s v="--"/>
    <n v="1.03"/>
    <n v="0"/>
    <n v="0"/>
    <n v="0"/>
    <n v="0"/>
    <n v="0"/>
    <s v="--"/>
    <s v="--"/>
    <d v="1900-01-01T11:01:00"/>
    <d v="1899-12-30T00:00:00"/>
    <n v="0"/>
    <d v="1899-12-30T00:00:00"/>
    <s v="Não"/>
    <s v="00:06.03"/>
    <n v="18"/>
    <n v="0"/>
    <d v="1899-12-30T00:58:57"/>
    <d v="1899-12-30T00:59:01"/>
    <s v="--"/>
    <s v="--"/>
  </r>
  <r>
    <x v="2"/>
    <d v="2020-11-10T06:36:49"/>
    <s v="false"/>
    <s v="Corrida"/>
    <n v="10.029999999999999"/>
    <n v="732"/>
    <d v="1899-12-30T01:03:26"/>
    <s v="--"/>
    <s v="--"/>
    <s v="--"/>
    <n v="156"/>
    <n v="164"/>
    <d v="1899-12-30T06:19:00"/>
    <d v="1899-12-30T05:38:00"/>
    <s v="--"/>
    <s v="--"/>
    <n v="1.02"/>
    <n v="0"/>
    <n v="0"/>
    <n v="0"/>
    <n v="0"/>
    <n v="0"/>
    <s v="--"/>
    <s v="--"/>
    <d v="1899-12-30T01:03:26"/>
    <d v="1899-12-30T00:00:00"/>
    <n v="0"/>
    <d v="1899-12-30T00:00:00"/>
    <s v="Não"/>
    <s v="00:12.12"/>
    <n v="11"/>
    <n v="0"/>
    <d v="1899-12-30T01:03:24"/>
    <d v="1899-12-30T01:03:26"/>
    <s v="--"/>
    <s v="--"/>
  </r>
  <r>
    <x v="2"/>
    <d v="2020-11-07T07:35:14"/>
    <s v="false"/>
    <s v="Blumenau - 10 x 200m SUBIDA"/>
    <n v="9.66"/>
    <n v="642"/>
    <d v="1899-12-30T01:10:38"/>
    <s v="--"/>
    <s v="--"/>
    <s v="--"/>
    <n v="144"/>
    <n v="175"/>
    <d v="1899-12-30T07:19:00"/>
    <d v="1899-12-30T04:55:00"/>
    <n v="176"/>
    <n v="179"/>
    <n v="0.94"/>
    <n v="0"/>
    <n v="0"/>
    <n v="0"/>
    <n v="0"/>
    <n v="0"/>
    <s v="--"/>
    <s v="--"/>
    <d v="1899-12-30T01:10:38"/>
    <d v="1899-12-30T00:00:00"/>
    <n v="0"/>
    <d v="1899-12-30T00:00:00"/>
    <s v="Não"/>
    <s v="01:06.85"/>
    <n v="22"/>
    <n v="0"/>
    <d v="1899-12-30T01:10:31"/>
    <d v="1899-12-30T01:11:49"/>
    <n v="12"/>
    <n v="40"/>
  </r>
  <r>
    <x v="2"/>
    <d v="2020-11-05T06:39:04"/>
    <s v="false"/>
    <s v="Blumenau Corrida"/>
    <n v="10.01"/>
    <n v="720"/>
    <d v="1899-12-30T00:58:46"/>
    <s v="--"/>
    <s v="--"/>
    <s v="--"/>
    <n v="161"/>
    <n v="171"/>
    <d v="1899-12-30T05:52:00"/>
    <d v="1899-12-30T05:12:00"/>
    <n v="71"/>
    <n v="75"/>
    <n v="1.05"/>
    <n v="0"/>
    <n v="0"/>
    <n v="0"/>
    <n v="0"/>
    <n v="0"/>
    <s v="--"/>
    <s v="--"/>
    <d v="1900-01-01T10:46:00"/>
    <d v="1899-12-30T00:00:00"/>
    <n v="0"/>
    <d v="1899-12-30T00:00:00"/>
    <s v="Não"/>
    <s v="00:02.86"/>
    <n v="11"/>
    <n v="0"/>
    <d v="1899-12-30T00:58:44"/>
    <d v="1899-12-30T00:58:46"/>
    <n v="12"/>
    <n v="56"/>
  </r>
  <r>
    <x v="2"/>
    <d v="2020-10-31T07:40:01"/>
    <s v="false"/>
    <s v="Blumenau Corrida"/>
    <n v="7.01"/>
    <n v="511"/>
    <d v="1899-12-30T00:42:09"/>
    <s v="--"/>
    <s v="--"/>
    <s v="--"/>
    <n v="161"/>
    <n v="170"/>
    <d v="1899-12-30T06:01:00"/>
    <d v="1899-12-30T05:04:00"/>
    <n v="75"/>
    <n v="77"/>
    <n v="1.03"/>
    <n v="0"/>
    <n v="0"/>
    <n v="0"/>
    <n v="0"/>
    <n v="0"/>
    <s v="--"/>
    <s v="--"/>
    <d v="1899-12-31T18:09:00"/>
    <d v="1899-12-30T00:00:00"/>
    <n v="0"/>
    <d v="1899-12-30T00:00:00"/>
    <s v="Não"/>
    <s v="00:03.85"/>
    <n v="8"/>
    <n v="0"/>
    <d v="1899-12-30T00:42:07"/>
    <d v="1899-12-30T00:42:09"/>
    <n v="20"/>
    <n v="63"/>
  </r>
  <r>
    <x v="2"/>
    <d v="2020-10-29T06:43:47"/>
    <s v="false"/>
    <s v="Blumenau Corrida"/>
    <n v="7.01"/>
    <n v="513"/>
    <d v="1899-12-30T00:41:18"/>
    <s v="--"/>
    <s v="--"/>
    <s v="--"/>
    <n v="159"/>
    <n v="170"/>
    <d v="1899-12-30T05:54:00"/>
    <d v="1899-12-30T05:13:00"/>
    <n v="53"/>
    <n v="54"/>
    <n v="1.07"/>
    <n v="0"/>
    <n v="0"/>
    <n v="0"/>
    <n v="0"/>
    <n v="0"/>
    <s v="--"/>
    <s v="--"/>
    <d v="1899-12-31T17:18:00"/>
    <d v="1899-12-30T00:00:00"/>
    <n v="0"/>
    <d v="1899-12-30T00:00:00"/>
    <s v="Não"/>
    <s v="00:02.58"/>
    <n v="8"/>
    <n v="0"/>
    <d v="1899-12-30T00:41:17"/>
    <d v="1899-12-30T00:41:18"/>
    <n v="12"/>
    <n v="56"/>
  </r>
  <r>
    <x v="2"/>
    <d v="2020-10-27T19:11:01"/>
    <s v="false"/>
    <s v="2 x 3km com intervalo 3min caminhando"/>
    <n v="7.56"/>
    <n v="539"/>
    <d v="1899-12-30T00:46:06"/>
    <s v="--"/>
    <s v="--"/>
    <s v="--"/>
    <n v="151"/>
    <n v="170"/>
    <d v="1899-12-30T06:06:00"/>
    <d v="1899-12-30T04:59:00"/>
    <s v="--"/>
    <s v="--"/>
    <n v="1.07"/>
    <n v="0"/>
    <n v="0"/>
    <n v="0"/>
    <n v="0"/>
    <n v="0"/>
    <s v="--"/>
    <s v="--"/>
    <d v="1899-12-31T22:06:00"/>
    <d v="1899-12-30T00:00:00"/>
    <n v="0"/>
    <d v="1899-12-30T00:00:00"/>
    <s v="Não"/>
    <s v="00:50.52"/>
    <n v="6"/>
    <n v="0"/>
    <d v="1899-12-30T00:45:41"/>
    <d v="1899-12-30T00:46:06"/>
    <s v="--"/>
    <s v="--"/>
  </r>
  <r>
    <x v="2"/>
    <d v="2020-10-24T07:58:44"/>
    <s v="false"/>
    <s v="Blumenau Corrida"/>
    <n v="11.58"/>
    <n v="834"/>
    <d v="1899-12-30T01:14:13"/>
    <s v="--"/>
    <s v="--"/>
    <s v="--"/>
    <n v="158"/>
    <n v="173"/>
    <d v="1899-12-30T06:24:00"/>
    <d v="1899-12-30T05:12:00"/>
    <n v="166"/>
    <n v="171"/>
    <n v="0.99"/>
    <n v="0"/>
    <n v="0"/>
    <n v="0"/>
    <n v="0"/>
    <n v="0"/>
    <s v="--"/>
    <s v="--"/>
    <d v="1899-12-30T01:14:13"/>
    <d v="1899-12-30T00:00:00"/>
    <n v="0"/>
    <d v="1899-12-30T00:00:00"/>
    <s v="Não"/>
    <s v="03:30.65"/>
    <n v="12"/>
    <n v="0"/>
    <d v="1899-12-30T01:14:12"/>
    <d v="1899-12-30T01:14:13"/>
    <n v="20"/>
    <n v="116"/>
  </r>
  <r>
    <x v="2"/>
    <d v="2020-10-22T18:09:48"/>
    <s v="false"/>
    <s v="6 x 1km com intervalo 3min parado"/>
    <n v="7.29"/>
    <n v="528"/>
    <d v="1899-12-30T00:55:44"/>
    <s v="--"/>
    <s v="--"/>
    <s v="--"/>
    <n v="114"/>
    <n v="170"/>
    <d v="1899-12-30T07:39:00"/>
    <d v="1899-12-30T04:36:00"/>
    <s v="--"/>
    <s v="--"/>
    <n v="1.1000000000000001"/>
    <n v="0"/>
    <n v="0"/>
    <n v="0"/>
    <n v="0"/>
    <n v="0"/>
    <s v="--"/>
    <s v="--"/>
    <d v="1900-01-01T07:44:00"/>
    <d v="1899-12-30T00:00:00"/>
    <n v="0"/>
    <d v="1899-12-30T00:00:00"/>
    <s v="Não"/>
    <s v="00:01.54"/>
    <n v="14"/>
    <n v="0"/>
    <d v="1899-12-30T00:47:54"/>
    <d v="1899-12-30T00:55:44"/>
    <s v="--"/>
    <s v="--"/>
  </r>
  <r>
    <x v="2"/>
    <d v="2020-10-20T06:33:32"/>
    <s v="false"/>
    <s v="Blumenau Corrida"/>
    <n v="10.01"/>
    <n v="731"/>
    <d v="1899-12-30T00:59:07"/>
    <s v="--"/>
    <s v="--"/>
    <s v="--"/>
    <n v="162"/>
    <n v="171"/>
    <d v="1899-12-30T05:54:00"/>
    <d v="1899-12-30T05:26:00"/>
    <n v="75"/>
    <n v="85"/>
    <n v="1.04"/>
    <n v="0"/>
    <n v="0"/>
    <n v="0"/>
    <n v="0"/>
    <n v="0"/>
    <s v="--"/>
    <s v="--"/>
    <d v="1900-01-01T11:07:00"/>
    <d v="1899-12-30T00:00:00"/>
    <n v="0"/>
    <d v="1899-12-30T00:00:00"/>
    <s v="Não"/>
    <s v="00:03.02"/>
    <n v="11"/>
    <n v="0"/>
    <d v="1899-12-30T00:59:05"/>
    <d v="1899-12-30T00:59:07"/>
    <n v="12"/>
    <n v="56"/>
  </r>
  <r>
    <x v="2"/>
    <d v="2020-10-18T08:25:22"/>
    <s v="false"/>
    <s v="Blumenau - 4 x 2km com intervalo 3min caminhando"/>
    <n v="11.2"/>
    <n v="776"/>
    <d v="1899-12-30T01:14:31"/>
    <s v="--"/>
    <s v="--"/>
    <s v="--"/>
    <n v="149"/>
    <n v="170"/>
    <d v="1899-12-30T06:39:00"/>
    <d v="1899-12-30T04:23:00"/>
    <n v="97"/>
    <n v="98"/>
    <n v="0.99"/>
    <n v="0"/>
    <n v="0"/>
    <n v="0"/>
    <n v="0"/>
    <n v="0"/>
    <s v="--"/>
    <s v="--"/>
    <d v="1899-12-30T01:14:31"/>
    <d v="1899-12-30T00:00:00"/>
    <n v="0"/>
    <d v="1899-12-30T00:00:00"/>
    <s v="Não"/>
    <s v="03:00.00"/>
    <n v="10"/>
    <n v="0"/>
    <d v="1899-12-30T01:14:30"/>
    <d v="1899-12-30T01:14:31"/>
    <n v="15"/>
    <n v="60"/>
  </r>
  <r>
    <x v="2"/>
    <d v="2020-10-15T06:38:53"/>
    <s v="false"/>
    <s v="Blumenau Corrida"/>
    <n v="10.01"/>
    <n v="720"/>
    <d v="1899-12-30T00:56:38"/>
    <s v="--"/>
    <s v="--"/>
    <s v="--"/>
    <n v="157"/>
    <n v="173"/>
    <d v="1899-12-30T05:40:00"/>
    <d v="1899-12-30T04:48:00"/>
    <n v="66"/>
    <n v="67"/>
    <n v="1.1200000000000001"/>
    <n v="0"/>
    <n v="0"/>
    <n v="0"/>
    <n v="0"/>
    <n v="0"/>
    <s v="--"/>
    <s v="--"/>
    <d v="1900-01-01T08:38:00"/>
    <d v="1899-12-30T00:00:00"/>
    <n v="0"/>
    <d v="1899-12-30T00:00:00"/>
    <s v="Não"/>
    <s v="00:02.06"/>
    <n v="11"/>
    <n v="0"/>
    <d v="1899-12-30T00:56:36"/>
    <d v="1899-12-30T00:56:38"/>
    <n v="12"/>
    <n v="56"/>
  </r>
  <r>
    <x v="2"/>
    <d v="2020-10-13T06:55:16"/>
    <s v="false"/>
    <s v="Blumenau - 8 x 600m com intervalo 2min caminhando"/>
    <n v="9.25"/>
    <n v="621"/>
    <d v="1899-12-30T01:03:17"/>
    <s v="--"/>
    <s v="--"/>
    <s v="--"/>
    <n v="142"/>
    <n v="169"/>
    <d v="1899-12-30T06:50:00"/>
    <d v="1899-12-30T04:49:00"/>
    <n v="17"/>
    <n v="23"/>
    <n v="1.02"/>
    <n v="0"/>
    <n v="0"/>
    <n v="0"/>
    <n v="0"/>
    <n v="0"/>
    <s v="--"/>
    <s v="--"/>
    <d v="1899-12-30T01:03:17"/>
    <d v="1899-12-30T00:00:00"/>
    <n v="0"/>
    <d v="1899-12-30T00:00:00"/>
    <s v="Não"/>
    <s v="02:00.00"/>
    <n v="18"/>
    <n v="0"/>
    <d v="1899-12-30T01:03:16"/>
    <d v="1899-12-30T01:03:17"/>
    <n v="12"/>
    <n v="28"/>
  </r>
  <r>
    <x v="2"/>
    <d v="2020-10-10T07:16:20"/>
    <s v="false"/>
    <s v="Blumenau Corrida"/>
    <n v="10.01"/>
    <n v="718"/>
    <d v="1899-12-30T00:59:33"/>
    <s v="--"/>
    <s v="--"/>
    <s v="--"/>
    <n v="159"/>
    <n v="173"/>
    <d v="1899-12-30T05:57:00"/>
    <d v="1899-12-30T03:55:00"/>
    <n v="118"/>
    <n v="125"/>
    <n v="1.05"/>
    <n v="0"/>
    <n v="0"/>
    <n v="0"/>
    <n v="0"/>
    <n v="0"/>
    <s v="--"/>
    <s v="--"/>
    <d v="1900-01-01T11:33:00"/>
    <d v="1899-12-30T00:00:00"/>
    <n v="0"/>
    <d v="1899-12-30T00:00:00"/>
    <s v="Não"/>
    <s v="00:01.42"/>
    <n v="11"/>
    <n v="0"/>
    <d v="1899-12-30T00:59:15"/>
    <d v="1899-12-30T00:59:33"/>
    <n v="20"/>
    <n v="59"/>
  </r>
  <r>
    <x v="2"/>
    <d v="2020-10-06T06:44:21"/>
    <s v="false"/>
    <s v="Blumenau Corrida"/>
    <n v="7.62"/>
    <n v="561"/>
    <d v="1899-12-30T00:45:01"/>
    <s v="--"/>
    <s v="--"/>
    <s v="--"/>
    <n v="163"/>
    <n v="171"/>
    <d v="1899-12-30T05:55:00"/>
    <d v="1899-12-30T04:08:00"/>
    <n v="48"/>
    <n v="62"/>
    <n v="1.04"/>
    <n v="0"/>
    <n v="0"/>
    <n v="0"/>
    <n v="0"/>
    <n v="0"/>
    <s v="--"/>
    <s v="--"/>
    <d v="1899-12-31T21:01:00"/>
    <d v="1899-12-30T00:00:00"/>
    <n v="0"/>
    <d v="1899-12-30T00:00:00"/>
    <s v="Não"/>
    <s v="03:27.49"/>
    <n v="8"/>
    <n v="0"/>
    <d v="1899-12-30T00:44:53"/>
    <d v="1899-12-30T00:45:01"/>
    <n v="12"/>
    <n v="56"/>
  </r>
  <r>
    <x v="2"/>
    <d v="2020-10-04T09:13:23"/>
    <s v="false"/>
    <s v="Blumenau Corrida"/>
    <n v="10.01"/>
    <n v="730"/>
    <d v="1899-12-30T00:57:39"/>
    <s v="--"/>
    <s v="--"/>
    <s v="--"/>
    <n v="164"/>
    <n v="173"/>
    <d v="1899-12-30T05:46:00"/>
    <d v="1899-12-30T05:02:00"/>
    <n v="57"/>
    <n v="59"/>
    <n v="1.06"/>
    <n v="0"/>
    <n v="0"/>
    <n v="0"/>
    <n v="0"/>
    <n v="0"/>
    <s v="--"/>
    <s v="--"/>
    <d v="1900-01-01T09:39:00"/>
    <d v="1899-12-30T00:00:00"/>
    <n v="0"/>
    <d v="1899-12-30T00:00:00"/>
    <s v="Não"/>
    <s v="00:02.88"/>
    <n v="11"/>
    <n v="0"/>
    <d v="1899-12-30T00:57:37"/>
    <d v="1899-12-30T00:57:39"/>
    <n v="12"/>
    <n v="56"/>
  </r>
  <r>
    <x v="2"/>
    <d v="2020-10-01T06:44:56"/>
    <s v="false"/>
    <s v="Blumenau - Progressivo - leve p/ forte"/>
    <n v="6.01"/>
    <n v="444"/>
    <d v="1899-12-30T00:37:21"/>
    <s v="--"/>
    <s v="--"/>
    <s v="--"/>
    <n v="162"/>
    <n v="170"/>
    <d v="1899-12-30T06:13:00"/>
    <d v="1899-12-30T05:07:00"/>
    <n v="6"/>
    <n v="22"/>
    <n v="0.99"/>
    <n v="0"/>
    <n v="0"/>
    <n v="0"/>
    <n v="0"/>
    <n v="0"/>
    <s v="--"/>
    <s v="--"/>
    <d v="1899-12-31T13:21:00"/>
    <d v="1899-12-30T00:00:00"/>
    <n v="0"/>
    <d v="1899-12-30T00:00:00"/>
    <s v="Não"/>
    <s v="00:03.76"/>
    <n v="4"/>
    <n v="0"/>
    <d v="1899-12-30T00:37:19"/>
    <d v="1899-12-30T00:37:21"/>
    <n v="12"/>
    <n v="29"/>
  </r>
  <r>
    <x v="2"/>
    <d v="2020-09-29T06:40:27"/>
    <s v="false"/>
    <s v="Blumenau - Run Workout"/>
    <n v="9.01"/>
    <n v="665"/>
    <d v="1899-12-30T00:55:23"/>
    <s v="--"/>
    <s v="--"/>
    <s v="--"/>
    <n v="162"/>
    <n v="171"/>
    <d v="1899-12-30T06:09:00"/>
    <d v="1899-12-30T04:43:00"/>
    <n v="10"/>
    <n v="17"/>
    <n v="1"/>
    <n v="0"/>
    <n v="0"/>
    <n v="0"/>
    <n v="0"/>
    <n v="0"/>
    <s v="--"/>
    <s v="--"/>
    <d v="1900-01-01T07:23:00"/>
    <d v="1899-12-30T00:00:00"/>
    <n v="0"/>
    <d v="1899-12-30T00:00:00"/>
    <s v="Não"/>
    <s v="00:02.98"/>
    <n v="4"/>
    <n v="0"/>
    <d v="1899-12-30T00:55:23"/>
    <d v="1899-12-30T00:55:23"/>
    <n v="12"/>
    <n v="29"/>
  </r>
  <r>
    <x v="2"/>
    <d v="2020-09-27T07:52:59"/>
    <s v="false"/>
    <s v="Blumenau - 10 x 1min Moderado/Forte - 2min leve"/>
    <n v="7.87"/>
    <n v="577"/>
    <d v="1899-12-30T00:50:11"/>
    <s v="--"/>
    <s v="--"/>
    <s v="--"/>
    <n v="161"/>
    <n v="169"/>
    <d v="1899-12-30T06:23:00"/>
    <d v="1899-12-30T04:05:00"/>
    <n v="7"/>
    <n v="21"/>
    <n v="0.97"/>
    <n v="0"/>
    <n v="0"/>
    <n v="0"/>
    <n v="0"/>
    <n v="0"/>
    <s v="--"/>
    <s v="--"/>
    <d v="1900-01-01T02:11:00"/>
    <d v="1899-12-30T00:00:00"/>
    <n v="0"/>
    <d v="1899-12-30T00:00:00"/>
    <s v="Não"/>
    <s v="00:07.58"/>
    <n v="22"/>
    <n v="0"/>
    <d v="1899-12-30T00:50:10"/>
    <d v="1899-12-30T00:50:11"/>
    <n v="12"/>
    <n v="29"/>
  </r>
  <r>
    <x v="2"/>
    <d v="2020-09-24T07:09:25"/>
    <s v="false"/>
    <s v="Blumenau Corrida"/>
    <n v="8.0299999999999994"/>
    <n v="579"/>
    <d v="1899-12-30T00:47:55"/>
    <s v="--"/>
    <s v="--"/>
    <s v="--"/>
    <n v="160"/>
    <n v="173"/>
    <d v="1899-12-30T05:58:00"/>
    <d v="1899-12-30T04:25:00"/>
    <n v="82"/>
    <n v="83"/>
    <n v="1.05"/>
    <n v="0"/>
    <n v="0"/>
    <n v="0"/>
    <n v="0"/>
    <n v="0"/>
    <s v="--"/>
    <s v="--"/>
    <d v="1899-12-31T23:55:00"/>
    <d v="1899-12-30T00:00:00"/>
    <n v="0"/>
    <d v="1899-12-30T00:00:00"/>
    <s v="Não"/>
    <s v="00:09.28"/>
    <n v="9"/>
    <n v="0"/>
    <d v="1899-12-30T00:47:54"/>
    <d v="1899-12-30T00:47:55"/>
    <n v="22"/>
    <n v="61"/>
  </r>
  <r>
    <x v="2"/>
    <d v="2020-09-22T07:12:19"/>
    <s v="false"/>
    <s v="Blumenau Corrida"/>
    <n v="5.3"/>
    <n v="374"/>
    <d v="1899-12-30T00:34:34"/>
    <s v="--"/>
    <s v="--"/>
    <s v="--"/>
    <n v="121"/>
    <n v="173"/>
    <d v="1899-12-30T06:32:00"/>
    <d v="1899-12-30T00:17:00"/>
    <n v="9"/>
    <n v="12"/>
    <n v="1.24"/>
    <n v="0"/>
    <n v="0"/>
    <n v="0"/>
    <n v="0"/>
    <n v="0"/>
    <s v="--"/>
    <s v="--"/>
    <d v="1899-12-31T10:34:00"/>
    <d v="1899-12-30T00:00:00"/>
    <n v="0"/>
    <d v="1899-12-30T00:00:00"/>
    <s v="Não"/>
    <s v="00:03.91"/>
    <n v="22"/>
    <n v="0"/>
    <d v="1899-12-30T00:26:42"/>
    <d v="1899-12-30T00:34:36"/>
    <n v="12"/>
    <n v="23"/>
  </r>
  <r>
    <x v="2"/>
    <d v="2020-09-22T07:05:21"/>
    <s v="false"/>
    <s v="Blumenau Corrida"/>
    <n v="1.06"/>
    <n v="76"/>
    <d v="1899-12-30T00:06:37"/>
    <s v="--"/>
    <s v="--"/>
    <s v="--"/>
    <n v="155"/>
    <n v="162"/>
    <d v="1899-12-30T06:16:00"/>
    <d v="1899-12-30T05:42:00"/>
    <s v="--"/>
    <n v="8"/>
    <n v="1.03"/>
    <n v="0"/>
    <n v="0"/>
    <n v="0"/>
    <n v="0"/>
    <n v="0"/>
    <s v="--"/>
    <s v="--"/>
    <d v="1899-12-30T00:06:37"/>
    <d v="1899-12-30T00:00:00"/>
    <n v="0"/>
    <d v="1899-12-30T00:00:00"/>
    <s v="Não"/>
    <s v="00:09.83"/>
    <n v="3"/>
    <n v="0"/>
    <d v="1899-12-30T00:06:37"/>
    <d v="1899-12-30T00:06:38"/>
    <n v="18"/>
    <n v="29"/>
  </r>
  <r>
    <x v="2"/>
    <d v="2020-09-20T08:21:23"/>
    <s v="false"/>
    <s v="Blumenau Corrida"/>
    <n v="8.01"/>
    <n v="586"/>
    <d v="1899-12-30T00:46:36"/>
    <s v="--"/>
    <s v="--"/>
    <s v="--"/>
    <n v="160"/>
    <n v="169"/>
    <d v="1899-12-30T05:49:00"/>
    <d v="1899-12-30T03:30:00"/>
    <n v="48"/>
    <n v="48"/>
    <n v="1.07"/>
    <n v="0"/>
    <n v="0"/>
    <n v="0"/>
    <n v="0"/>
    <n v="0"/>
    <s v="--"/>
    <s v="--"/>
    <d v="1899-12-31T22:36:00"/>
    <d v="1899-12-30T00:00:00"/>
    <n v="0"/>
    <d v="1899-12-30T00:00:00"/>
    <s v="Não"/>
    <s v="00:02.36"/>
    <n v="9"/>
    <n v="0"/>
    <d v="1899-12-30T00:46:34"/>
    <d v="1899-12-30T00:46:36"/>
    <n v="12"/>
    <n v="56"/>
  </r>
  <r>
    <x v="2"/>
    <d v="2020-09-17T07:09:10"/>
    <s v="false"/>
    <s v="Corrida"/>
    <n v="6.53"/>
    <n v="462"/>
    <d v="1899-12-30T00:40:57"/>
    <s v="--"/>
    <s v="--"/>
    <s v="--"/>
    <n v="142"/>
    <n v="168"/>
    <d v="1899-12-30T06:16:00"/>
    <d v="1899-12-30T04:56:00"/>
    <s v="--"/>
    <s v="--"/>
    <n v="1.1200000000000001"/>
    <n v="0"/>
    <n v="0"/>
    <n v="0"/>
    <n v="0"/>
    <n v="0"/>
    <s v="--"/>
    <s v="--"/>
    <d v="1899-12-31T16:57:00"/>
    <d v="1899-12-30T00:00:00"/>
    <n v="0"/>
    <d v="1899-12-30T00:00:00"/>
    <s v="Não"/>
    <s v="00:01.79"/>
    <n v="18"/>
    <n v="0"/>
    <d v="1899-12-30T00:39:43"/>
    <d v="1899-12-30T00:41:00"/>
    <s v="--"/>
    <s v="--"/>
  </r>
  <r>
    <x v="2"/>
    <d v="2020-09-15T07:05:19"/>
    <s v="false"/>
    <s v="Blumenau Corrida"/>
    <n v="5.0999999999999996"/>
    <n v="372"/>
    <d v="1899-12-30T00:30:03"/>
    <s v="--"/>
    <s v="--"/>
    <s v="--"/>
    <n v="157"/>
    <n v="164"/>
    <d v="1899-12-30T05:54:00"/>
    <d v="1899-12-30T05:32:00"/>
    <n v="18"/>
    <n v="21"/>
    <n v="1.08"/>
    <n v="0"/>
    <n v="0"/>
    <n v="0"/>
    <n v="0"/>
    <n v="0"/>
    <s v="--"/>
    <s v="--"/>
    <d v="1899-12-31T06:03:00"/>
    <d v="1899-12-30T00:00:00"/>
    <n v="0"/>
    <d v="1899-12-30T00:00:00"/>
    <s v="Não"/>
    <s v="00:33.33"/>
    <n v="6"/>
    <n v="0"/>
    <d v="1899-12-30T00:30:02"/>
    <d v="1899-12-30T00:30:03"/>
    <n v="12"/>
    <n v="33"/>
  </r>
  <r>
    <x v="2"/>
    <d v="2020-09-10T07:08:57"/>
    <s v="false"/>
    <s v="Blumenau Corrida"/>
    <n v="7.01"/>
    <n v="504"/>
    <d v="1899-12-30T00:41:19"/>
    <s v="--"/>
    <s v="--"/>
    <s v="--"/>
    <n v="158"/>
    <n v="169"/>
    <d v="1899-12-30T05:54:00"/>
    <d v="1899-12-30T05:01:00"/>
    <n v="29"/>
    <n v="34"/>
    <n v="1.07"/>
    <n v="0"/>
    <n v="0"/>
    <n v="0"/>
    <n v="0"/>
    <n v="0"/>
    <s v="--"/>
    <s v="--"/>
    <d v="1899-12-31T17:19:00"/>
    <d v="1899-12-30T00:00:00"/>
    <n v="0"/>
    <d v="1899-12-30T00:00:00"/>
    <s v="Não"/>
    <s v="00:02.74"/>
    <n v="8"/>
    <n v="0"/>
    <d v="1899-12-30T00:41:17"/>
    <d v="1899-12-30T00:41:19"/>
    <n v="12"/>
    <n v="37"/>
  </r>
  <r>
    <x v="2"/>
    <d v="2020-09-08T07:02:57"/>
    <s v="false"/>
    <s v="8 x 400m com intervalo 2min caminhando"/>
    <n v="7.61"/>
    <n v="528"/>
    <d v="1899-12-30T00:53:38"/>
    <s v="--"/>
    <s v="--"/>
    <s v="--"/>
    <n v="135"/>
    <n v="236"/>
    <d v="1899-12-30T07:03:00"/>
    <d v="1899-12-30T04:38:00"/>
    <s v="--"/>
    <s v="--"/>
    <n v="1.04"/>
    <n v="0"/>
    <n v="0"/>
    <n v="0"/>
    <n v="0"/>
    <n v="0"/>
    <s v="--"/>
    <s v="--"/>
    <d v="1900-01-01T05:38:00"/>
    <d v="1899-12-30T00:00:00"/>
    <n v="0"/>
    <d v="1899-12-30T00:00:00"/>
    <s v="Não"/>
    <s v="00:02.94"/>
    <n v="19"/>
    <n v="0"/>
    <d v="1899-12-30T00:52:43"/>
    <d v="1899-12-30T00:53:55"/>
    <s v="--"/>
    <s v="--"/>
  </r>
  <r>
    <x v="2"/>
    <d v="2020-09-06T08:36:41"/>
    <s v="false"/>
    <s v="Blumenau Corrida"/>
    <n v="7.01"/>
    <n v="517"/>
    <d v="1899-12-30T00:40:46"/>
    <s v="--"/>
    <s v="--"/>
    <s v="--"/>
    <n v="159"/>
    <n v="170"/>
    <d v="1899-12-30T05:49:00"/>
    <d v="1899-12-30T01:10:00"/>
    <n v="68"/>
    <n v="71"/>
    <n v="1.08"/>
    <n v="0"/>
    <n v="0"/>
    <n v="0"/>
    <n v="0"/>
    <n v="0"/>
    <s v="--"/>
    <s v="--"/>
    <d v="1899-12-31T16:46:00"/>
    <d v="1899-12-30T00:00:00"/>
    <n v="0"/>
    <d v="1899-12-30T00:00:00"/>
    <s v="Não"/>
    <s v="00:03.94"/>
    <n v="8"/>
    <n v="0"/>
    <d v="1899-12-30T00:40:39"/>
    <d v="1899-12-30T00:40:46"/>
    <n v="-3"/>
    <n v="59"/>
  </r>
  <r>
    <x v="2"/>
    <d v="2020-09-03T07:09:45"/>
    <s v="false"/>
    <s v="Blumenau - Progressivo 3 etapas"/>
    <n v="6.01"/>
    <n v="435"/>
    <d v="1899-12-30T00:34:16"/>
    <s v="--"/>
    <s v="--"/>
    <s v="--"/>
    <n v="157"/>
    <n v="169"/>
    <d v="1899-12-30T05:42:00"/>
    <d v="1899-12-30T03:25:00"/>
    <n v="8"/>
    <n v="14"/>
    <n v="1.1100000000000001"/>
    <n v="0"/>
    <n v="0"/>
    <n v="0"/>
    <n v="0"/>
    <n v="0"/>
    <s v="--"/>
    <s v="--"/>
    <d v="1899-12-31T10:16:00"/>
    <d v="1899-12-30T00:00:00"/>
    <n v="0"/>
    <d v="1899-12-30T00:00:00"/>
    <s v="Não"/>
    <s v="00:03.43"/>
    <n v="7"/>
    <n v="0"/>
    <d v="1899-12-30T00:34:15"/>
    <d v="1899-12-30T00:34:16"/>
    <n v="12"/>
    <n v="29"/>
  </r>
  <r>
    <x v="2"/>
    <d v="2020-09-01T07:12:23"/>
    <s v="false"/>
    <s v="4 x 1km com intervalo 3min caminhando"/>
    <n v="5.87"/>
    <n v="406"/>
    <d v="1899-12-30T00:41:47"/>
    <s v="--"/>
    <s v="--"/>
    <s v="--"/>
    <n v="132"/>
    <n v="160"/>
    <d v="1899-12-30T07:07:00"/>
    <d v="1899-12-30T05:07:00"/>
    <s v="--"/>
    <s v="--"/>
    <n v="1.04"/>
    <n v="0"/>
    <n v="0"/>
    <n v="0"/>
    <n v="0"/>
    <n v="0"/>
    <s v="--"/>
    <s v="--"/>
    <d v="1899-12-31T17:47:00"/>
    <d v="1899-12-30T00:00:00"/>
    <n v="0"/>
    <d v="1899-12-30T00:00:00"/>
    <s v="Não"/>
    <s v="00:02.53"/>
    <n v="10"/>
    <n v="0"/>
    <d v="1899-12-30T00:41:07"/>
    <d v="1899-12-30T00:41:47"/>
    <s v="--"/>
    <s v="--"/>
  </r>
  <r>
    <x v="2"/>
    <d v="2020-08-29T07:59:57"/>
    <s v="false"/>
    <s v="Blumenau Corrida"/>
    <n v="7"/>
    <n v="511"/>
    <d v="1899-12-30T00:43:00"/>
    <s v="--"/>
    <s v="--"/>
    <s v="--"/>
    <n v="155"/>
    <n v="169"/>
    <d v="1899-12-30T06:08:00"/>
    <d v="1899-12-30T04:27:00"/>
    <n v="98"/>
    <n v="82"/>
    <n v="1.05"/>
    <n v="0"/>
    <n v="0"/>
    <n v="0"/>
    <n v="0"/>
    <n v="0"/>
    <s v="--"/>
    <s v="--"/>
    <d v="1899-12-31T19:00:00"/>
    <d v="1899-12-30T00:00:00"/>
    <n v="0"/>
    <d v="1899-12-30T00:00:00"/>
    <s v="Não"/>
    <s v="00:01.62"/>
    <n v="8"/>
    <n v="0"/>
    <d v="1899-12-30T00:42:59"/>
    <d v="1899-12-30T00:43:00"/>
    <n v="22"/>
    <n v="60"/>
  </r>
  <r>
    <x v="2"/>
    <d v="2020-08-27T07:10:51"/>
    <s v="false"/>
    <s v="Blumenau - 6 x 500m com intervalo 2min parado"/>
    <n v="5.24"/>
    <n v="375"/>
    <d v="1899-12-30T00:39:19"/>
    <s v="--"/>
    <s v="--"/>
    <s v="--"/>
    <n v="115"/>
    <n v="176"/>
    <d v="1899-12-30T07:30:00"/>
    <d v="1899-12-30T00:52:00"/>
    <n v="9"/>
    <n v="11"/>
    <n v="1.1200000000000001"/>
    <n v="0"/>
    <n v="0"/>
    <n v="0"/>
    <n v="0"/>
    <n v="0"/>
    <s v="--"/>
    <s v="--"/>
    <d v="1899-12-31T15:19:00"/>
    <d v="1899-12-30T00:00:00"/>
    <n v="0"/>
    <d v="1899-12-30T00:00:00"/>
    <s v="Não"/>
    <s v="00:03.92"/>
    <n v="15"/>
    <n v="0"/>
    <d v="1899-12-30T00:28:37"/>
    <d v="1899-12-30T00:39:19"/>
    <n v="12"/>
    <n v="22"/>
  </r>
  <r>
    <x v="2"/>
    <d v="2020-08-25T07:15:46"/>
    <s v="false"/>
    <s v="Blumenau Corrida"/>
    <n v="6.01"/>
    <n v="439"/>
    <d v="1899-12-30T00:35:24"/>
    <s v="--"/>
    <s v="--"/>
    <s v="--"/>
    <n v="160"/>
    <n v="167"/>
    <d v="1899-12-30T05:53:00"/>
    <d v="1899-12-30T03:49:00"/>
    <n v="46"/>
    <n v="49"/>
    <n v="1.06"/>
    <n v="0"/>
    <n v="0"/>
    <n v="0"/>
    <n v="0"/>
    <n v="0"/>
    <s v="--"/>
    <s v="--"/>
    <d v="1899-12-31T11:24:00"/>
    <d v="1899-12-30T00:00:00"/>
    <n v="0"/>
    <d v="1899-12-30T00:00:00"/>
    <s v="Não"/>
    <s v="00:01.95"/>
    <n v="7"/>
    <n v="0"/>
    <d v="1899-12-30T00:35:22"/>
    <d v="1899-12-30T00:35:24"/>
    <n v="21"/>
    <n v="54"/>
  </r>
  <r>
    <x v="2"/>
    <d v="2020-08-22T09:33:13"/>
    <s v="false"/>
    <s v="Blumenau - Run Workout"/>
    <n v="6.04"/>
    <n v="446"/>
    <d v="1899-12-30T00:39:17"/>
    <n v="177"/>
    <n v="191"/>
    <n v="4.9000000000000004"/>
    <n v="153"/>
    <n v="168"/>
    <d v="1899-12-30T06:30:00"/>
    <d v="1899-12-30T04:45:00"/>
    <n v="96"/>
    <n v="73"/>
    <n v="1"/>
    <n v="0"/>
    <n v="0"/>
    <n v="0"/>
    <n v="0"/>
    <n v="0"/>
    <s v="--"/>
    <s v="--"/>
    <d v="1899-12-31T15:17:00"/>
    <d v="1899-12-30T00:00:00"/>
    <n v="0"/>
    <d v="1899-12-30T00:00:00"/>
    <s v="Não"/>
    <s v="00:21.46"/>
    <n v="10"/>
    <n v="0"/>
    <d v="1899-12-30T00:38:43"/>
    <d v="1899-12-30T00:39:17"/>
    <n v="21"/>
    <n v="59"/>
  </r>
  <r>
    <x v="2"/>
    <d v="2020-08-20T07:08:44"/>
    <s v="false"/>
    <s v="Corrida"/>
    <n v="5.01"/>
    <n v="333"/>
    <d v="1899-12-30T00:30:45"/>
    <n v="171"/>
    <n v="182"/>
    <n v="4"/>
    <n v="152"/>
    <n v="158"/>
    <d v="1899-12-30T06:08:00"/>
    <d v="1899-12-30T05:39:00"/>
    <s v="--"/>
    <s v="--"/>
    <n v="1.08"/>
    <n v="0"/>
    <n v="0"/>
    <n v="0"/>
    <n v="0"/>
    <n v="0"/>
    <s v="--"/>
    <s v="--"/>
    <d v="1899-12-31T06:45:00"/>
    <d v="1899-12-30T00:00:00"/>
    <n v="0"/>
    <d v="1899-12-30T00:00:00"/>
    <s v="Não"/>
    <s v="00:04.51"/>
    <n v="6"/>
    <n v="0"/>
    <d v="1899-12-30T00:30:43"/>
    <d v="1899-12-30T00:30:45"/>
    <s v="--"/>
    <s v="--"/>
  </r>
  <r>
    <x v="2"/>
    <d v="2020-08-18T07:07:53"/>
    <s v="false"/>
    <s v="5 x 500m com intervalo 2min caminhando"/>
    <n v="4.51"/>
    <n v="320"/>
    <d v="1899-12-30T00:32:50"/>
    <n v="158"/>
    <n v="179"/>
    <n v="3.4"/>
    <n v="132"/>
    <n v="158"/>
    <d v="1899-12-30T07:17:00"/>
    <d v="1899-12-30T05:14:00"/>
    <s v="--"/>
    <s v="--"/>
    <n v="1.03"/>
    <n v="0"/>
    <n v="0"/>
    <n v="0"/>
    <n v="0"/>
    <n v="0"/>
    <s v="--"/>
    <s v="--"/>
    <d v="1899-12-31T08:50:00"/>
    <d v="1899-12-30T00:00:00"/>
    <n v="0"/>
    <d v="1899-12-30T00:00:00"/>
    <s v="Não"/>
    <s v="00:04.47"/>
    <n v="12"/>
    <n v="0"/>
    <d v="1899-12-30T00:30:18"/>
    <d v="1899-12-30T00:32:50"/>
    <n v="53"/>
    <n v="53"/>
  </r>
  <r>
    <x v="2"/>
    <d v="2020-08-15T09:13:51"/>
    <s v="false"/>
    <s v="Corrida"/>
    <n v="5.01"/>
    <n v="335"/>
    <d v="1899-12-30T00:29:07"/>
    <n v="177"/>
    <n v="190"/>
    <n v="4.5"/>
    <n v="153"/>
    <n v="159"/>
    <d v="1899-12-30T05:49:00"/>
    <d v="1899-12-30T05:24:00"/>
    <s v="--"/>
    <s v="--"/>
    <n v="1.1200000000000001"/>
    <n v="0"/>
    <n v="0"/>
    <n v="0"/>
    <n v="0"/>
    <n v="0"/>
    <s v="--"/>
    <s v="--"/>
    <d v="1899-12-31T05:07:00"/>
    <d v="1899-12-30T00:00:00"/>
    <n v="0"/>
    <d v="1899-12-30T00:00:00"/>
    <s v="Não"/>
    <s v="00:04.11"/>
    <n v="6"/>
    <n v="0"/>
    <d v="1899-12-30T00:29:06"/>
    <d v="1899-12-30T00:29:07"/>
    <s v="--"/>
    <s v="--"/>
  </r>
  <r>
    <x v="2"/>
    <d v="2020-08-13T17:37:19"/>
    <s v="false"/>
    <s v="5 x 400m com intervalo 2min caminhando"/>
    <n v="3.89"/>
    <n v="277"/>
    <d v="1899-12-30T00:27:25"/>
    <n v="162"/>
    <n v="187"/>
    <n v="3.5"/>
    <n v="132"/>
    <n v="160"/>
    <d v="1899-12-30T07:02:00"/>
    <d v="1899-12-30T04:31:00"/>
    <s v="--"/>
    <s v="--"/>
    <n v="1.06"/>
    <n v="0"/>
    <n v="0"/>
    <n v="0"/>
    <n v="0"/>
    <n v="0"/>
    <s v="--"/>
    <s v="--"/>
    <d v="1899-12-31T03:25:00"/>
    <d v="1899-12-30T00:00:00"/>
    <n v="0"/>
    <d v="1899-12-30T00:00:00"/>
    <s v="Não"/>
    <s v="00:02.34"/>
    <n v="12"/>
    <n v="0"/>
    <d v="1899-12-30T00:24:54"/>
    <d v="1899-12-30T00:27:25"/>
    <s v="--"/>
    <s v="--"/>
  </r>
  <r>
    <x v="2"/>
    <d v="2020-08-11T07:09:15"/>
    <s v="false"/>
    <s v="Blumenau Corrida"/>
    <n v="4.01"/>
    <n v="272"/>
    <d v="1899-12-30T00:24:06"/>
    <n v="176"/>
    <n v="190"/>
    <n v="4.2"/>
    <n v="157"/>
    <n v="164"/>
    <d v="1899-12-30T06:01:00"/>
    <d v="1899-12-30T03:50:00"/>
    <n v="7"/>
    <n v="14"/>
    <n v="1.06"/>
    <n v="0"/>
    <n v="0"/>
    <n v="0"/>
    <n v="0"/>
    <n v="0"/>
    <s v="--"/>
    <s v="--"/>
    <d v="1899-12-31T00:06:00"/>
    <d v="1899-12-30T00:00:00"/>
    <n v="0"/>
    <d v="1899-12-30T00:00:00"/>
    <s v="Não"/>
    <s v="00:03.34"/>
    <n v="5"/>
    <n v="0"/>
    <d v="1899-12-30T00:24:06"/>
    <d v="1899-12-30T00:24:06"/>
    <n v="12"/>
    <n v="29"/>
  </r>
  <r>
    <x v="2"/>
    <d v="2020-08-08T07:17:47"/>
    <s v="false"/>
    <s v="Blumenau - Run Workout"/>
    <n v="3.01"/>
    <n v="205"/>
    <d v="1899-12-30T00:18:48"/>
    <n v="173"/>
    <n v="188"/>
    <n v="3.6"/>
    <n v="157"/>
    <n v="165"/>
    <d v="1899-12-30T06:15:00"/>
    <d v="1899-12-30T03:57:00"/>
    <n v="13"/>
    <n v="19"/>
    <n v="1.02"/>
    <n v="0"/>
    <n v="0"/>
    <n v="0"/>
    <n v="0"/>
    <n v="0"/>
    <s v="--"/>
    <s v="--"/>
    <d v="1899-12-30T18:48:00"/>
    <d v="1899-12-30T00:00:00"/>
    <n v="0"/>
    <d v="1899-12-30T00:00:00"/>
    <s v="Não"/>
    <s v="00:05.08"/>
    <n v="11"/>
    <n v="0"/>
    <d v="1899-12-30T00:18:47"/>
    <d v="1899-12-30T00:18:48"/>
    <n v="12"/>
    <n v="30"/>
  </r>
  <r>
    <x v="2"/>
    <d v="2020-08-06T07:15:12"/>
    <s v="false"/>
    <s v="Blumenau Corrida"/>
    <n v="3.51"/>
    <n v="243"/>
    <d v="1899-12-30T00:20:57"/>
    <n v="178"/>
    <n v="191"/>
    <n v="4"/>
    <n v="157"/>
    <n v="164"/>
    <d v="1899-12-30T05:59:00"/>
    <d v="1899-12-30T04:34:00"/>
    <n v="10"/>
    <n v="16"/>
    <n v="1.07"/>
    <n v="0"/>
    <n v="0"/>
    <n v="0"/>
    <n v="0"/>
    <n v="0"/>
    <s v="--"/>
    <s v="--"/>
    <d v="1899-12-30T20:57:00"/>
    <d v="1899-12-30T00:00:00"/>
    <n v="0"/>
    <d v="1899-12-30T00:00:00"/>
    <s v="Não"/>
    <s v="03:00.08"/>
    <n v="4"/>
    <n v="0"/>
    <d v="1899-12-30T00:20:56"/>
    <d v="1899-12-30T00:20:57"/>
    <n v="12"/>
    <n v="33"/>
  </r>
  <r>
    <x v="2"/>
    <d v="2020-08-04T07:18:02"/>
    <s v="false"/>
    <s v="Blumenau - Run Workout"/>
    <n v="3.9"/>
    <n v="296"/>
    <d v="1899-12-30T00:28:25"/>
    <n v="165"/>
    <n v="185"/>
    <n v="3.7"/>
    <n v="141"/>
    <n v="164"/>
    <d v="1899-12-30T07:17:00"/>
    <d v="1899-12-30T04:10:00"/>
    <n v="26"/>
    <n v="21"/>
    <n v="0.96"/>
    <n v="0"/>
    <n v="0"/>
    <n v="0"/>
    <n v="0"/>
    <n v="0"/>
    <s v="--"/>
    <s v="--"/>
    <d v="1899-12-31T04:25:00"/>
    <d v="1899-12-30T00:00:00"/>
    <n v="0"/>
    <d v="1899-12-30T00:00:00"/>
    <s v="Não"/>
    <s v="00:02.91"/>
    <n v="7"/>
    <n v="0"/>
    <d v="1899-12-30T00:28:14"/>
    <d v="1899-12-30T00:28:25"/>
    <n v="12"/>
    <n v="31"/>
  </r>
  <r>
    <x v="2"/>
    <d v="2020-08-02T08:46:30"/>
    <s v="false"/>
    <s v="Blumenau Corrida"/>
    <n v="3.01"/>
    <n v="211"/>
    <d v="1899-12-30T00:18:09"/>
    <n v="177"/>
    <n v="191"/>
    <n v="3.8"/>
    <n v="157"/>
    <n v="164"/>
    <d v="1899-12-30T06:02:00"/>
    <d v="1899-12-30T05:42:00"/>
    <n v="8"/>
    <n v="14"/>
    <n v="1.06"/>
    <n v="0"/>
    <n v="0"/>
    <n v="0"/>
    <n v="0"/>
    <n v="0"/>
    <s v="--"/>
    <s v="--"/>
    <d v="1899-12-30T18:09:00"/>
    <d v="1899-12-30T00:00:00"/>
    <n v="0"/>
    <d v="1899-12-30T00:00:00"/>
    <s v="Não"/>
    <s v="00:03.33"/>
    <n v="4"/>
    <n v="0"/>
    <d v="1899-12-30T00:18:08"/>
    <d v="1899-12-30T00:18:09"/>
    <n v="12"/>
    <n v="29"/>
  </r>
  <r>
    <x v="2"/>
    <d v="2020-07-28T07:17:22"/>
    <s v="false"/>
    <s v="Blumenau Corrida"/>
    <n v="3.01"/>
    <n v="207"/>
    <d v="1899-12-30T00:18:14"/>
    <n v="173"/>
    <n v="189"/>
    <n v="3.6"/>
    <n v="156"/>
    <n v="162"/>
    <d v="1899-12-30T06:03:00"/>
    <d v="1899-12-30T05:41:00"/>
    <n v="5"/>
    <n v="16"/>
    <n v="1.06"/>
    <n v="0"/>
    <n v="0"/>
    <n v="0"/>
    <n v="0"/>
    <n v="0"/>
    <s v="--"/>
    <s v="--"/>
    <d v="1899-12-30T18:14:00"/>
    <d v="1899-12-30T00:00:00"/>
    <n v="0"/>
    <d v="1899-12-30T00:00:00"/>
    <s v="Não"/>
    <s v="00:03.54"/>
    <n v="4"/>
    <n v="0"/>
    <d v="1899-12-30T00:18:13"/>
    <d v="1899-12-30T00:18:14"/>
    <n v="12"/>
    <n v="29"/>
  </r>
  <r>
    <x v="2"/>
    <d v="2020-07-26T08:56:06"/>
    <s v="false"/>
    <s v="Blumenau Corrida"/>
    <n v="3.2"/>
    <n v="234"/>
    <d v="1899-12-30T00:24:36"/>
    <n v="153"/>
    <n v="176"/>
    <n v="3.1"/>
    <n v="128"/>
    <n v="160"/>
    <d v="1899-12-30T07:41:00"/>
    <d v="1899-12-30T02:26:00"/>
    <n v="63"/>
    <n v="60"/>
    <n v="1.01"/>
    <n v="0"/>
    <n v="0"/>
    <n v="0"/>
    <n v="0"/>
    <n v="0"/>
    <s v="--"/>
    <s v="--"/>
    <d v="1899-12-31T00:36:00"/>
    <d v="1899-12-30T00:00:00"/>
    <n v="0"/>
    <d v="1899-12-30T00:00:00"/>
    <s v="Não"/>
    <s v="02:59.17"/>
    <n v="8"/>
    <n v="0"/>
    <d v="1899-12-30T00:24:34"/>
    <d v="1899-12-30T00:24:36"/>
    <n v="11"/>
    <n v="37"/>
  </r>
  <r>
    <x v="2"/>
    <d v="2020-07-23T18:24:30"/>
    <s v="false"/>
    <s v="Blumenau Corrida"/>
    <n v="2.5099999999999998"/>
    <n v="171"/>
    <d v="1899-12-30T00:16:08"/>
    <n v="161"/>
    <n v="177"/>
    <n v="3.1"/>
    <n v="152"/>
    <n v="158"/>
    <d v="1899-12-30T06:26:00"/>
    <d v="1899-12-30T04:11:00"/>
    <n v="81"/>
    <n v="88"/>
    <n v="1.01"/>
    <n v="0"/>
    <n v="0"/>
    <n v="0"/>
    <n v="0"/>
    <n v="0"/>
    <s v="--"/>
    <s v="--"/>
    <d v="1899-12-30T16:08:00"/>
    <d v="1899-12-30T00:00:00"/>
    <n v="0"/>
    <d v="1899-12-30T00:00:00"/>
    <s v="Não"/>
    <s v="03:14.96"/>
    <n v="3"/>
    <n v="0"/>
    <d v="1899-12-30T00:16:07"/>
    <d v="1899-12-30T00:16:08"/>
    <n v="19"/>
    <n v="56"/>
  </r>
  <r>
    <x v="2"/>
    <d v="2020-07-21T06:59:19"/>
    <s v="false"/>
    <s v="Blumenau - Run Workout"/>
    <n v="3.91"/>
    <n v="282"/>
    <d v="1899-12-30T00:27:31"/>
    <n v="162"/>
    <n v="182"/>
    <n v="3.6"/>
    <n v="142"/>
    <n v="160"/>
    <d v="1899-12-30T07:03:00"/>
    <d v="1899-12-30T03:50:00"/>
    <n v="13"/>
    <n v="19"/>
    <n v="0.99"/>
    <n v="0"/>
    <n v="0"/>
    <n v="0"/>
    <n v="0"/>
    <n v="0"/>
    <s v="--"/>
    <s v="--"/>
    <d v="1899-12-31T03:31:00"/>
    <d v="1899-12-30T00:00:00"/>
    <n v="0"/>
    <d v="1899-12-30T00:00:00"/>
    <s v="Não"/>
    <s v="00:03.15"/>
    <n v="7"/>
    <n v="0"/>
    <d v="1899-12-30T00:27:31"/>
    <d v="1899-12-30T00:27:31"/>
    <n v="12"/>
    <n v="28"/>
  </r>
  <r>
    <x v="2"/>
    <d v="2020-07-18T08:25:23"/>
    <s v="false"/>
    <s v="Blumenau Corrida"/>
    <n v="2.0099999999999998"/>
    <n v="140"/>
    <d v="1899-12-30T00:11:55"/>
    <n v="174"/>
    <n v="191"/>
    <n v="3.2"/>
    <n v="155"/>
    <n v="162"/>
    <d v="1899-12-30T05:56:00"/>
    <d v="1899-12-30T02:00:00"/>
    <n v="4"/>
    <n v="12"/>
    <n v="1.08"/>
    <n v="0"/>
    <n v="0"/>
    <n v="0"/>
    <n v="0"/>
    <n v="0"/>
    <s v="--"/>
    <s v="--"/>
    <d v="1899-12-30T11:55:00"/>
    <d v="1899-12-30T00:00:00"/>
    <n v="0"/>
    <d v="1899-12-30T00:00:00"/>
    <s v="Não"/>
    <s v="00:02.78"/>
    <n v="3"/>
    <n v="0"/>
    <d v="1899-12-30T00:11:55"/>
    <d v="1899-12-30T00:11:55"/>
    <n v="17"/>
    <n v="31"/>
  </r>
  <r>
    <x v="2"/>
    <d v="2020-07-16T18:20:29"/>
    <s v="false"/>
    <s v="Run Workout"/>
    <n v="3.81"/>
    <n v="290"/>
    <d v="1899-12-30T00:34:44"/>
    <n v="139"/>
    <n v="172"/>
    <n v="3.2"/>
    <n v="116"/>
    <n v="160"/>
    <d v="1899-12-30T09:08:00"/>
    <d v="1899-12-30T04:57:00"/>
    <s v="--"/>
    <s v="--"/>
    <n v="0.92"/>
    <n v="0"/>
    <n v="0"/>
    <n v="0"/>
    <n v="0"/>
    <n v="0"/>
    <s v="--"/>
    <s v="--"/>
    <d v="1899-12-31T10:44:00"/>
    <d v="1899-12-30T00:00:00"/>
    <n v="0"/>
    <d v="1899-12-30T00:00:00"/>
    <s v="Não"/>
    <s v="00:03.23"/>
    <n v="10"/>
    <n v="0"/>
    <d v="1899-12-30T00:32:12"/>
    <d v="1899-12-30T00:34:44"/>
    <s v="--"/>
    <s v="--"/>
  </r>
  <r>
    <x v="2"/>
    <d v="2020-07-14T06:57:06"/>
    <s v="false"/>
    <s v="Corrida"/>
    <n v="2.58"/>
    <n v="200"/>
    <d v="1899-12-30T00:30:01"/>
    <n v="122"/>
    <n v="135"/>
    <n v="1.9"/>
    <n v="107"/>
    <n v="135"/>
    <d v="1899-12-30T11:39:00"/>
    <d v="1899-12-30T08:53:00"/>
    <s v="--"/>
    <s v="--"/>
    <n v="0.8"/>
    <n v="0"/>
    <n v="0"/>
    <n v="0"/>
    <n v="0"/>
    <n v="0"/>
    <s v="--"/>
    <s v="--"/>
    <d v="1899-12-31T06:01:00"/>
    <d v="1899-12-30T00:00:00"/>
    <n v="0"/>
    <d v="1899-12-30T00:00:00"/>
    <s v="Não"/>
    <s v="07:00.73"/>
    <n v="3"/>
    <n v="0"/>
    <d v="1899-12-30T00:29:27"/>
    <d v="1899-12-30T00:30:01"/>
    <s v="--"/>
    <s v="--"/>
  </r>
  <r>
    <x v="2"/>
    <d v="2020-07-11T08:17:04"/>
    <s v="false"/>
    <s v="Blumenau Corrida"/>
    <n v="2.0099999999999998"/>
    <n v="141"/>
    <d v="1899-12-30T00:11:39"/>
    <n v="176"/>
    <n v="190"/>
    <n v="3.3"/>
    <n v="157"/>
    <n v="162"/>
    <d v="1899-12-30T05:48:00"/>
    <d v="1899-12-30T04:50:00"/>
    <s v="--"/>
    <n v="6"/>
    <n v="1.1000000000000001"/>
    <n v="0"/>
    <n v="0"/>
    <n v="0"/>
    <n v="0"/>
    <n v="0"/>
    <s v="--"/>
    <s v="--"/>
    <d v="1899-12-30T11:39:00"/>
    <d v="1899-12-30T00:00:00"/>
    <n v="0"/>
    <d v="1899-12-30T00:00:00"/>
    <s v="Não"/>
    <s v="00:04.06"/>
    <n v="3"/>
    <n v="0"/>
    <d v="1899-12-30T00:11:39"/>
    <d v="1899-12-30T00:11:39"/>
    <n v="16"/>
    <n v="32"/>
  </r>
  <r>
    <x v="2"/>
    <d v="2020-07-09T07:01:05"/>
    <s v="false"/>
    <s v="Blumenau - Run Workout"/>
    <n v="3.84"/>
    <n v="325"/>
    <d v="1899-12-30T00:27:52"/>
    <n v="169"/>
    <n v="188"/>
    <n v="4.2"/>
    <n v="141"/>
    <n v="163"/>
    <d v="1899-12-30T07:16:00"/>
    <d v="1899-12-30T05:47:00"/>
    <n v="15"/>
    <n v="23"/>
    <n v="0.96"/>
    <n v="0"/>
    <n v="0"/>
    <n v="0"/>
    <n v="0"/>
    <n v="0"/>
    <s v="--"/>
    <s v="--"/>
    <d v="1899-12-31T03:52:00"/>
    <d v="1899-12-30T00:00:00"/>
    <n v="0"/>
    <d v="1899-12-30T00:00:00"/>
    <s v="Não"/>
    <s v="00:04.85"/>
    <n v="7"/>
    <n v="0"/>
    <d v="1899-12-30T00:27:50"/>
    <d v="1899-12-30T00:27:52"/>
    <n v="12"/>
    <n v="31"/>
  </r>
  <r>
    <x v="2"/>
    <d v="2020-07-07T07:12:25"/>
    <s v="false"/>
    <s v="Corrida"/>
    <n v="2.0099999999999998"/>
    <n v="145"/>
    <d v="1899-12-30T00:12:37"/>
    <n v="166"/>
    <n v="180"/>
    <n v="3.1"/>
    <n v="152"/>
    <n v="158"/>
    <d v="1899-12-30T06:17:00"/>
    <d v="1899-12-30T05:42:00"/>
    <s v="--"/>
    <s v="--"/>
    <n v="1.05"/>
    <n v="0"/>
    <n v="0"/>
    <n v="0"/>
    <n v="0"/>
    <n v="0"/>
    <s v="--"/>
    <s v="--"/>
    <d v="1899-12-30T12:37:00"/>
    <d v="1899-12-30T00:00:00"/>
    <n v="0"/>
    <d v="1899-12-30T00:00:00"/>
    <s v="Não"/>
    <s v="00:02.55"/>
    <n v="3"/>
    <n v="0"/>
    <d v="1899-12-30T00:12:33"/>
    <d v="1899-12-30T00:12:37"/>
    <s v="--"/>
    <s v="--"/>
  </r>
  <r>
    <x v="2"/>
    <d v="2020-06-24T19:11:00"/>
    <s v="false"/>
    <s v="Blumenau Corrida"/>
    <n v="1.95"/>
    <n v="142"/>
    <d v="1899-12-30T00:12:31"/>
    <s v="--"/>
    <s v="--"/>
    <s v="--"/>
    <n v="149"/>
    <n v="160"/>
    <d v="1899-12-30T06:24:00"/>
    <d v="1899-12-30T03:36:00"/>
    <n v="13"/>
    <n v="11"/>
    <n v="1.05"/>
    <n v="0"/>
    <n v="0"/>
    <n v="0"/>
    <n v="0"/>
    <n v="0"/>
    <s v="--"/>
    <s v="--"/>
    <d v="1899-12-30T12:31:00"/>
    <d v="1899-12-30T00:00:00"/>
    <n v="0"/>
    <d v="1899-12-30T00:00:00"/>
    <s v="Não"/>
    <s v="00:01.60"/>
    <n v="4"/>
    <n v="0"/>
    <d v="1899-12-30T00:12:12"/>
    <d v="1899-12-30T00:23:59"/>
    <n v="17"/>
    <n v="33"/>
  </r>
  <r>
    <x v="1"/>
    <d v="2020-06-22T06:55:17"/>
    <s v="false"/>
    <s v="Blumenau Ciclismo"/>
    <n v="11.53"/>
    <n v="554"/>
    <d v="1899-12-30T00:44:58"/>
    <n v="167"/>
    <n v="185"/>
    <n v="5"/>
    <s v="--"/>
    <s v="--"/>
    <n v="15.4"/>
    <n v="38.299999999999997"/>
    <n v="106"/>
    <n v="111"/>
    <n v="0"/>
    <n v="0"/>
    <n v="0"/>
    <n v="0"/>
    <n v="0"/>
    <n v="0"/>
    <s v="--"/>
    <s v="--"/>
    <d v="1899-12-31T20:58:00"/>
    <d v="1899-12-30T00:00:00"/>
    <n v="0"/>
    <d v="1899-12-30T00:00:00"/>
    <s v="Não"/>
    <s v="10:01.20"/>
    <n v="3"/>
    <n v="0"/>
    <d v="1899-12-30T00:42:07"/>
    <d v="1899-12-30T00:44:58"/>
    <n v="15"/>
    <n v="58"/>
  </r>
  <r>
    <x v="2"/>
    <d v="2020-06-10T06:58:12"/>
    <s v="false"/>
    <s v="Corrida"/>
    <n v="5.49"/>
    <n v="289"/>
    <d v="1899-12-30T01:00:03"/>
    <n v="115"/>
    <n v="128"/>
    <n v="1.8"/>
    <n v="110"/>
    <n v="138"/>
    <d v="1899-12-30T10:57:00"/>
    <d v="1899-12-30T08:21:00"/>
    <s v="--"/>
    <s v="--"/>
    <n v="0.84"/>
    <n v="0"/>
    <n v="0"/>
    <n v="0"/>
    <n v="0"/>
    <n v="0"/>
    <s v="--"/>
    <s v="--"/>
    <d v="1899-12-30T01:00:03"/>
    <d v="1899-12-30T00:00:00"/>
    <n v="0"/>
    <d v="1899-12-30T00:00:00"/>
    <s v="Não"/>
    <s v="05:30.44"/>
    <n v="6"/>
    <n v="0"/>
    <d v="1899-12-30T00:58:28"/>
    <d v="1899-12-30T01:00:03"/>
    <s v="--"/>
    <s v="--"/>
  </r>
  <r>
    <x v="2"/>
    <d v="2020-06-08T07:11:00"/>
    <s v="false"/>
    <s v="Blumenau Corrida"/>
    <n v="4.7699999999999996"/>
    <n v="256"/>
    <d v="1899-12-30T00:39:38"/>
    <n v="134"/>
    <n v="165"/>
    <n v="2.8"/>
    <n v="116"/>
    <n v="164"/>
    <d v="1899-12-30T08:19:00"/>
    <d v="1899-12-30T05:18:00"/>
    <n v="16"/>
    <n v="19"/>
    <n v="1.04"/>
    <n v="0"/>
    <n v="0"/>
    <n v="0"/>
    <n v="0"/>
    <n v="0"/>
    <s v="--"/>
    <s v="--"/>
    <d v="1899-12-31T15:38:00"/>
    <d v="1899-12-30T00:00:00"/>
    <n v="0"/>
    <d v="1899-12-30T00:00:00"/>
    <s v="Não"/>
    <s v="05:55.26"/>
    <n v="5"/>
    <n v="0"/>
    <d v="1899-12-30T00:39:31"/>
    <d v="1899-12-30T00:39:38"/>
    <n v="12"/>
    <n v="28"/>
  </r>
  <r>
    <x v="2"/>
    <d v="2020-06-03T06:58:10"/>
    <s v="false"/>
    <s v="Blumenau - Run Workout"/>
    <n v="8.8000000000000007"/>
    <n v="630"/>
    <d v="1899-12-30T01:02:59"/>
    <n v="162"/>
    <n v="188"/>
    <n v="5"/>
    <n v="134"/>
    <n v="174"/>
    <d v="1899-12-30T07:09:00"/>
    <d v="1899-12-30T03:27:00"/>
    <n v="14"/>
    <n v="17"/>
    <n v="1.01"/>
    <n v="0"/>
    <n v="0"/>
    <n v="0"/>
    <n v="0"/>
    <n v="0"/>
    <s v="--"/>
    <s v="--"/>
    <d v="1899-12-30T01:02:59"/>
    <d v="1899-12-30T00:00:00"/>
    <n v="0"/>
    <d v="1899-12-30T00:00:00"/>
    <s v="Não"/>
    <s v="01:30.00"/>
    <n v="22"/>
    <n v="0"/>
    <d v="1899-12-30T01:02:44"/>
    <d v="1899-12-30T01:02:59"/>
    <n v="14"/>
    <n v="30"/>
  </r>
  <r>
    <x v="3"/>
    <d v="2020-06-01T17:38:45"/>
    <s v="false"/>
    <s v="Corrida"/>
    <n v="0"/>
    <n v="680"/>
    <d v="1899-12-30T00:47:20"/>
    <n v="171"/>
    <n v="186"/>
    <s v="--"/>
    <s v="--"/>
    <s v="--"/>
    <s v="--"/>
    <s v="--"/>
    <s v="--"/>
    <s v="--"/>
    <n v="0"/>
    <n v="0"/>
    <n v="0"/>
    <n v="0"/>
    <n v="0"/>
    <n v="0"/>
    <s v="--"/>
    <s v="--"/>
    <d v="1899-12-31T23:20:00"/>
    <d v="1899-12-30T00:00:00"/>
    <n v="0"/>
    <d v="1899-12-30T00:00:00"/>
    <s v="Não"/>
    <s v="00:00.00"/>
    <n v="1"/>
    <n v="0"/>
    <d v="1899-12-30T00:00:00"/>
    <d v="1899-12-30T00:47:20"/>
    <s v="--"/>
    <s v="--"/>
  </r>
  <r>
    <x v="2"/>
    <d v="2020-05-29T17:54:44"/>
    <s v="false"/>
    <s v="Corrida"/>
    <n v="0"/>
    <n v="794"/>
    <d v="1899-12-30T01:00:58"/>
    <n v="163"/>
    <n v="181"/>
    <s v="--"/>
    <s v="--"/>
    <s v="--"/>
    <s v="--"/>
    <s v="--"/>
    <s v="--"/>
    <s v="--"/>
    <n v="0"/>
    <n v="0"/>
    <n v="0"/>
    <n v="0"/>
    <n v="0"/>
    <n v="0"/>
    <s v="--"/>
    <s v="--"/>
    <d v="1899-12-30T01:00:58"/>
    <d v="1899-12-30T00:00:00"/>
    <n v="0"/>
    <d v="1899-12-30T00:00:00"/>
    <s v="Não"/>
    <s v="00:00.00"/>
    <n v="1"/>
    <n v="0"/>
    <d v="1899-12-30T00:00:00"/>
    <d v="1899-12-30T01:00:58"/>
    <s v="--"/>
    <s v="--"/>
  </r>
  <r>
    <x v="2"/>
    <d v="2020-05-27T06:56:19"/>
    <s v="false"/>
    <s v="Blumenau Corrida"/>
    <n v="8.58"/>
    <n v="756"/>
    <d v="1899-12-30T00:54:06"/>
    <n v="169"/>
    <n v="181"/>
    <s v="--"/>
    <s v="--"/>
    <s v="--"/>
    <d v="1899-12-30T06:19:00"/>
    <d v="1899-12-30T03:08:00"/>
    <n v="95"/>
    <n v="100"/>
    <n v="0"/>
    <n v="0"/>
    <n v="0"/>
    <n v="0"/>
    <n v="0"/>
    <n v="0"/>
    <s v="--"/>
    <s v="--"/>
    <d v="1900-01-01T06:06:00"/>
    <d v="1899-12-30T00:00:00"/>
    <n v="0"/>
    <d v="1899-12-30T00:00:00"/>
    <s v="Não"/>
    <s v="00:00.00"/>
    <n v="1"/>
    <n v="0"/>
    <d v="1899-12-30T00:52:43"/>
    <d v="1899-12-30T00:56:03"/>
    <n v="12"/>
    <n v="56"/>
  </r>
  <r>
    <x v="2"/>
    <d v="2020-05-25T07:11:42"/>
    <s v="false"/>
    <s v="Blumenau Corrida"/>
    <n v="1.9"/>
    <n v="147"/>
    <d v="1899-12-30T00:19:00"/>
    <n v="128"/>
    <n v="143"/>
    <s v="--"/>
    <s v="--"/>
    <s v="--"/>
    <d v="1899-12-30T10:01:00"/>
    <d v="1899-12-30T08:32:00"/>
    <n v="15"/>
    <n v="5"/>
    <n v="0"/>
    <n v="0"/>
    <n v="0"/>
    <n v="0"/>
    <n v="0"/>
    <n v="0"/>
    <s v="--"/>
    <s v="--"/>
    <d v="1899-12-30T19:00:00"/>
    <d v="1899-12-30T00:00:00"/>
    <n v="0"/>
    <d v="1899-12-30T00:00:00"/>
    <s v="Não"/>
    <s v="00:00.00"/>
    <n v="1"/>
    <n v="0"/>
    <d v="1899-12-30T00:19:00"/>
    <d v="1899-12-30T00:19:00"/>
    <n v="12"/>
    <n v="28"/>
  </r>
  <r>
    <x v="2"/>
    <d v="2020-05-25T07:06:09"/>
    <s v="false"/>
    <s v="Blumenau Corrida"/>
    <n v="1"/>
    <n v="64"/>
    <d v="1899-12-30T00:04:22"/>
    <n v="174"/>
    <n v="180"/>
    <s v="--"/>
    <s v="--"/>
    <s v="--"/>
    <d v="1899-12-30T04:22:00"/>
    <d v="1899-12-30T03:54:00"/>
    <n v="1"/>
    <s v="--"/>
    <n v="0"/>
    <n v="0"/>
    <n v="0"/>
    <n v="0"/>
    <n v="0"/>
    <n v="0"/>
    <s v="--"/>
    <s v="--"/>
    <d v="1899-12-30T00:04:22"/>
    <d v="1899-12-30T00:00:00"/>
    <n v="0"/>
    <d v="1899-12-30T00:00:00"/>
    <s v="Não"/>
    <s v="00:00.00"/>
    <n v="1"/>
    <n v="0"/>
    <d v="1899-12-30T00:04:22"/>
    <d v="1899-12-30T00:04:22"/>
    <n v="12"/>
    <n v="16"/>
  </r>
  <r>
    <x v="2"/>
    <d v="2020-05-25T06:52:36"/>
    <s v="false"/>
    <s v="Blumenau Corrida"/>
    <n v="1.46"/>
    <n v="80"/>
    <d v="1899-12-30T00:12:56"/>
    <n v="118"/>
    <n v="160"/>
    <s v="--"/>
    <s v="--"/>
    <s v="--"/>
    <d v="1899-12-30T08:52:00"/>
    <d v="1899-12-30T05:52:00"/>
    <n v="3"/>
    <n v="17"/>
    <n v="0"/>
    <n v="0"/>
    <n v="0"/>
    <n v="0"/>
    <n v="0"/>
    <n v="0"/>
    <s v="--"/>
    <s v="--"/>
    <d v="1899-12-30T12:56:00"/>
    <d v="1899-12-30T00:00:00"/>
    <n v="0"/>
    <d v="1899-12-30T00:00:00"/>
    <s v="Não"/>
    <s v="00:00.00"/>
    <n v="1"/>
    <n v="0"/>
    <d v="1899-12-30T00:12:56"/>
    <d v="1899-12-30T00:12:56"/>
    <n v="12"/>
    <n v="26"/>
  </r>
  <r>
    <x v="3"/>
    <d v="2020-05-22T16:20:09"/>
    <s v="false"/>
    <s v="Corrida"/>
    <n v="0"/>
    <n v="627"/>
    <d v="1899-12-30T00:49:18"/>
    <n v="161"/>
    <n v="190"/>
    <s v="--"/>
    <s v="--"/>
    <s v="--"/>
    <s v="--"/>
    <s v="--"/>
    <s v="--"/>
    <s v="--"/>
    <n v="0"/>
    <n v="0"/>
    <n v="0"/>
    <n v="0"/>
    <n v="0"/>
    <n v="0"/>
    <s v="--"/>
    <s v="--"/>
    <d v="1900-01-01T01:18:00"/>
    <d v="1899-12-30T00:00:00"/>
    <n v="0"/>
    <d v="1899-12-30T00:00:00"/>
    <s v="Não"/>
    <s v="00:00.00"/>
    <n v="1"/>
    <n v="0"/>
    <d v="1899-12-30T00:00:00"/>
    <d v="1899-12-30T00:49:18"/>
    <s v="--"/>
    <s v="--"/>
  </r>
  <r>
    <x v="2"/>
    <d v="2020-05-20T17:22:39"/>
    <s v="false"/>
    <s v="Blumenau Corrida"/>
    <n v="5.9"/>
    <n v="516"/>
    <d v="1899-12-30T00:35:35"/>
    <n v="172"/>
    <n v="185"/>
    <s v="--"/>
    <s v="--"/>
    <s v="--"/>
    <d v="1899-12-30T06:02:00"/>
    <d v="1899-12-30T05:05:00"/>
    <n v="64"/>
    <n v="68"/>
    <n v="0"/>
    <n v="0"/>
    <n v="0"/>
    <n v="0"/>
    <n v="0"/>
    <n v="0"/>
    <s v="--"/>
    <s v="--"/>
    <d v="1899-12-31T11:35:00"/>
    <d v="1899-12-30T00:00:00"/>
    <n v="0"/>
    <d v="1899-12-30T00:00:00"/>
    <s v="Não"/>
    <s v="00:00.00"/>
    <n v="1"/>
    <n v="0"/>
    <d v="1899-12-30T00:35:29"/>
    <d v="1899-12-30T00:35:35"/>
    <n v="12"/>
    <n v="56"/>
  </r>
  <r>
    <x v="2"/>
    <d v="2020-05-17T08:35:35"/>
    <s v="false"/>
    <s v="Blumenau Corrida"/>
    <n v="13.51"/>
    <n v="1185"/>
    <d v="1899-12-30T01:25:57"/>
    <n v="168"/>
    <n v="204"/>
    <s v="--"/>
    <s v="--"/>
    <s v="--"/>
    <d v="1899-12-30T06:22:00"/>
    <d v="1899-12-30T02:11:00"/>
    <n v="221"/>
    <n v="225"/>
    <n v="0"/>
    <n v="0"/>
    <n v="0"/>
    <n v="0"/>
    <n v="0"/>
    <n v="0"/>
    <s v="--"/>
    <s v="--"/>
    <d v="1899-12-30T01:25:57"/>
    <d v="1899-12-30T00:00:00"/>
    <n v="0"/>
    <d v="1899-12-30T00:00:00"/>
    <s v="Não"/>
    <s v="00:00.00"/>
    <n v="1"/>
    <n v="0"/>
    <d v="1899-12-30T01:25:57"/>
    <d v="1899-12-30T01:25:57"/>
    <n v="20"/>
    <n v="117"/>
  </r>
  <r>
    <x v="3"/>
    <d v="2020-05-15T18:08:07"/>
    <s v="false"/>
    <s v="Corrida"/>
    <n v="0"/>
    <n v="557"/>
    <d v="1899-12-30T00:40:12"/>
    <n v="168"/>
    <n v="180"/>
    <s v="--"/>
    <s v="--"/>
    <s v="--"/>
    <s v="--"/>
    <s v="--"/>
    <s v="--"/>
    <s v="--"/>
    <n v="0"/>
    <n v="0"/>
    <n v="0"/>
    <n v="0"/>
    <n v="0"/>
    <n v="0"/>
    <s v="--"/>
    <s v="--"/>
    <d v="1899-12-31T16:12:00"/>
    <d v="1899-12-30T00:00:00"/>
    <n v="0"/>
    <d v="1899-12-30T00:00:00"/>
    <s v="Não"/>
    <s v="00:00.00"/>
    <n v="1"/>
    <n v="0"/>
    <d v="1899-12-30T00:00:00"/>
    <d v="1899-12-30T00:40:12"/>
    <s v="--"/>
    <s v="--"/>
  </r>
  <r>
    <x v="3"/>
    <d v="2020-05-13T18:59:10"/>
    <s v="false"/>
    <s v="Corrida"/>
    <n v="0"/>
    <n v="608"/>
    <d v="1899-12-30T00:46:26"/>
    <n v="163"/>
    <n v="187"/>
    <s v="--"/>
    <s v="--"/>
    <s v="--"/>
    <s v="--"/>
    <s v="--"/>
    <s v="--"/>
    <s v="--"/>
    <n v="0"/>
    <n v="0"/>
    <n v="0"/>
    <n v="0"/>
    <n v="0"/>
    <n v="0"/>
    <s v="--"/>
    <s v="--"/>
    <d v="1899-12-31T22:26:00"/>
    <d v="1899-12-30T00:00:00"/>
    <n v="0"/>
    <d v="1899-12-30T00:00:00"/>
    <s v="Não"/>
    <s v="00:00.00"/>
    <n v="1"/>
    <n v="0"/>
    <d v="1899-12-30T00:00:00"/>
    <d v="1899-12-30T00:46:26"/>
    <s v="--"/>
    <s v="--"/>
  </r>
  <r>
    <x v="0"/>
    <d v="2020-05-12T06:55:30"/>
    <s v="false"/>
    <s v="Musculação"/>
    <n v="0"/>
    <n v="331"/>
    <d v="1899-12-30T00:57:42"/>
    <n v="115"/>
    <n v="152"/>
    <s v="--"/>
    <s v="--"/>
    <s v="--"/>
    <s v="--"/>
    <s v="--"/>
    <s v="--"/>
    <s v="--"/>
    <n v="0"/>
    <n v="0"/>
    <n v="0"/>
    <n v="0"/>
    <n v="0"/>
    <n v="0"/>
    <s v="--"/>
    <s v="--"/>
    <d v="1900-01-01T09:42:00"/>
    <d v="1899-12-30T00:00:00"/>
    <n v="0"/>
    <d v="1899-12-30T00:00:00"/>
    <s v="Não"/>
    <s v="00:00.00"/>
    <n v="1"/>
    <n v="0"/>
    <d v="1899-12-30T00:00:00"/>
    <d v="1899-12-30T00:57:42"/>
    <s v="--"/>
    <s v="--"/>
  </r>
  <r>
    <x v="2"/>
    <d v="2020-05-11T06:59:45"/>
    <s v="false"/>
    <s v="Blumenau Corrida"/>
    <n v="6.02"/>
    <n v="473"/>
    <d v="1899-12-30T00:34:55"/>
    <n v="166"/>
    <n v="183"/>
    <s v="--"/>
    <s v="--"/>
    <s v="--"/>
    <d v="1899-12-30T05:48:00"/>
    <d v="1899-12-30T02:12:00"/>
    <n v="63"/>
    <n v="67"/>
    <n v="0"/>
    <n v="0"/>
    <n v="0"/>
    <n v="0"/>
    <n v="0"/>
    <n v="0"/>
    <s v="--"/>
    <s v="--"/>
    <d v="1899-12-31T10:55:00"/>
    <d v="1899-12-30T00:00:00"/>
    <n v="0"/>
    <d v="1899-12-30T00:00:00"/>
    <s v="Não"/>
    <s v="00:10.37"/>
    <n v="4"/>
    <n v="0"/>
    <d v="1899-12-30T00:32:12"/>
    <d v="1899-12-30T00:34:55"/>
    <n v="22"/>
    <n v="55"/>
  </r>
  <r>
    <x v="2"/>
    <d v="2020-05-10T08:56:49"/>
    <s v="false"/>
    <s v="Blumenau Corrida"/>
    <n v="12.82"/>
    <n v="1125"/>
    <d v="1899-12-30T01:18:55"/>
    <n v="171"/>
    <n v="182"/>
    <s v="--"/>
    <s v="--"/>
    <s v="--"/>
    <d v="1899-12-30T06:09:00"/>
    <d v="1899-12-30T02:23:00"/>
    <n v="188"/>
    <n v="192"/>
    <n v="0"/>
    <n v="0"/>
    <n v="0"/>
    <n v="0"/>
    <n v="0"/>
    <n v="0"/>
    <s v="--"/>
    <s v="--"/>
    <d v="1899-12-30T01:18:55"/>
    <d v="1899-12-30T00:00:00"/>
    <n v="0"/>
    <d v="1899-12-30T00:00:00"/>
    <s v="Não"/>
    <s v="00:00.00"/>
    <n v="1"/>
    <n v="0"/>
    <d v="1899-12-30T01:18:55"/>
    <d v="1899-12-30T01:18:55"/>
    <n v="20"/>
    <n v="117"/>
  </r>
  <r>
    <x v="2"/>
    <d v="2020-05-08T06:49:48"/>
    <s v="false"/>
    <s v="Blumenau Corrida"/>
    <n v="4.71"/>
    <n v="538"/>
    <d v="1899-12-30T00:41:37"/>
    <n v="164"/>
    <n v="184"/>
    <s v="--"/>
    <s v="--"/>
    <s v="--"/>
    <d v="1899-12-30T08:50:00"/>
    <d v="1899-12-30T01:00:00"/>
    <n v="75"/>
    <n v="75"/>
    <n v="0"/>
    <n v="0"/>
    <n v="0"/>
    <n v="0"/>
    <n v="0"/>
    <n v="0"/>
    <s v="--"/>
    <s v="--"/>
    <d v="1899-12-31T17:37:00"/>
    <d v="1899-12-30T00:00:00"/>
    <n v="0"/>
    <d v="1899-12-30T00:00:00"/>
    <s v="Não"/>
    <s v="00:55.56"/>
    <n v="21"/>
    <n v="0"/>
    <d v="1899-12-30T00:36:04"/>
    <d v="1899-12-30T00:41:37"/>
    <n v="18"/>
    <n v="36"/>
  </r>
  <r>
    <x v="0"/>
    <d v="2020-05-07T18:41:01"/>
    <s v="false"/>
    <s v="Musculação"/>
    <n v="0"/>
    <n v="290"/>
    <d v="1899-12-30T00:52:56"/>
    <n v="113"/>
    <n v="158"/>
    <s v="--"/>
    <s v="--"/>
    <s v="--"/>
    <s v="--"/>
    <s v="--"/>
    <s v="--"/>
    <s v="--"/>
    <n v="0"/>
    <n v="0"/>
    <n v="0"/>
    <n v="0"/>
    <n v="0"/>
    <n v="0"/>
    <s v="--"/>
    <s v="--"/>
    <d v="1900-01-01T04:56:00"/>
    <d v="1899-12-30T00:00:00"/>
    <n v="0"/>
    <d v="1899-12-30T00:00:00"/>
    <s v="Não"/>
    <s v="00:00.00"/>
    <n v="1"/>
    <n v="0"/>
    <d v="1899-12-30T00:00:00"/>
    <d v="1899-12-30T00:52:56"/>
    <s v="--"/>
    <s v="--"/>
  </r>
  <r>
    <x v="2"/>
    <d v="2020-05-06T06:41:37"/>
    <s v="false"/>
    <s v="Blumenau Corrida"/>
    <n v="9.24"/>
    <n v="822"/>
    <d v="1899-12-30T00:56:30"/>
    <n v="173"/>
    <n v="184"/>
    <s v="--"/>
    <s v="--"/>
    <s v="--"/>
    <d v="1899-12-30T06:07:00"/>
    <d v="1899-12-30T04:03:00"/>
    <n v="104"/>
    <n v="107"/>
    <n v="0"/>
    <n v="0"/>
    <n v="0"/>
    <n v="0"/>
    <n v="0"/>
    <n v="0"/>
    <s v="--"/>
    <s v="--"/>
    <d v="1900-01-01T08:30:00"/>
    <d v="1899-12-30T00:00:00"/>
    <n v="0"/>
    <d v="1899-12-30T00:00:00"/>
    <s v="Não"/>
    <s v="01:23.65"/>
    <n v="10"/>
    <n v="0"/>
    <d v="1899-12-30T00:56:28"/>
    <d v="1899-12-30T00:56:30"/>
    <n v="12"/>
    <n v="56"/>
  </r>
  <r>
    <x v="0"/>
    <d v="2020-05-05T06:31:09"/>
    <s v="false"/>
    <s v="Musculação"/>
    <n v="0"/>
    <n v="212"/>
    <d v="1899-12-30T01:00:23"/>
    <n v="100"/>
    <n v="122"/>
    <s v="--"/>
    <s v="--"/>
    <s v="--"/>
    <s v="--"/>
    <s v="--"/>
    <s v="--"/>
    <s v="--"/>
    <n v="0"/>
    <n v="0"/>
    <n v="0"/>
    <n v="0"/>
    <n v="0"/>
    <n v="0"/>
    <s v="--"/>
    <s v="--"/>
    <d v="1899-12-30T01:00:23"/>
    <d v="1899-12-30T00:00:00"/>
    <n v="0"/>
    <d v="1899-12-30T00:00:00"/>
    <s v="Não"/>
    <s v="00:00.00"/>
    <n v="1"/>
    <n v="0"/>
    <d v="1899-12-30T00:00:00"/>
    <d v="1899-12-30T01:00:23"/>
    <s v="--"/>
    <s v="--"/>
  </r>
  <r>
    <x v="2"/>
    <d v="2020-05-04T17:35:48"/>
    <s v="false"/>
    <s v="Blumenau Corrida"/>
    <n v="6"/>
    <n v="503"/>
    <d v="1899-12-30T00:36:54"/>
    <n v="167"/>
    <n v="183"/>
    <s v="--"/>
    <s v="--"/>
    <s v="--"/>
    <d v="1899-12-30T06:09:00"/>
    <d v="1899-12-30T01:49:00"/>
    <n v="65"/>
    <n v="69"/>
    <n v="0"/>
    <n v="0"/>
    <n v="0"/>
    <n v="0"/>
    <n v="0"/>
    <n v="0"/>
    <s v="--"/>
    <s v="--"/>
    <d v="1899-12-31T12:54:00"/>
    <d v="1899-12-30T00:00:00"/>
    <n v="0"/>
    <d v="1899-12-30T00:00:00"/>
    <s v="Não"/>
    <s v="02:57.84"/>
    <n v="5"/>
    <n v="0"/>
    <d v="1899-12-30T00:32:57"/>
    <d v="1899-12-30T00:36:54"/>
    <n v="22"/>
    <n v="55"/>
  </r>
  <r>
    <x v="2"/>
    <d v="2020-05-03T08:45:24"/>
    <s v="false"/>
    <s v="Blumenau Corrida"/>
    <n v="10.3"/>
    <n v="860"/>
    <d v="1899-12-30T01:00:01"/>
    <n v="172"/>
    <n v="184"/>
    <s v="--"/>
    <s v="--"/>
    <s v="--"/>
    <d v="1899-12-30T05:50:00"/>
    <d v="1899-12-30T03:17:00"/>
    <n v="110"/>
    <n v="109"/>
    <n v="0"/>
    <n v="0"/>
    <n v="0"/>
    <n v="0"/>
    <n v="0"/>
    <n v="0"/>
    <s v="--"/>
    <s v="--"/>
    <d v="1899-12-30T01:00:01"/>
    <d v="1899-12-30T00:00:00"/>
    <n v="0"/>
    <d v="1899-12-30T00:00:00"/>
    <s v="Não"/>
    <s v="01:39.89"/>
    <n v="11"/>
    <n v="0"/>
    <d v="1899-12-30T00:59:58"/>
    <d v="1899-12-30T01:00:01"/>
    <n v="14"/>
    <n v="60"/>
  </r>
  <r>
    <x v="2"/>
    <d v="2020-05-01T08:21:11"/>
    <s v="false"/>
    <s v="Blumenau Corrida"/>
    <n v="11.6"/>
    <n v="1036"/>
    <d v="1899-12-30T01:12:38"/>
    <n v="171"/>
    <n v="183"/>
    <s v="--"/>
    <s v="--"/>
    <s v="--"/>
    <d v="1899-12-30T06:16:00"/>
    <d v="1899-12-30T04:36:00"/>
    <n v="178"/>
    <n v="184"/>
    <n v="0"/>
    <n v="0"/>
    <n v="0"/>
    <n v="0"/>
    <n v="0"/>
    <n v="0"/>
    <s v="--"/>
    <s v="--"/>
    <d v="1899-12-30T01:12:38"/>
    <d v="1899-12-30T00:00:00"/>
    <n v="0"/>
    <d v="1899-12-30T00:00:00"/>
    <s v="Não"/>
    <s v="00:00.00"/>
    <n v="1"/>
    <n v="0"/>
    <d v="1899-12-30T01:12:38"/>
    <d v="1899-12-30T01:12:38"/>
    <n v="20"/>
    <n v="116"/>
  </r>
  <r>
    <x v="0"/>
    <d v="2020-04-30T18:43:03"/>
    <s v="false"/>
    <s v="Musculação"/>
    <n v="0"/>
    <n v="216"/>
    <d v="1899-12-30T00:41:17"/>
    <n v="111"/>
    <n v="161"/>
    <s v="--"/>
    <s v="--"/>
    <s v="--"/>
    <s v="--"/>
    <s v="--"/>
    <s v="--"/>
    <s v="--"/>
    <n v="0"/>
    <n v="0"/>
    <n v="0"/>
    <n v="0"/>
    <n v="0"/>
    <n v="0"/>
    <s v="--"/>
    <s v="--"/>
    <d v="1899-12-31T17:17:00"/>
    <d v="1899-12-30T00:00:00"/>
    <n v="0"/>
    <d v="1899-12-30T00:00:00"/>
    <s v="Não"/>
    <s v="00:00.00"/>
    <n v="1"/>
    <n v="0"/>
    <d v="1899-12-30T00:00:00"/>
    <d v="1899-12-30T00:41:17"/>
    <s v="--"/>
    <s v="--"/>
  </r>
  <r>
    <x v="2"/>
    <d v="2020-04-29T06:31:42"/>
    <s v="false"/>
    <s v="Blumenau Corrida"/>
    <n v="6.41"/>
    <n v="586"/>
    <d v="1899-12-30T00:51:44"/>
    <n v="153"/>
    <n v="182"/>
    <s v="--"/>
    <s v="--"/>
    <s v="--"/>
    <d v="1899-12-30T08:04:00"/>
    <d v="1899-12-30T03:47:00"/>
    <n v="18"/>
    <n v="30"/>
    <n v="0"/>
    <n v="0"/>
    <n v="0"/>
    <n v="0"/>
    <n v="0"/>
    <n v="0"/>
    <s v="--"/>
    <s v="--"/>
    <d v="1900-01-01T03:44:00"/>
    <d v="1899-12-30T00:00:00"/>
    <n v="0"/>
    <d v="1899-12-30T00:00:00"/>
    <s v="Não"/>
    <s v="00:05.33"/>
    <n v="22"/>
    <n v="0"/>
    <d v="1899-12-30T00:40:38"/>
    <d v="1899-12-30T00:51:44"/>
    <n v="12"/>
    <n v="31"/>
  </r>
  <r>
    <x v="0"/>
    <d v="2020-04-28T06:29:00"/>
    <s v="false"/>
    <s v="Musculação"/>
    <n v="0"/>
    <n v="179"/>
    <d v="1899-12-30T00:56:14"/>
    <n v="98"/>
    <n v="120"/>
    <s v="--"/>
    <s v="--"/>
    <s v="--"/>
    <s v="--"/>
    <s v="--"/>
    <s v="--"/>
    <s v="--"/>
    <n v="0"/>
    <n v="0"/>
    <n v="0"/>
    <n v="0"/>
    <n v="0"/>
    <n v="0"/>
    <s v="--"/>
    <s v="--"/>
    <d v="1900-01-01T08:14:00"/>
    <d v="1899-12-30T00:00:00"/>
    <n v="0"/>
    <d v="1899-12-30T00:00:00"/>
    <s v="Não"/>
    <s v="00:00.00"/>
    <n v="1"/>
    <n v="0"/>
    <d v="1899-12-30T00:00:00"/>
    <d v="1899-12-30T00:56:14"/>
    <s v="--"/>
    <s v="--"/>
  </r>
  <r>
    <x v="2"/>
    <d v="2020-04-27T06:30:05"/>
    <s v="false"/>
    <s v="Blumenau Corrida"/>
    <n v="7"/>
    <n v="577"/>
    <d v="1899-12-30T00:45:17"/>
    <n v="162"/>
    <n v="182"/>
    <s v="--"/>
    <s v="--"/>
    <s v="--"/>
    <d v="1899-12-30T06:28:00"/>
    <d v="1899-12-30T02:33:00"/>
    <n v="24"/>
    <n v="40"/>
    <n v="0"/>
    <n v="0"/>
    <n v="0"/>
    <n v="0"/>
    <n v="0"/>
    <n v="0"/>
    <s v="--"/>
    <s v="--"/>
    <d v="1899-12-31T21:17:00"/>
    <d v="1899-12-30T00:00:00"/>
    <n v="0"/>
    <d v="1899-12-30T00:00:00"/>
    <s v="Não"/>
    <s v="01:00.28"/>
    <n v="9"/>
    <n v="0"/>
    <d v="1899-12-30T00:40:52"/>
    <d v="1899-12-30T00:45:17"/>
    <n v="12"/>
    <n v="28"/>
  </r>
  <r>
    <x v="2"/>
    <d v="2020-04-25T07:36:09"/>
    <s v="false"/>
    <s v="Blumenau Corrida"/>
    <n v="9.44"/>
    <n v="871"/>
    <d v="1899-12-30T01:00:01"/>
    <n v="173"/>
    <n v="186"/>
    <s v="--"/>
    <s v="--"/>
    <s v="--"/>
    <d v="1899-12-30T06:21:00"/>
    <d v="1899-12-30T02:31:00"/>
    <n v="143"/>
    <n v="147"/>
    <n v="0"/>
    <n v="0"/>
    <n v="0"/>
    <n v="0"/>
    <n v="0"/>
    <n v="0"/>
    <s v="--"/>
    <s v="--"/>
    <d v="1899-12-30T01:00:01"/>
    <d v="1899-12-30T00:00:00"/>
    <n v="0"/>
    <d v="1899-12-30T00:00:00"/>
    <s v="Não"/>
    <s v="02:36.71"/>
    <n v="10"/>
    <n v="0"/>
    <d v="1899-12-30T00:59:34"/>
    <d v="1899-12-30T01:00:01"/>
    <n v="21"/>
    <n v="71"/>
  </r>
  <r>
    <x v="2"/>
    <d v="2020-04-24T17:27:20"/>
    <s v="false"/>
    <s v="Blumenau Corrida"/>
    <n v="8"/>
    <n v="708"/>
    <d v="1899-12-30T00:48:39"/>
    <n v="173"/>
    <n v="184"/>
    <s v="--"/>
    <s v="--"/>
    <s v="--"/>
    <d v="1899-12-30T06:05:00"/>
    <d v="1899-12-30T02:41:00"/>
    <n v="117"/>
    <n v="116"/>
    <n v="0"/>
    <n v="0"/>
    <n v="0"/>
    <n v="0"/>
    <n v="0"/>
    <n v="0"/>
    <s v="--"/>
    <s v="--"/>
    <d v="1900-01-01T00:39:00"/>
    <d v="1899-12-30T00:00:00"/>
    <n v="0"/>
    <d v="1899-12-30T00:00:00"/>
    <s v="Não"/>
    <s v="05:47.12"/>
    <n v="8"/>
    <n v="0"/>
    <d v="1899-12-30T00:48:37"/>
    <d v="1899-12-30T00:48:39"/>
    <n v="21"/>
    <n v="60"/>
  </r>
  <r>
    <x v="0"/>
    <d v="2020-04-23T06:30:02"/>
    <s v="false"/>
    <s v="Musculação"/>
    <n v="0"/>
    <n v="355"/>
    <d v="1899-12-30T00:56:05"/>
    <n v="119"/>
    <n v="161"/>
    <s v="--"/>
    <s v="--"/>
    <s v="--"/>
    <s v="--"/>
    <s v="--"/>
    <s v="--"/>
    <s v="--"/>
    <n v="0"/>
    <n v="0"/>
    <n v="0"/>
    <n v="0"/>
    <n v="0"/>
    <n v="0"/>
    <s v="--"/>
    <s v="--"/>
    <d v="1900-01-01T08:05:00"/>
    <d v="1899-12-30T00:00:00"/>
    <n v="0"/>
    <d v="1899-12-30T00:00:00"/>
    <s v="Não"/>
    <s v="00:00.00"/>
    <n v="1"/>
    <n v="0"/>
    <d v="1899-12-30T00:00:00"/>
    <d v="1899-12-30T00:56:05"/>
    <s v="--"/>
    <s v="--"/>
  </r>
  <r>
    <x v="2"/>
    <d v="2020-04-22T06:30:38"/>
    <s v="false"/>
    <s v="Blumenau Corrida"/>
    <n v="9.01"/>
    <n v="758"/>
    <d v="1899-12-30T00:54:32"/>
    <n v="169"/>
    <n v="184"/>
    <s v="--"/>
    <s v="--"/>
    <s v="--"/>
    <d v="1899-12-30T06:03:00"/>
    <d v="1899-12-30T03:08:00"/>
    <n v="138"/>
    <n v="140"/>
    <n v="0"/>
    <n v="0"/>
    <n v="0"/>
    <n v="0"/>
    <n v="0"/>
    <n v="0"/>
    <s v="--"/>
    <s v="--"/>
    <d v="1900-01-01T06:32:00"/>
    <d v="1899-12-30T00:00:00"/>
    <n v="0"/>
    <d v="1899-12-30T00:00:00"/>
    <s v="Não"/>
    <s v="00:08.21"/>
    <n v="13"/>
    <n v="0"/>
    <d v="1899-12-30T00:54:29"/>
    <d v="1899-12-30T00:54:32"/>
    <n v="21"/>
    <n v="59"/>
  </r>
  <r>
    <x v="2"/>
    <d v="2020-04-20T06:59:59"/>
    <s v="false"/>
    <s v="Blumenau Corrida"/>
    <n v="5"/>
    <n v="426"/>
    <d v="1899-12-30T00:31:00"/>
    <n v="168"/>
    <n v="187"/>
    <s v="--"/>
    <s v="--"/>
    <s v="--"/>
    <d v="1899-12-30T06:12:00"/>
    <d v="1899-12-30T04:13:00"/>
    <n v="11"/>
    <n v="25"/>
    <n v="0"/>
    <n v="0"/>
    <n v="0"/>
    <n v="0"/>
    <n v="0"/>
    <n v="0"/>
    <s v="--"/>
    <s v="--"/>
    <d v="1899-12-31T07:00:00"/>
    <d v="1899-12-30T00:00:00"/>
    <n v="0"/>
    <d v="1899-12-30T00:00:00"/>
    <s v="Não"/>
    <s v="01:09.44"/>
    <n v="7"/>
    <n v="0"/>
    <d v="1899-12-30T00:26:20"/>
    <d v="1899-12-30T00:31:00"/>
    <n v="12"/>
    <n v="30"/>
  </r>
  <r>
    <x v="2"/>
    <d v="2020-04-18T07:17:43"/>
    <s v="false"/>
    <s v="Blumenau Corrida"/>
    <n v="9.69"/>
    <n v="881"/>
    <d v="1899-12-30T01:00:02"/>
    <n v="174"/>
    <n v="184"/>
    <s v="--"/>
    <s v="--"/>
    <s v="--"/>
    <d v="1899-12-30T06:12:00"/>
    <d v="1899-12-30T02:25:00"/>
    <n v="147"/>
    <n v="151"/>
    <n v="0"/>
    <n v="0"/>
    <n v="0"/>
    <n v="0"/>
    <n v="0"/>
    <n v="0"/>
    <s v="--"/>
    <s v="--"/>
    <d v="1899-12-30T01:00:02"/>
    <d v="1899-12-30T00:00:00"/>
    <n v="0"/>
    <d v="1899-12-30T00:00:00"/>
    <s v="Não"/>
    <s v="03:59.79"/>
    <n v="10"/>
    <n v="0"/>
    <d v="1899-12-30T01:00:00"/>
    <d v="1899-12-30T01:00:02"/>
    <n v="22"/>
    <n v="73"/>
  </r>
  <r>
    <x v="2"/>
    <d v="2020-04-17T06:50:24"/>
    <s v="false"/>
    <s v="Blumenau Corrida"/>
    <n v="5.16"/>
    <n v="433"/>
    <d v="1899-12-30T00:30:02"/>
    <n v="172"/>
    <n v="187"/>
    <s v="--"/>
    <s v="--"/>
    <s v="--"/>
    <d v="1899-12-30T05:49:00"/>
    <d v="1899-12-30T04:41:00"/>
    <n v="27"/>
    <n v="30"/>
    <n v="0"/>
    <n v="0"/>
    <n v="0"/>
    <n v="0"/>
    <n v="0"/>
    <n v="0"/>
    <s v="--"/>
    <s v="--"/>
    <d v="1899-12-31T06:02:00"/>
    <d v="1899-12-30T00:00:00"/>
    <n v="0"/>
    <d v="1899-12-30T00:00:00"/>
    <s v="Não"/>
    <s v="00:00.00"/>
    <n v="1"/>
    <n v="0"/>
    <d v="1899-12-30T00:30:01"/>
    <d v="1899-12-30T00:30:02"/>
    <n v="12"/>
    <n v="29"/>
  </r>
  <r>
    <x v="2"/>
    <d v="2020-04-16T06:30:58"/>
    <s v="false"/>
    <s v="Musculação"/>
    <n v="0"/>
    <n v="267"/>
    <d v="1899-12-30T00:43:50"/>
    <n v="117"/>
    <n v="150"/>
    <s v="--"/>
    <s v="--"/>
    <s v="--"/>
    <s v="--"/>
    <s v="--"/>
    <s v="--"/>
    <s v="--"/>
    <n v="0"/>
    <n v="0"/>
    <n v="0"/>
    <n v="0"/>
    <n v="0"/>
    <n v="0"/>
    <s v="--"/>
    <s v="--"/>
    <d v="1899-12-31T19:50:00"/>
    <d v="1899-12-30T00:00:00"/>
    <n v="0"/>
    <d v="1899-12-30T00:00:00"/>
    <s v="Não"/>
    <s v="00:00.00"/>
    <n v="1"/>
    <n v="0"/>
    <d v="1899-12-30T00:00:00"/>
    <d v="1899-12-30T00:43:50"/>
    <s v="--"/>
    <s v="--"/>
  </r>
  <r>
    <x v="2"/>
    <d v="2020-04-15T06:57:11"/>
    <s v="false"/>
    <s v="Blumenau Corrida"/>
    <n v="5.23"/>
    <n v="456"/>
    <d v="1899-12-30T00:32:06"/>
    <n v="172"/>
    <n v="191"/>
    <s v="--"/>
    <s v="--"/>
    <s v="--"/>
    <d v="1899-12-30T06:08:00"/>
    <d v="1899-12-30T04:24:00"/>
    <n v="18"/>
    <n v="33"/>
    <n v="0"/>
    <n v="0"/>
    <n v="0"/>
    <n v="0"/>
    <n v="0"/>
    <n v="0"/>
    <s v="--"/>
    <s v="--"/>
    <d v="1899-12-31T08:06:00"/>
    <d v="1899-12-30T00:00:00"/>
    <n v="0"/>
    <d v="1899-12-30T00:00:00"/>
    <s v="Não"/>
    <s v="00:04.61"/>
    <n v="12"/>
    <n v="0"/>
    <d v="1899-12-30T00:29:20"/>
    <d v="1899-12-30T00:32:06"/>
    <n v="12"/>
    <n v="30"/>
  </r>
  <r>
    <x v="2"/>
    <d v="2020-04-14T07:28:53"/>
    <s v="false"/>
    <s v="Musculação&quot; em casa&quot;"/>
    <n v="0"/>
    <n v="403"/>
    <d v="1899-12-30T00:43:43"/>
    <n v="138"/>
    <n v="170"/>
    <s v="--"/>
    <s v="--"/>
    <s v="--"/>
    <s v="--"/>
    <s v="--"/>
    <s v="--"/>
    <s v="--"/>
    <n v="0"/>
    <n v="0"/>
    <n v="0"/>
    <n v="0"/>
    <n v="0"/>
    <n v="0"/>
    <s v="--"/>
    <s v="--"/>
    <d v="1899-12-31T19:43:00"/>
    <d v="1899-12-30T00:00:00"/>
    <n v="0"/>
    <d v="1899-12-30T00:00:00"/>
    <s v="Não"/>
    <s v="00:00.00"/>
    <n v="1"/>
    <n v="0"/>
    <d v="1899-12-30T00:00:00"/>
    <d v="1899-12-30T00:43:43"/>
    <s v="--"/>
    <s v="--"/>
  </r>
  <r>
    <x v="2"/>
    <d v="2020-04-13T06:45:27"/>
    <s v="false"/>
    <s v="Blumenau Corrida"/>
    <n v="5.32"/>
    <n v="470"/>
    <d v="1899-12-30T00:30:01"/>
    <n v="180"/>
    <n v="194"/>
    <s v="--"/>
    <s v="--"/>
    <s v="--"/>
    <d v="1899-12-30T05:39:00"/>
    <d v="1899-12-30T05:13:00"/>
    <n v="42"/>
    <n v="48"/>
    <n v="0"/>
    <n v="0"/>
    <n v="0"/>
    <n v="0"/>
    <n v="0"/>
    <n v="0"/>
    <s v="--"/>
    <s v="--"/>
    <d v="1899-12-31T06:01:00"/>
    <d v="1899-12-30T00:00:00"/>
    <n v="0"/>
    <d v="1899-12-30T00:00:00"/>
    <s v="Não"/>
    <s v="00:00.00"/>
    <n v="1"/>
    <n v="0"/>
    <d v="1899-12-30T00:30:01"/>
    <d v="1899-12-30T00:30:01"/>
    <n v="12"/>
    <n v="38"/>
  </r>
  <r>
    <x v="2"/>
    <d v="2020-04-11T08:28:23"/>
    <s v="false"/>
    <s v="Blumenau Corrida"/>
    <n v="5.23"/>
    <n v="465"/>
    <d v="1899-12-30T00:30:01"/>
    <n v="179"/>
    <n v="192"/>
    <s v="--"/>
    <s v="--"/>
    <s v="--"/>
    <d v="1899-12-30T05:44:00"/>
    <d v="1899-12-30T01:04:00"/>
    <n v="45"/>
    <n v="50"/>
    <n v="0"/>
    <n v="0"/>
    <n v="0"/>
    <n v="0"/>
    <n v="0"/>
    <n v="0"/>
    <s v="--"/>
    <s v="--"/>
    <d v="1899-12-31T06:01:00"/>
    <d v="1899-12-30T00:00:00"/>
    <n v="0"/>
    <d v="1899-12-30T00:00:00"/>
    <s v="Não"/>
    <s v="00:00.00"/>
    <n v="1"/>
    <n v="0"/>
    <d v="1899-12-30T00:30:01"/>
    <d v="1899-12-30T00:30:01"/>
    <n v="22"/>
    <n v="45"/>
  </r>
  <r>
    <x v="2"/>
    <d v="2020-04-08T07:46:34"/>
    <s v="false"/>
    <s v="Blumenau Corrida"/>
    <n v="5.19"/>
    <n v="346"/>
    <d v="1899-12-30T00:40:47"/>
    <s v="--"/>
    <s v="--"/>
    <s v="--"/>
    <s v="--"/>
    <s v="--"/>
    <d v="1899-12-30T07:52:00"/>
    <d v="1899-12-30T01:03:00"/>
    <n v="21"/>
    <n v="20"/>
    <n v="0"/>
    <n v="0"/>
    <n v="0"/>
    <n v="0"/>
    <n v="0"/>
    <n v="0"/>
    <s v="--"/>
    <s v="--"/>
    <d v="1899-12-31T16:47:00"/>
    <d v="1899-12-30T00:00:00"/>
    <n v="0"/>
    <d v="1899-12-30T00:00:00"/>
    <s v="Não"/>
    <s v="02:01.44"/>
    <n v="14"/>
    <n v="0"/>
    <d v="1899-12-30T00:40:46"/>
    <d v="1899-12-30T00:40:47"/>
    <n v="18"/>
    <n v="26"/>
  </r>
  <r>
    <x v="2"/>
    <d v="2020-04-06T08:28:29"/>
    <s v="false"/>
    <s v="Blumenau Corrida"/>
    <n v="3.57"/>
    <n v="312"/>
    <d v="1899-12-30T00:33:33"/>
    <n v="139"/>
    <n v="178"/>
    <s v="--"/>
    <s v="--"/>
    <s v="--"/>
    <d v="1899-12-30T09:24:00"/>
    <d v="1899-12-30T00:35:00"/>
    <n v="16"/>
    <n v="16"/>
    <n v="0"/>
    <n v="0"/>
    <n v="0"/>
    <n v="0"/>
    <n v="0"/>
    <n v="0"/>
    <s v="--"/>
    <s v="--"/>
    <d v="1899-12-31T09:33:00"/>
    <d v="1899-12-30T00:00:00"/>
    <n v="0"/>
    <d v="1899-12-30T00:00:00"/>
    <s v="Não"/>
    <s v="02:49.21"/>
    <n v="8"/>
    <n v="0"/>
    <d v="1899-12-30T00:32:13"/>
    <d v="1899-12-30T00:33:33"/>
    <n v="18"/>
    <n v="25"/>
  </r>
  <r>
    <x v="2"/>
    <d v="2020-03-14T06:54:48"/>
    <s v="false"/>
    <s v="Blumenau Corrida"/>
    <n v="10.01"/>
    <n v="711"/>
    <d v="1899-12-30T01:05:37"/>
    <s v="--"/>
    <s v="--"/>
    <s v="--"/>
    <s v="--"/>
    <s v="--"/>
    <d v="1899-12-30T06:33:00"/>
    <d v="1899-12-30T01:44:00"/>
    <n v="133"/>
    <n v="134"/>
    <n v="0"/>
    <n v="0"/>
    <n v="0"/>
    <n v="0"/>
    <n v="0"/>
    <n v="0"/>
    <s v="--"/>
    <s v="--"/>
    <d v="1899-12-30T01:05:37"/>
    <d v="1899-12-30T00:00:00"/>
    <n v="0"/>
    <d v="1899-12-30T00:00:00"/>
    <s v="Não"/>
    <s v="00:00.00"/>
    <n v="1"/>
    <n v="0"/>
    <d v="1899-12-30T01:05:37"/>
    <d v="1899-12-30T01:05:37"/>
    <n v="21"/>
    <n v="60"/>
  </r>
  <r>
    <x v="2"/>
    <d v="2020-03-09T19:05:22"/>
    <s v="false"/>
    <s v="Blumenau Corrida"/>
    <n v="6.17"/>
    <n v="449"/>
    <d v="1899-12-30T00:35:30"/>
    <s v="--"/>
    <s v="--"/>
    <s v="--"/>
    <s v="--"/>
    <s v="--"/>
    <d v="1899-12-30T05:45:00"/>
    <d v="1899-12-30T05:19:00"/>
    <n v="13"/>
    <n v="15"/>
    <n v="0"/>
    <n v="0"/>
    <n v="0"/>
    <n v="0"/>
    <n v="0"/>
    <n v="0"/>
    <s v="--"/>
    <s v="--"/>
    <d v="1899-12-31T11:30:00"/>
    <d v="1899-12-30T00:00:00"/>
    <n v="0"/>
    <d v="1899-12-30T00:00:00"/>
    <s v="Não"/>
    <s v="05:40.48"/>
    <n v="6"/>
    <n v="0"/>
    <d v="1899-12-30T00:35:29"/>
    <d v="1899-12-30T00:35:30"/>
    <n v="13"/>
    <n v="21"/>
  </r>
  <r>
    <x v="2"/>
    <d v="2020-03-04T19:09:53"/>
    <s v="false"/>
    <s v="Blumenau Corrida"/>
    <n v="3.3"/>
    <n v="193"/>
    <d v="1899-12-30T00:31:07"/>
    <s v="--"/>
    <s v="--"/>
    <s v="--"/>
    <s v="--"/>
    <s v="--"/>
    <d v="1899-12-30T09:27:00"/>
    <d v="1899-12-30T06:16:00"/>
    <n v="7"/>
    <n v="10"/>
    <n v="0"/>
    <n v="0"/>
    <n v="0"/>
    <n v="0"/>
    <n v="0"/>
    <n v="0"/>
    <s v="--"/>
    <s v="--"/>
    <d v="1899-12-31T07:07:00"/>
    <d v="1899-12-30T00:00:00"/>
    <n v="0"/>
    <d v="1899-12-30T00:00:00"/>
    <s v="Não"/>
    <s v="00:00.00"/>
    <n v="1"/>
    <n v="0"/>
    <d v="1899-12-30T00:31:06"/>
    <d v="1899-12-30T00:33:17"/>
    <n v="13"/>
    <n v="20"/>
  </r>
  <r>
    <x v="2"/>
    <d v="2020-03-02T19:08:10"/>
    <s v="false"/>
    <s v="Blumenau Corrida"/>
    <n v="4.5"/>
    <n v="333"/>
    <d v="1899-12-30T00:27:37"/>
    <s v="--"/>
    <s v="--"/>
    <s v="--"/>
    <s v="--"/>
    <s v="--"/>
    <d v="1899-12-30T06:08:00"/>
    <d v="1899-12-30T03:10:00"/>
    <n v="17"/>
    <n v="14"/>
    <n v="0"/>
    <n v="0"/>
    <n v="0"/>
    <n v="0"/>
    <n v="0"/>
    <n v="0"/>
    <s v="--"/>
    <s v="--"/>
    <d v="1899-12-31T03:37:00"/>
    <d v="1899-12-30T00:00:00"/>
    <n v="0"/>
    <d v="1899-12-30T00:00:00"/>
    <s v="Não"/>
    <s v="00:02.13"/>
    <n v="18"/>
    <n v="0"/>
    <d v="1899-12-30T00:25:14"/>
    <d v="1899-12-30T00:40:04"/>
    <n v="17"/>
    <n v="26"/>
  </r>
  <r>
    <x v="2"/>
    <d v="2020-02-29T06:48:19"/>
    <s v="false"/>
    <s v="Blumenau Corrida"/>
    <n v="10"/>
    <n v="733"/>
    <d v="1899-12-30T01:00:44"/>
    <s v="--"/>
    <s v="--"/>
    <s v="--"/>
    <s v="--"/>
    <s v="--"/>
    <d v="1899-12-30T06:04:00"/>
    <d v="1899-12-30T02:22:00"/>
    <n v="142"/>
    <n v="145"/>
    <n v="0"/>
    <n v="0"/>
    <n v="0"/>
    <n v="0"/>
    <n v="0"/>
    <n v="0"/>
    <s v="--"/>
    <s v="--"/>
    <d v="1899-12-30T01:00:44"/>
    <d v="1899-12-30T00:00:00"/>
    <n v="0"/>
    <d v="1899-12-30T00:00:00"/>
    <s v="Não"/>
    <s v="00:00.00"/>
    <n v="1"/>
    <n v="0"/>
    <d v="1899-12-30T01:00:44"/>
    <d v="1899-12-30T01:00:44"/>
    <n v="22"/>
    <n v="60"/>
  </r>
  <r>
    <x v="2"/>
    <d v="2020-02-26T19:13:49"/>
    <s v="false"/>
    <s v="Blumenau Corrida"/>
    <n v="3.47"/>
    <n v="192"/>
    <d v="1899-12-30T00:35:35"/>
    <s v="--"/>
    <s v="--"/>
    <s v="--"/>
    <s v="--"/>
    <s v="--"/>
    <d v="1899-12-30T10:16:00"/>
    <d v="1899-12-30T06:26:00"/>
    <n v="61"/>
    <n v="61"/>
    <n v="0"/>
    <n v="0"/>
    <n v="0"/>
    <n v="0"/>
    <n v="0"/>
    <n v="0"/>
    <s v="--"/>
    <s v="--"/>
    <d v="1899-12-31T11:35:00"/>
    <d v="1899-12-30T00:00:00"/>
    <n v="0"/>
    <d v="1899-12-30T00:00:00"/>
    <s v="Não"/>
    <s v="00:37.96"/>
    <n v="7"/>
    <n v="0"/>
    <d v="1899-12-30T00:33:45"/>
    <d v="1899-12-30T00:35:35"/>
    <n v="17"/>
    <n v="28"/>
  </r>
  <r>
    <x v="2"/>
    <d v="2020-02-24T19:11:49"/>
    <s v="false"/>
    <s v="Blumenau Corrida"/>
    <n v="1.53"/>
    <n v="80"/>
    <d v="1899-12-30T00:18:36"/>
    <s v="--"/>
    <s v="--"/>
    <s v="--"/>
    <s v="--"/>
    <s v="--"/>
    <d v="1899-12-30T12:09:00"/>
    <d v="1899-12-30T08:52:00"/>
    <n v="13"/>
    <s v="--"/>
    <n v="0"/>
    <n v="0"/>
    <n v="0"/>
    <n v="0"/>
    <n v="0"/>
    <n v="0"/>
    <s v="--"/>
    <s v="--"/>
    <d v="1899-12-30T18:36:00"/>
    <d v="1899-12-30T00:00:00"/>
    <n v="0"/>
    <d v="1899-12-30T00:00:00"/>
    <s v="Não"/>
    <s v="00:00.00"/>
    <n v="1"/>
    <n v="0"/>
    <d v="1899-12-30T00:18:36"/>
    <d v="1899-12-30T00:18:36"/>
    <n v="14"/>
    <n v="29"/>
  </r>
  <r>
    <x v="2"/>
    <d v="2020-02-24T18:51:28"/>
    <s v="false"/>
    <s v="Blumenau Corrida"/>
    <n v="3.06"/>
    <n v="192"/>
    <d v="1899-12-30T00:20:06"/>
    <s v="--"/>
    <s v="--"/>
    <s v="--"/>
    <s v="--"/>
    <s v="--"/>
    <d v="1899-12-30T06:34:00"/>
    <d v="1899-12-30T04:03:00"/>
    <n v="6"/>
    <n v="6"/>
    <n v="0"/>
    <n v="0"/>
    <n v="0"/>
    <n v="0"/>
    <n v="0"/>
    <n v="0"/>
    <s v="--"/>
    <s v="--"/>
    <d v="1899-12-30T20:06:00"/>
    <d v="1899-12-30T00:00:00"/>
    <n v="0"/>
    <d v="1899-12-30T00:00:00"/>
    <s v="Não"/>
    <s v="00:58.40"/>
    <n v="20"/>
    <n v="0"/>
    <d v="1899-12-30T00:20:01"/>
    <d v="1899-12-30T00:20:06"/>
    <n v="14"/>
    <n v="18"/>
  </r>
  <r>
    <x v="2"/>
    <d v="2020-02-24T18:35:14"/>
    <s v="false"/>
    <s v="Blumenau Corrida"/>
    <n v="2"/>
    <n v="149"/>
    <d v="1899-12-30T00:11:42"/>
    <s v="--"/>
    <s v="--"/>
    <s v="--"/>
    <s v="--"/>
    <s v="--"/>
    <d v="1899-12-30T05:51:00"/>
    <d v="1899-12-30T04:02:00"/>
    <n v="3"/>
    <n v="18"/>
    <n v="0"/>
    <n v="0"/>
    <n v="0"/>
    <n v="0"/>
    <n v="0"/>
    <n v="0"/>
    <s v="--"/>
    <s v="--"/>
    <d v="1899-12-30T11:42:00"/>
    <d v="1899-12-30T00:00:00"/>
    <n v="0"/>
    <d v="1899-12-30T00:00:00"/>
    <s v="Não"/>
    <s v="00:00.00"/>
    <n v="1"/>
    <n v="0"/>
    <d v="1899-12-30T00:11:42"/>
    <d v="1899-12-30T00:11:42"/>
    <n v="12"/>
    <n v="28"/>
  </r>
  <r>
    <x v="2"/>
    <d v="2020-02-21T13:08:18"/>
    <s v="false"/>
    <s v="Corrida"/>
    <n v="0"/>
    <s v="--"/>
    <d v="1899-12-30T00:00:07"/>
    <s v="--"/>
    <s v="--"/>
    <s v="--"/>
    <s v="--"/>
    <s v="--"/>
    <s v="--"/>
    <s v="--"/>
    <s v="--"/>
    <s v="--"/>
    <n v="0"/>
    <n v="0"/>
    <n v="0"/>
    <n v="0"/>
    <n v="0"/>
    <n v="0"/>
    <s v="--"/>
    <s v="--"/>
    <d v="1899-12-30T00:00:07"/>
    <d v="1899-12-30T00:00:00"/>
    <n v="0"/>
    <d v="1899-12-30T00:00:00"/>
    <s v="Não"/>
    <s v="00:00.00"/>
    <n v="1"/>
    <n v="0"/>
    <d v="1899-12-30T00:00:00"/>
    <d v="1899-12-30T00:00:07"/>
    <s v="--"/>
    <s v="--"/>
  </r>
  <r>
    <x v="2"/>
    <d v="2020-02-19T19:08:03"/>
    <s v="false"/>
    <s v="Blumenau Corrida"/>
    <n v="5.37"/>
    <n v="362"/>
    <d v="1899-12-30T00:47:58"/>
    <s v="--"/>
    <s v="--"/>
    <s v="--"/>
    <s v="--"/>
    <s v="--"/>
    <d v="1899-12-30T08:56:00"/>
    <d v="1899-12-30T03:58:00"/>
    <n v="148"/>
    <n v="138"/>
    <n v="0"/>
    <n v="0"/>
    <n v="0"/>
    <n v="0"/>
    <n v="0"/>
    <n v="0"/>
    <s v="--"/>
    <s v="--"/>
    <d v="1899-12-31T23:58:00"/>
    <d v="1899-12-30T00:00:00"/>
    <n v="0"/>
    <d v="1899-12-30T00:00:00"/>
    <s v="Não"/>
    <s v="00:36.84"/>
    <n v="24"/>
    <n v="0"/>
    <d v="1899-12-30T00:47:54"/>
    <d v="1899-12-30T00:47:58"/>
    <n v="13"/>
    <n v="61"/>
  </r>
  <r>
    <x v="2"/>
    <d v="2020-02-15T06:59:00"/>
    <s v="false"/>
    <s v="Blumenau Corrida"/>
    <n v="10"/>
    <n v="726"/>
    <d v="1899-12-30T01:02:29"/>
    <s v="--"/>
    <s v="--"/>
    <s v="--"/>
    <s v="--"/>
    <s v="--"/>
    <d v="1899-12-30T06:15:00"/>
    <d v="1899-12-30T02:07:00"/>
    <n v="125"/>
    <n v="129"/>
    <n v="0"/>
    <n v="0"/>
    <n v="0"/>
    <n v="0"/>
    <n v="0"/>
    <n v="0"/>
    <s v="--"/>
    <s v="--"/>
    <d v="1899-12-30T01:02:29"/>
    <d v="1899-12-30T00:00:00"/>
    <n v="0"/>
    <d v="1899-12-30T00:00:00"/>
    <s v="Não"/>
    <s v="00:00.00"/>
    <n v="1"/>
    <n v="0"/>
    <d v="1899-12-30T01:02:29"/>
    <d v="1899-12-30T01:02:29"/>
    <n v="22"/>
    <n v="59"/>
  </r>
  <r>
    <x v="2"/>
    <d v="2020-02-12T19:16:23"/>
    <s v="false"/>
    <s v="Blumenau Corrida"/>
    <n v="4.17"/>
    <n v="293"/>
    <d v="1899-12-30T00:33:09"/>
    <s v="--"/>
    <s v="--"/>
    <s v="--"/>
    <s v="--"/>
    <s v="--"/>
    <d v="1899-12-30T07:57:00"/>
    <d v="1899-12-30T04:28:00"/>
    <n v="138"/>
    <n v="145"/>
    <n v="0"/>
    <n v="0"/>
    <n v="0"/>
    <n v="0"/>
    <n v="0"/>
    <n v="0"/>
    <s v="--"/>
    <s v="--"/>
    <d v="1899-12-31T09:09:00"/>
    <d v="1899-12-30T00:00:00"/>
    <n v="0"/>
    <d v="1899-12-30T00:00:00"/>
    <s v="Não"/>
    <s v="01:04.36"/>
    <n v="15"/>
    <n v="0"/>
    <d v="1899-12-30T00:31:16"/>
    <d v="1899-12-30T00:33:37"/>
    <n v="19"/>
    <n v="63"/>
  </r>
  <r>
    <x v="2"/>
    <d v="2020-02-10T19:10:00"/>
    <s v="false"/>
    <s v="Blumenau Corrida"/>
    <n v="6.22"/>
    <n v="449"/>
    <d v="1899-12-30T00:44:21"/>
    <s v="--"/>
    <s v="--"/>
    <s v="--"/>
    <s v="--"/>
    <s v="--"/>
    <d v="1899-12-30T07:08:00"/>
    <d v="1899-12-30T03:32:00"/>
    <n v="6"/>
    <n v="7"/>
    <n v="0"/>
    <n v="0"/>
    <n v="0"/>
    <n v="0"/>
    <n v="0"/>
    <n v="0"/>
    <s v="--"/>
    <s v="--"/>
    <d v="1899-12-31T20:21:00"/>
    <d v="1899-12-30T00:00:00"/>
    <n v="0"/>
    <d v="1899-12-30T00:00:00"/>
    <s v="Não"/>
    <s v="00:44.84"/>
    <n v="19"/>
    <n v="0"/>
    <d v="1899-12-30T00:44:18"/>
    <d v="1899-12-30T00:44:21"/>
    <n v="13"/>
    <n v="20"/>
  </r>
  <r>
    <x v="2"/>
    <d v="2020-02-09T07:46:49"/>
    <s v="false"/>
    <s v="Blumenau Corrida"/>
    <n v="7.36"/>
    <n v="516"/>
    <d v="1899-12-30T00:50:37"/>
    <s v="--"/>
    <s v="--"/>
    <s v="--"/>
    <s v="--"/>
    <s v="--"/>
    <d v="1899-12-30T06:53:00"/>
    <d v="1899-12-30T03:03:00"/>
    <n v="27"/>
    <n v="31"/>
    <n v="0"/>
    <n v="0"/>
    <n v="0"/>
    <n v="0"/>
    <n v="0"/>
    <n v="0"/>
    <s v="--"/>
    <s v="--"/>
    <d v="1900-01-01T02:37:00"/>
    <d v="1899-12-30T00:00:00"/>
    <n v="0"/>
    <d v="1899-12-30T00:00:00"/>
    <s v="Não"/>
    <s v="00:01.16"/>
    <n v="10"/>
    <n v="0"/>
    <d v="1899-12-30T00:50:34"/>
    <d v="1899-12-30T00:50:37"/>
    <n v="12"/>
    <n v="29"/>
  </r>
  <r>
    <x v="2"/>
    <d v="2020-02-05T19:09:03"/>
    <s v="false"/>
    <s v="Blumenau Corrida"/>
    <n v="5.18"/>
    <n v="363"/>
    <d v="1899-12-30T00:40:10"/>
    <s v="--"/>
    <s v="--"/>
    <s v="--"/>
    <s v="--"/>
    <s v="--"/>
    <d v="1899-12-30T07:45:00"/>
    <d v="1899-12-30T04:27:00"/>
    <n v="158"/>
    <n v="151"/>
    <n v="0"/>
    <n v="0"/>
    <n v="0"/>
    <n v="0"/>
    <n v="0"/>
    <n v="0"/>
    <s v="--"/>
    <s v="--"/>
    <d v="1899-12-31T16:10:00"/>
    <d v="1899-12-30T00:00:00"/>
    <n v="0"/>
    <d v="1899-12-30T00:00:00"/>
    <s v="Não"/>
    <s v="00:58.36"/>
    <n v="17"/>
    <n v="0"/>
    <d v="1899-12-30T00:37:49"/>
    <d v="1899-12-30T00:40:10"/>
    <n v="16"/>
    <n v="55"/>
  </r>
  <r>
    <x v="2"/>
    <d v="2020-02-02T07:56:37"/>
    <s v="false"/>
    <s v="Blumenau Corrida"/>
    <n v="9.2799999999999994"/>
    <n v="658"/>
    <d v="1899-12-30T01:02:55"/>
    <s v="--"/>
    <s v="--"/>
    <s v="--"/>
    <s v="--"/>
    <s v="--"/>
    <d v="1899-12-30T06:47:00"/>
    <d v="1899-12-30T05:04:00"/>
    <n v="92"/>
    <n v="92"/>
    <n v="0"/>
    <n v="0"/>
    <n v="0"/>
    <n v="0"/>
    <n v="0"/>
    <n v="0"/>
    <s v="--"/>
    <s v="--"/>
    <d v="1899-12-30T01:02:55"/>
    <d v="1899-12-30T00:00:00"/>
    <n v="0"/>
    <d v="1899-12-30T00:00:00"/>
    <s v="Não"/>
    <s v="00:00.00"/>
    <n v="1"/>
    <n v="0"/>
    <d v="1899-12-30T01:02:54"/>
    <d v="1899-12-30T01:02:55"/>
    <n v="12"/>
    <n v="56"/>
  </r>
  <r>
    <x v="2"/>
    <d v="2020-01-29T19:04:28"/>
    <s v="false"/>
    <s v="Blumenau Corrida"/>
    <n v="6.13"/>
    <n v="450"/>
    <d v="1899-12-30T00:35:34"/>
    <s v="--"/>
    <s v="--"/>
    <s v="--"/>
    <s v="--"/>
    <s v="--"/>
    <d v="1899-12-30T05:48:00"/>
    <d v="1899-12-30T05:03:00"/>
    <n v="15"/>
    <n v="16"/>
    <n v="0"/>
    <n v="0"/>
    <n v="0"/>
    <n v="0"/>
    <n v="0"/>
    <n v="0"/>
    <s v="--"/>
    <s v="--"/>
    <d v="1899-12-31T11:34:00"/>
    <d v="1899-12-30T00:00:00"/>
    <n v="0"/>
    <d v="1899-12-30T00:00:00"/>
    <s v="Não"/>
    <s v="00:00.00"/>
    <n v="1"/>
    <n v="0"/>
    <d v="1899-12-30T00:35:34"/>
    <d v="1899-12-30T00:35:34"/>
    <n v="13"/>
    <n v="20"/>
  </r>
  <r>
    <x v="2"/>
    <d v="2020-01-27T19:36:10"/>
    <s v="false"/>
    <s v="Blumenau Corrida"/>
    <n v="0.65"/>
    <n v="49"/>
    <d v="1899-12-30T00:04:18"/>
    <s v="--"/>
    <s v="--"/>
    <s v="--"/>
    <s v="--"/>
    <s v="--"/>
    <d v="1899-12-30T06:33:00"/>
    <d v="1899-12-30T05:30:00"/>
    <n v="8"/>
    <n v="7"/>
    <n v="0"/>
    <n v="0"/>
    <n v="0"/>
    <n v="0"/>
    <n v="0"/>
    <n v="0"/>
    <s v="--"/>
    <s v="--"/>
    <d v="1899-12-30T00:04:18"/>
    <d v="1899-12-30T00:00:00"/>
    <n v="0"/>
    <d v="1899-12-30T00:00:00"/>
    <s v="Não"/>
    <s v="00:00.00"/>
    <n v="1"/>
    <n v="0"/>
    <d v="1899-12-30T00:04:18"/>
    <d v="1899-12-30T00:04:18"/>
    <n v="17"/>
    <n v="26"/>
  </r>
  <r>
    <x v="2"/>
    <d v="2020-01-27T19:28:14"/>
    <s v="false"/>
    <s v="Blumenau Corrida"/>
    <n v="0.99"/>
    <n v="73"/>
    <d v="1899-12-30T00:04:06"/>
    <s v="--"/>
    <s v="--"/>
    <s v="--"/>
    <s v="--"/>
    <s v="--"/>
    <d v="1899-12-30T04:07:00"/>
    <d v="1899-12-30T03:39:00"/>
    <n v="8"/>
    <n v="17"/>
    <n v="0"/>
    <n v="0"/>
    <n v="0"/>
    <n v="0"/>
    <n v="0"/>
    <n v="0"/>
    <s v="--"/>
    <s v="--"/>
    <d v="1899-12-30T00:04:06"/>
    <d v="1899-12-30T00:00:00"/>
    <n v="0"/>
    <d v="1899-12-30T00:00:00"/>
    <s v="Não"/>
    <s v="00:00.00"/>
    <n v="1"/>
    <n v="0"/>
    <d v="1899-12-30T00:04:06"/>
    <d v="1899-12-30T00:04:06"/>
    <n v="17"/>
    <n v="27"/>
  </r>
  <r>
    <x v="2"/>
    <d v="2020-01-27T19:19:49"/>
    <s v="false"/>
    <s v="Blumenau Corrida"/>
    <n v="0.63"/>
    <n v="47"/>
    <d v="1899-12-30T00:04:02"/>
    <s v="--"/>
    <s v="--"/>
    <s v="--"/>
    <s v="--"/>
    <s v="--"/>
    <d v="1899-12-30T06:26:00"/>
    <d v="1899-12-30T05:55:00"/>
    <n v="8"/>
    <n v="9"/>
    <n v="0"/>
    <n v="0"/>
    <n v="0"/>
    <n v="0"/>
    <n v="0"/>
    <n v="0"/>
    <s v="--"/>
    <s v="--"/>
    <d v="1899-12-30T00:04:02"/>
    <d v="1899-12-30T00:00:00"/>
    <n v="0"/>
    <d v="1899-12-30T00:00:00"/>
    <s v="Não"/>
    <s v="00:00.00"/>
    <n v="1"/>
    <n v="0"/>
    <d v="1899-12-30T00:04:02"/>
    <d v="1899-12-30T00:04:02"/>
    <n v="17"/>
    <n v="27"/>
  </r>
  <r>
    <x v="2"/>
    <d v="2020-01-22T19:05:33"/>
    <s v="false"/>
    <s v="Blumenau Corrida"/>
    <n v="5.32"/>
    <n v="380"/>
    <d v="1899-12-30T00:34:44"/>
    <s v="--"/>
    <s v="--"/>
    <s v="--"/>
    <s v="--"/>
    <s v="--"/>
    <d v="1899-12-30T06:32:00"/>
    <d v="1899-12-30T04:26:00"/>
    <n v="107"/>
    <n v="117"/>
    <n v="0"/>
    <n v="0"/>
    <n v="0"/>
    <n v="0"/>
    <n v="0"/>
    <n v="0"/>
    <s v="--"/>
    <s v="--"/>
    <d v="1899-12-31T10:44:00"/>
    <d v="1899-12-30T00:00:00"/>
    <n v="0"/>
    <d v="1899-12-30T00:00:00"/>
    <s v="Não"/>
    <s v="00:00.85"/>
    <n v="15"/>
    <n v="0"/>
    <d v="1899-12-30T00:34:41"/>
    <d v="1899-12-30T00:40:49"/>
    <n v="13"/>
    <n v="54"/>
  </r>
  <r>
    <x v="2"/>
    <d v="2020-01-20T19:05:50"/>
    <s v="false"/>
    <s v="Blumenau Corrida"/>
    <n v="6.96"/>
    <n v="503"/>
    <d v="1899-12-30T00:47:17"/>
    <s v="--"/>
    <s v="--"/>
    <s v="--"/>
    <s v="--"/>
    <s v="--"/>
    <d v="1899-12-30T06:47:00"/>
    <d v="1899-12-30T04:12:00"/>
    <n v="56"/>
    <n v="49"/>
    <n v="0"/>
    <n v="0"/>
    <n v="0"/>
    <n v="0"/>
    <n v="0"/>
    <n v="0"/>
    <s v="--"/>
    <s v="--"/>
    <d v="1899-12-31T23:17:00"/>
    <d v="1899-12-30T00:00:00"/>
    <n v="0"/>
    <d v="1899-12-30T00:00:00"/>
    <s v="Não"/>
    <s v="01:00.45"/>
    <n v="15"/>
    <n v="0"/>
    <d v="1899-12-30T00:45:51"/>
    <d v="1899-12-30T00:47:17"/>
    <n v="9"/>
    <n v="24"/>
  </r>
  <r>
    <x v="2"/>
    <d v="2020-01-18T07:26:32"/>
    <s v="false"/>
    <s v="Blumenau Corrida"/>
    <n v="7.71"/>
    <n v="565"/>
    <d v="1899-12-30T00:50:19"/>
    <s v="--"/>
    <s v="--"/>
    <s v="--"/>
    <s v="--"/>
    <s v="--"/>
    <d v="1899-12-30T06:31:00"/>
    <d v="1899-12-30T03:45:00"/>
    <n v="117"/>
    <n v="122"/>
    <n v="0"/>
    <n v="0"/>
    <n v="0"/>
    <n v="0"/>
    <n v="0"/>
    <n v="0"/>
    <s v="--"/>
    <s v="--"/>
    <d v="1900-01-01T02:19:00"/>
    <d v="1899-12-30T00:00:00"/>
    <n v="0"/>
    <d v="1899-12-30T00:00:00"/>
    <s v="Não"/>
    <s v="00:00.00"/>
    <n v="1"/>
    <n v="0"/>
    <d v="1899-12-30T00:50:19"/>
    <d v="1899-12-30T00:50:19"/>
    <n v="22"/>
    <n v="65"/>
  </r>
  <r>
    <x v="2"/>
    <d v="2020-01-15T19:43:08"/>
    <s v="false"/>
    <s v="Blumenau Corrida"/>
    <n v="0.41"/>
    <n v="30"/>
    <d v="1899-12-30T00:02:13"/>
    <s v="--"/>
    <s v="--"/>
    <s v="--"/>
    <s v="--"/>
    <s v="--"/>
    <d v="1899-12-30T05:24:00"/>
    <d v="1899-12-30T05:01:00"/>
    <s v="--"/>
    <s v="--"/>
    <n v="0"/>
    <n v="0"/>
    <n v="0"/>
    <n v="0"/>
    <n v="0"/>
    <n v="0"/>
    <s v="--"/>
    <s v="--"/>
    <d v="1899-12-30T00:02:13"/>
    <d v="1899-12-30T00:00:00"/>
    <n v="0"/>
    <d v="1899-12-30T00:00:00"/>
    <s v="Não"/>
    <s v="00:00.00"/>
    <n v="1"/>
    <n v="0"/>
    <d v="1899-12-30T00:02:13"/>
    <d v="1899-12-30T00:02:13"/>
    <n v="14"/>
    <n v="15"/>
  </r>
  <r>
    <x v="2"/>
    <d v="2020-01-15T19:05:45"/>
    <s v="false"/>
    <s v="Blumenau Corrida"/>
    <n v="5.66"/>
    <n v="410"/>
    <d v="1899-12-30T00:35:17"/>
    <s v="--"/>
    <s v="--"/>
    <s v="--"/>
    <s v="--"/>
    <s v="--"/>
    <d v="1899-12-30T06:14:00"/>
    <d v="1899-12-30T04:15:00"/>
    <s v="--"/>
    <s v="--"/>
    <n v="0"/>
    <n v="0"/>
    <n v="0"/>
    <n v="0"/>
    <n v="0"/>
    <n v="0"/>
    <s v="--"/>
    <s v="--"/>
    <d v="1899-12-31T11:17:00"/>
    <d v="1899-12-30T00:00:00"/>
    <n v="0"/>
    <d v="1899-12-30T00:00:00"/>
    <s v="Não"/>
    <s v="01:29.64"/>
    <n v="11"/>
    <n v="0"/>
    <d v="1899-12-30T00:32:51"/>
    <d v="1899-12-30T00:35:17"/>
    <n v="14"/>
    <n v="15"/>
  </r>
  <r>
    <x v="2"/>
    <d v="2020-01-13T19:13:36"/>
    <s v="false"/>
    <s v="Blumenau Correr"/>
    <n v="5.42"/>
    <n v="398"/>
    <d v="1899-12-30T00:30:32"/>
    <s v="--"/>
    <s v="--"/>
    <s v="--"/>
    <s v="--"/>
    <s v="--"/>
    <d v="1899-12-30T05:38:00"/>
    <d v="1899-12-30T03:36:00"/>
    <n v="41"/>
    <n v="40"/>
    <n v="0"/>
    <n v="0"/>
    <n v="0"/>
    <n v="0"/>
    <n v="0"/>
    <n v="0"/>
    <s v="--"/>
    <s v="--"/>
    <d v="1899-12-31T06:32:00"/>
    <d v="1899-12-30T00:00:00"/>
    <n v="0"/>
    <d v="1899-12-30T00:00:00"/>
    <s v="Não"/>
    <s v="00:00.00"/>
    <n v="1"/>
    <n v="0"/>
    <d v="1899-12-30T00:30:32"/>
    <d v="1899-12-30T00:32:25"/>
    <n v="15"/>
    <n v="24"/>
  </r>
  <r>
    <x v="2"/>
    <d v="2020-01-13T19:05:33"/>
    <s v="false"/>
    <s v="Blumenau Correr"/>
    <n v="0.69"/>
    <n v="51"/>
    <d v="1899-12-30T00:04:35"/>
    <s v="--"/>
    <s v="--"/>
    <s v="--"/>
    <s v="--"/>
    <s v="--"/>
    <d v="1899-12-30T06:39:00"/>
    <d v="1899-12-30T05:54:00"/>
    <n v="7"/>
    <n v="6"/>
    <n v="0"/>
    <n v="0"/>
    <n v="0"/>
    <n v="0"/>
    <n v="0"/>
    <n v="0"/>
    <s v="--"/>
    <s v="--"/>
    <d v="1899-12-30T00:04:35"/>
    <d v="1899-12-30T00:00:00"/>
    <n v="0"/>
    <d v="1899-12-30T00:00:00"/>
    <s v="Não"/>
    <s v="00:00.00"/>
    <n v="1"/>
    <n v="0"/>
    <d v="1899-12-30T00:04:35"/>
    <d v="1899-12-30T00:04:35"/>
    <n v="9"/>
    <n v="20"/>
  </r>
  <r>
    <x v="2"/>
    <d v="2020-01-11T07:30:46"/>
    <s v="false"/>
    <s v="Blumenau Correr"/>
    <n v="1.75"/>
    <n v="92"/>
    <d v="1899-12-30T00:22:10"/>
    <s v="--"/>
    <s v="--"/>
    <s v="--"/>
    <s v="--"/>
    <s v="--"/>
    <d v="1899-12-30T12:39:00"/>
    <d v="1899-12-30T08:29:00"/>
    <n v="18"/>
    <n v="15"/>
    <n v="0"/>
    <n v="0"/>
    <n v="0"/>
    <n v="0"/>
    <n v="0"/>
    <n v="0"/>
    <s v="--"/>
    <s v="--"/>
    <d v="1899-12-30T22:10:00"/>
    <d v="1899-12-30T00:00:00"/>
    <n v="0"/>
    <d v="1899-12-30T00:00:00"/>
    <s v="Não"/>
    <s v="00:00.00"/>
    <n v="1"/>
    <n v="0"/>
    <d v="1899-12-30T00:22:10"/>
    <d v="1899-12-30T00:22:10"/>
    <n v="14"/>
    <n v="28"/>
  </r>
  <r>
    <x v="2"/>
    <d v="2020-01-11T06:50:57"/>
    <s v="false"/>
    <s v="Blumenau Correr"/>
    <n v="4.8099999999999996"/>
    <n v="343"/>
    <d v="1899-12-30T00:38:59"/>
    <s v="--"/>
    <s v="--"/>
    <s v="--"/>
    <s v="--"/>
    <s v="--"/>
    <d v="1899-12-30T08:07:00"/>
    <d v="1899-12-30T04:22:00"/>
    <n v="6"/>
    <n v="5"/>
    <n v="0"/>
    <n v="0"/>
    <n v="0"/>
    <n v="0"/>
    <n v="0"/>
    <n v="0"/>
    <s v="--"/>
    <s v="--"/>
    <d v="1899-12-31T14:59:00"/>
    <d v="1899-12-30T00:00:00"/>
    <n v="0"/>
    <d v="1899-12-30T00:00:00"/>
    <s v="Não"/>
    <s v="00:02.29"/>
    <n v="16"/>
    <n v="0"/>
    <d v="1899-12-30T00:35:38"/>
    <d v="1899-12-30T00:38:59"/>
    <n v="14"/>
    <n v="18"/>
  </r>
  <r>
    <x v="2"/>
    <d v="2020-01-11T06:41:08"/>
    <s v="false"/>
    <s v="Blumenau Correr"/>
    <n v="1.42"/>
    <n v="104"/>
    <d v="1899-12-30T00:08:19"/>
    <s v="--"/>
    <s v="--"/>
    <s v="--"/>
    <s v="--"/>
    <s v="--"/>
    <d v="1899-12-30T05:52:00"/>
    <d v="1899-12-30T04:03:00"/>
    <n v="8"/>
    <n v="19"/>
    <n v="0"/>
    <n v="0"/>
    <n v="0"/>
    <n v="0"/>
    <n v="0"/>
    <n v="0"/>
    <s v="--"/>
    <s v="--"/>
    <d v="1899-12-30T00:08:19"/>
    <d v="1899-12-30T00:00:00"/>
    <n v="0"/>
    <d v="1899-12-30T00:00:00"/>
    <s v="Não"/>
    <s v="00:00.00"/>
    <n v="1"/>
    <n v="0"/>
    <d v="1899-12-30T00:08:19"/>
    <d v="1899-12-30T00:08:19"/>
    <n v="14"/>
    <n v="28"/>
  </r>
  <r>
    <x v="2"/>
    <d v="2020-01-06T19:17:39"/>
    <s v="false"/>
    <s v="Blumenau Correr"/>
    <n v="4.04"/>
    <n v="287"/>
    <d v="1899-12-30T00:27:06"/>
    <s v="--"/>
    <s v="--"/>
    <s v="--"/>
    <s v="--"/>
    <s v="--"/>
    <d v="1899-12-30T06:43:00"/>
    <d v="1899-12-30T03:46:00"/>
    <n v="43"/>
    <n v="36"/>
    <n v="0"/>
    <n v="0"/>
    <n v="0"/>
    <n v="0"/>
    <n v="0"/>
    <n v="0"/>
    <s v="--"/>
    <s v="--"/>
    <d v="1899-12-31T03:06:00"/>
    <d v="1899-12-30T00:00:00"/>
    <n v="0"/>
    <d v="1899-12-30T00:00:00"/>
    <s v="Não"/>
    <s v="00:53.56"/>
    <n v="23"/>
    <n v="0"/>
    <d v="1899-12-30T00:26:27"/>
    <d v="1899-12-30T00:27:06"/>
    <n v="17"/>
    <n v="26"/>
  </r>
  <r>
    <x v="2"/>
    <d v="2020-01-06T19:11:51"/>
    <s v="false"/>
    <s v="Blumenau Correr"/>
    <n v="0.63"/>
    <n v="45"/>
    <d v="1899-12-30T00:03:45"/>
    <s v="--"/>
    <s v="--"/>
    <s v="--"/>
    <s v="--"/>
    <s v="--"/>
    <d v="1899-12-30T05:59:00"/>
    <d v="1899-12-30T05:10:00"/>
    <n v="2"/>
    <s v="--"/>
    <n v="0"/>
    <n v="0"/>
    <n v="0"/>
    <n v="0"/>
    <n v="0"/>
    <n v="0"/>
    <s v="--"/>
    <s v="--"/>
    <d v="1899-12-30T00:03:45"/>
    <d v="1899-12-30T00:00:00"/>
    <n v="0"/>
    <d v="1899-12-30T00:00:00"/>
    <s v="Não"/>
    <s v="00:00.00"/>
    <n v="1"/>
    <n v="0"/>
    <d v="1899-12-30T00:03:45"/>
    <d v="1899-12-30T00:03:45"/>
    <n v="17"/>
    <n v="21"/>
  </r>
  <r>
    <x v="2"/>
    <d v="2019-12-02T18:16:17"/>
    <s v="false"/>
    <s v="Blumenau Correr"/>
    <n v="8"/>
    <n v="567"/>
    <d v="1899-12-30T00:48:43"/>
    <s v="--"/>
    <s v="--"/>
    <s v="--"/>
    <s v="--"/>
    <s v="--"/>
    <d v="1899-12-30T06:05:00"/>
    <d v="1899-12-30T04:38:00"/>
    <n v="26"/>
    <n v="30"/>
    <n v="0"/>
    <n v="0"/>
    <n v="0"/>
    <n v="0"/>
    <n v="0"/>
    <n v="0"/>
    <s v="--"/>
    <s v="--"/>
    <d v="1900-01-01T00:43:00"/>
    <d v="1899-12-30T00:00:00"/>
    <n v="0"/>
    <d v="1899-12-30T00:00:00"/>
    <s v="Não"/>
    <s v="02:02.08"/>
    <n v="11"/>
    <n v="0"/>
    <d v="1899-12-30T00:48:41"/>
    <d v="1899-12-30T00:48:43"/>
    <n v="12"/>
    <n v="29"/>
  </r>
  <r>
    <x v="2"/>
    <d v="2019-11-20T20:08:06"/>
    <s v="false"/>
    <s v="Blumenau Correr"/>
    <n v="4"/>
    <n v="292"/>
    <d v="1899-12-30T00:22:08"/>
    <s v="--"/>
    <s v="--"/>
    <s v="--"/>
    <s v="--"/>
    <s v="--"/>
    <d v="1899-12-30T05:32:00"/>
    <d v="1899-12-30T05:08:00"/>
    <n v="44"/>
    <n v="42"/>
    <n v="0"/>
    <n v="0"/>
    <n v="0"/>
    <n v="0"/>
    <n v="0"/>
    <n v="0"/>
    <s v="--"/>
    <s v="--"/>
    <d v="1899-12-30T22:08:00"/>
    <d v="1899-12-30T00:00:00"/>
    <n v="0"/>
    <d v="1899-12-30T00:00:00"/>
    <s v="Não"/>
    <s v="00:00.00"/>
    <n v="1"/>
    <n v="0"/>
    <d v="1899-12-30T00:22:08"/>
    <d v="1899-12-30T00:22:08"/>
    <n v="17"/>
    <n v="27"/>
  </r>
  <r>
    <x v="2"/>
    <d v="2019-11-13T20:11:10"/>
    <s v="false"/>
    <s v="Blumenau Correr"/>
    <n v="5"/>
    <n v="360"/>
    <d v="1899-12-30T00:26:25"/>
    <s v="--"/>
    <s v="--"/>
    <s v="--"/>
    <s v="--"/>
    <s v="--"/>
    <d v="1899-12-30T05:17:00"/>
    <d v="1899-12-30T04:42:00"/>
    <n v="51"/>
    <n v="44"/>
    <n v="0"/>
    <n v="0"/>
    <n v="0"/>
    <n v="0"/>
    <n v="0"/>
    <n v="0"/>
    <s v="--"/>
    <s v="--"/>
    <d v="1899-12-31T02:25:00"/>
    <d v="1899-12-30T00:00:00"/>
    <n v="0"/>
    <d v="1899-12-30T00:00:00"/>
    <s v="Não"/>
    <s v="00:00.77"/>
    <n v="6"/>
    <n v="0"/>
    <d v="1899-12-30T00:26:24"/>
    <d v="1899-12-30T00:26:25"/>
    <n v="17"/>
    <n v="26"/>
  </r>
  <r>
    <x v="2"/>
    <d v="2019-11-12T22:06:05"/>
    <s v="false"/>
    <s v="Correr"/>
    <n v="0"/>
    <s v="--"/>
    <d v="1899-12-30T00:56:46"/>
    <s v="--"/>
    <s v="--"/>
    <s v="--"/>
    <s v="--"/>
    <s v="--"/>
    <s v="--"/>
    <s v="--"/>
    <s v="--"/>
    <s v="--"/>
    <n v="0"/>
    <n v="0"/>
    <n v="0"/>
    <n v="0"/>
    <n v="0"/>
    <n v="0"/>
    <s v="--"/>
    <s v="--"/>
    <d v="1900-01-01T08:46:00"/>
    <d v="1899-12-30T00:00:00"/>
    <n v="0"/>
    <d v="1899-12-30T00:00:00"/>
    <s v="Não"/>
    <s v="00:00.00"/>
    <n v="1"/>
    <n v="0"/>
    <d v="1899-12-30T00:00:00"/>
    <d v="1899-12-30T00:56:46"/>
    <s v="--"/>
    <s v="--"/>
  </r>
  <r>
    <x v="2"/>
    <d v="2019-11-11T20:13:32"/>
    <s v="false"/>
    <s v="Blumenau Correr"/>
    <n v="6"/>
    <n v="437"/>
    <d v="1899-12-30T00:34:36"/>
    <s v="--"/>
    <s v="--"/>
    <s v="--"/>
    <s v="--"/>
    <s v="--"/>
    <d v="1899-12-30T05:46:00"/>
    <d v="1899-12-30T04:55:00"/>
    <n v="70"/>
    <n v="67"/>
    <n v="0"/>
    <n v="0"/>
    <n v="0"/>
    <n v="0"/>
    <n v="0"/>
    <n v="0"/>
    <s v="--"/>
    <s v="--"/>
    <d v="1899-12-31T10:36:00"/>
    <d v="1899-12-30T00:00:00"/>
    <n v="0"/>
    <d v="1899-12-30T00:00:00"/>
    <s v="Não"/>
    <s v="00:00.81"/>
    <n v="8"/>
    <n v="0"/>
    <d v="1899-12-30T00:34:36"/>
    <d v="1899-12-30T00:34:36"/>
    <n v="15"/>
    <n v="27"/>
  </r>
  <r>
    <x v="2"/>
    <d v="2019-11-08T19:33:01"/>
    <s v="false"/>
    <s v="Blumenau Corrida"/>
    <n v="0.97"/>
    <n v="65"/>
    <d v="1899-12-30T00:04:56"/>
    <s v="--"/>
    <s v="--"/>
    <s v="--"/>
    <n v="151"/>
    <n v="173"/>
    <d v="1899-12-30T05:06:00"/>
    <d v="1899-12-30T02:24:00"/>
    <s v="--"/>
    <s v="--"/>
    <n v="1.3"/>
    <n v="0"/>
    <n v="0"/>
    <n v="0"/>
    <n v="0"/>
    <n v="0"/>
    <s v="--"/>
    <s v="--"/>
    <d v="1899-12-30T00:04:56"/>
    <d v="1899-12-30T00:00:00"/>
    <n v="0"/>
    <d v="1899-12-30T00:00:00"/>
    <s v="Não"/>
    <s v="00:00.00"/>
    <n v="1"/>
    <n v="0"/>
    <d v="1899-12-30T00:04:30"/>
    <d v="1899-12-30T00:05:02"/>
    <n v="11"/>
    <n v="13"/>
  </r>
  <r>
    <x v="2"/>
    <d v="2019-11-08T19:16:29"/>
    <s v="false"/>
    <s v="Blumenau Corrida"/>
    <n v="2.31"/>
    <n v="172"/>
    <d v="1899-12-30T00:11:05"/>
    <s v="--"/>
    <s v="--"/>
    <s v="--"/>
    <n v="169"/>
    <n v="177"/>
    <d v="1899-12-30T04:47:00"/>
    <d v="1899-12-30T03:57:00"/>
    <s v="--"/>
    <s v="--"/>
    <n v="1.24"/>
    <n v="0"/>
    <n v="0"/>
    <n v="0"/>
    <n v="0"/>
    <n v="0"/>
    <s v="--"/>
    <s v="--"/>
    <d v="1899-12-30T11:05:00"/>
    <d v="1899-12-30T00:00:00"/>
    <n v="0"/>
    <d v="1899-12-30T00:00:00"/>
    <s v="Não"/>
    <s v="01:41.76"/>
    <n v="3"/>
    <n v="0"/>
    <d v="1899-12-30T00:10:58"/>
    <d v="1899-12-30T00:14:25"/>
    <n v="11"/>
    <n v="13"/>
  </r>
  <r>
    <x v="2"/>
    <d v="2019-11-08T19:06:10"/>
    <s v="false"/>
    <s v="Blumenau Corrida"/>
    <n v="1.02"/>
    <n v="73"/>
    <d v="1899-12-30T00:05:51"/>
    <s v="--"/>
    <s v="--"/>
    <s v="--"/>
    <n v="159"/>
    <n v="164"/>
    <d v="1899-12-30T05:45:00"/>
    <d v="1899-12-30T05:31:00"/>
    <s v="--"/>
    <s v="--"/>
    <n v="1.0900000000000001"/>
    <n v="0"/>
    <n v="0"/>
    <n v="0"/>
    <n v="0"/>
    <n v="0"/>
    <s v="--"/>
    <s v="--"/>
    <d v="1899-12-30T00:05:51"/>
    <d v="1899-12-30T00:00:00"/>
    <n v="0"/>
    <d v="1899-12-30T00:00:00"/>
    <s v="Não"/>
    <s v="00:06.54"/>
    <n v="2"/>
    <n v="0"/>
    <d v="1899-12-30T00:05:50"/>
    <d v="1899-12-30T00:05:51"/>
    <n v="10"/>
    <n v="13"/>
  </r>
  <r>
    <x v="2"/>
    <d v="2019-11-06T18:03:39"/>
    <s v="false"/>
    <s v="Blumenau Corrida"/>
    <n v="2.34"/>
    <n v="79"/>
    <d v="1899-12-30T00:11:26"/>
    <s v="--"/>
    <s v="--"/>
    <s v="--"/>
    <n v="173"/>
    <n v="185"/>
    <d v="1899-12-30T04:53:00"/>
    <d v="1899-12-30T02:49:00"/>
    <s v="--"/>
    <s v="--"/>
    <n v="1.19"/>
    <n v="0"/>
    <n v="0"/>
    <n v="0"/>
    <n v="0"/>
    <n v="0"/>
    <s v="--"/>
    <s v="--"/>
    <d v="1899-12-30T11:26:00"/>
    <d v="1899-12-30T00:00:00"/>
    <n v="0"/>
    <d v="1899-12-30T00:00:00"/>
    <s v="Não"/>
    <s v="01:43.26"/>
    <n v="3"/>
    <n v="0"/>
    <d v="1899-12-30T00:10:41"/>
    <d v="1899-12-30T00:12:00"/>
    <n v="11"/>
    <n v="13"/>
  </r>
  <r>
    <x v="2"/>
    <d v="2019-11-06T18:01:54"/>
    <s v="false"/>
    <s v="Blumenau Corrida"/>
    <n v="0.16"/>
    <s v="--"/>
    <d v="1899-12-30T00:00:52"/>
    <s v="--"/>
    <s v="--"/>
    <s v="--"/>
    <n v="118"/>
    <n v="118"/>
    <d v="1899-12-30T05:20:00"/>
    <s v="--"/>
    <s v="--"/>
    <s v="--"/>
    <n v="1.59"/>
    <n v="0"/>
    <n v="0"/>
    <n v="0"/>
    <n v="0"/>
    <n v="0"/>
    <s v="--"/>
    <s v="--"/>
    <d v="1899-12-30T00:00:52"/>
    <d v="1899-12-30T00:00:00"/>
    <n v="0"/>
    <d v="1899-12-30T00:00:00"/>
    <s v="Não"/>
    <s v="00:00.00"/>
    <n v="1"/>
    <n v="0"/>
    <d v="1899-12-30T00:00:00"/>
    <d v="1899-12-30T00:00:57"/>
    <n v="11"/>
    <n v="13"/>
  </r>
  <r>
    <x v="2"/>
    <d v="2019-11-06T17:53:13"/>
    <s v="false"/>
    <s v="Blumenau Corrida"/>
    <n v="0.4"/>
    <n v="14"/>
    <d v="1899-12-30T00:02:19"/>
    <s v="--"/>
    <s v="--"/>
    <s v="--"/>
    <n v="157"/>
    <n v="171"/>
    <d v="1899-12-30T05:50:00"/>
    <d v="1899-12-30T04:59:00"/>
    <s v="--"/>
    <s v="--"/>
    <n v="1.0900000000000001"/>
    <n v="0"/>
    <n v="0"/>
    <n v="0"/>
    <n v="0"/>
    <n v="0"/>
    <s v="--"/>
    <s v="--"/>
    <d v="1899-12-30T00:02:19"/>
    <d v="1899-12-30T00:00:00"/>
    <n v="0"/>
    <d v="1899-12-30T00:00:00"/>
    <s v="Não"/>
    <s v="00:00.00"/>
    <n v="1"/>
    <n v="0"/>
    <d v="1899-12-30T00:02:19"/>
    <d v="1899-12-30T00:02:19"/>
    <n v="11"/>
    <n v="13"/>
  </r>
  <r>
    <x v="2"/>
    <d v="2019-11-05T17:47:59"/>
    <s v="false"/>
    <s v="Blumenau Corrida"/>
    <n v="5.09"/>
    <n v="186"/>
    <d v="1899-12-30T00:30:03"/>
    <s v="--"/>
    <s v="--"/>
    <s v="--"/>
    <n v="164"/>
    <n v="171"/>
    <d v="1899-12-30T05:54:00"/>
    <d v="1899-12-30T04:31:00"/>
    <n v="1"/>
    <n v="1"/>
    <n v="1.03"/>
    <n v="0"/>
    <n v="0"/>
    <n v="0"/>
    <n v="0"/>
    <n v="0"/>
    <s v="--"/>
    <s v="--"/>
    <d v="1899-12-31T06:03:00"/>
    <d v="1899-12-30T00:00:00"/>
    <n v="0"/>
    <d v="1899-12-30T00:00:00"/>
    <s v="Não"/>
    <s v="00:34.37"/>
    <n v="6"/>
    <n v="0"/>
    <d v="1899-12-30T00:30:02"/>
    <d v="1899-12-30T00:30:03"/>
    <n v="10"/>
    <n v="1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x v="0"/>
    <d v="2021-07-19T06:49:42"/>
    <s v="false"/>
    <s v="Força"/>
    <n v="0"/>
    <n v="170"/>
    <d v="1899-12-30T00:36:12"/>
    <n v="107"/>
    <n v="152"/>
    <n v="1.1000000000000001"/>
    <s v="--"/>
    <s v="--"/>
    <s v="--"/>
    <s v="--"/>
    <s v="--"/>
    <s v="--"/>
    <n v="0"/>
    <n v="0"/>
    <n v="0"/>
    <n v="0"/>
    <n v="0"/>
    <n v="0"/>
    <n v="166"/>
    <n v="20"/>
    <d v="1899-12-31T12:12:00"/>
    <d v="1899-12-30T00:00:00"/>
    <n v="0"/>
    <d v="1899-12-30T00:00:00"/>
    <s v="Não"/>
    <s v="36:12.03"/>
    <n v="1"/>
    <n v="0"/>
    <d v="1899-12-30T00:18:51"/>
    <d v="1899-12-30T00:36:12"/>
    <s v="--"/>
    <s v="--"/>
  </r>
  <r>
    <x v="1"/>
    <d v="2021-07-18T08:38:18"/>
    <s v="false"/>
    <s v="Blumenau Ciclismo"/>
    <n v="18.04"/>
    <n v="636"/>
    <d v="1899-12-30T02:03:44"/>
    <n v="116"/>
    <n v="163"/>
    <n v="2.2000000000000002"/>
    <s v="--"/>
    <s v="--"/>
    <n v="8.6999999999999993"/>
    <n v="24.6"/>
    <n v="142"/>
    <n v="145"/>
    <n v="0"/>
    <n v="0"/>
    <n v="0"/>
    <n v="0"/>
    <n v="0"/>
    <n v="0"/>
    <s v="--"/>
    <s v="--"/>
    <d v="1899-12-30T02:03:44"/>
    <d v="1899-12-30T00:00:00"/>
    <n v="0"/>
    <d v="1899-12-30T00:00:00"/>
    <s v="Não"/>
    <s v="12:25.05"/>
    <n v="4"/>
    <n v="0"/>
    <d v="1899-12-30T01:29:55"/>
    <d v="1899-12-30T02:03:44"/>
    <n v="3"/>
    <n v="41"/>
  </r>
  <r>
    <x v="2"/>
    <d v="2021-07-17T07:12:56"/>
    <s v="false"/>
    <s v="Pomerode Corrida"/>
    <n v="6.05"/>
    <n v="602"/>
    <d v="1899-12-30T00:49:39"/>
    <n v="176"/>
    <n v="218"/>
    <n v="4.5999999999999996"/>
    <n v="113"/>
    <n v="243"/>
    <d v="1899-12-30T08:13:00"/>
    <d v="1899-12-30T04:08:00"/>
    <n v="293"/>
    <n v="294"/>
    <n v="1.01"/>
    <n v="0"/>
    <n v="0"/>
    <n v="0"/>
    <n v="0"/>
    <n v="0"/>
    <s v="--"/>
    <s v="--"/>
    <d v="1900-01-01T01:39:00"/>
    <d v="1899-12-30T00:00:00"/>
    <n v="0"/>
    <d v="1899-12-30T00:00:00"/>
    <s v="Não"/>
    <s v="00:30.41"/>
    <n v="8"/>
    <n v="0"/>
    <d v="1899-12-30T00:42:10"/>
    <d v="1899-12-30T00:49:39"/>
    <n v="84"/>
    <n v="380"/>
  </r>
  <r>
    <x v="0"/>
    <d v="2021-07-13T06:56:10"/>
    <s v="false"/>
    <s v="Força"/>
    <n v="0"/>
    <n v="219"/>
    <d v="1899-12-30T00:37:39"/>
    <n v="117"/>
    <n v="160"/>
    <n v="1.7"/>
    <s v="--"/>
    <s v="--"/>
    <s v="--"/>
    <s v="--"/>
    <s v="--"/>
    <s v="--"/>
    <n v="0"/>
    <n v="0"/>
    <n v="0"/>
    <n v="0"/>
    <n v="0"/>
    <n v="0"/>
    <n v="159"/>
    <n v="20"/>
    <d v="1899-12-31T13:39:00"/>
    <d v="1899-12-30T00:00:00"/>
    <n v="0"/>
    <d v="1899-12-30T00:00:00"/>
    <s v="Não"/>
    <s v="37:38.93"/>
    <n v="1"/>
    <n v="0"/>
    <d v="1899-12-30T00:18:40"/>
    <d v="1899-12-30T00:37:39"/>
    <s v="--"/>
    <s v="--"/>
  </r>
  <r>
    <x v="2"/>
    <d v="2021-07-12T06:40:44"/>
    <s v="false"/>
    <s v="Blumenau Corrida"/>
    <n v="5.91"/>
    <n v="396"/>
    <d v="1899-12-30T00:40:01"/>
    <n v="153"/>
    <n v="189"/>
    <n v="3.2"/>
    <n v="137"/>
    <n v="181"/>
    <d v="1899-12-30T06:46:00"/>
    <d v="1899-12-30T03:52:00"/>
    <n v="36"/>
    <n v="36"/>
    <n v="1.06"/>
    <n v="0"/>
    <n v="0"/>
    <n v="0"/>
    <n v="0"/>
    <n v="0"/>
    <s v="--"/>
    <s v="--"/>
    <d v="1899-12-31T16:01:00"/>
    <d v="1899-12-30T00:00:00"/>
    <n v="0"/>
    <d v="1899-12-30T00:00:00"/>
    <s v="Não"/>
    <s v="00:01.43"/>
    <n v="8"/>
    <n v="0"/>
    <d v="1899-12-30T00:39:11"/>
    <d v="1899-12-30T00:40:47"/>
    <n v="11"/>
    <n v="21"/>
  </r>
  <r>
    <x v="2"/>
    <d v="2021-07-10T07:48:19"/>
    <s v="false"/>
    <s v="Blumenau Corrida"/>
    <n v="16.010000000000002"/>
    <n v="1233"/>
    <d v="1899-12-30T01:44:30"/>
    <n v="174"/>
    <n v="206"/>
    <n v="5"/>
    <n v="150"/>
    <n v="247"/>
    <d v="1899-12-30T06:32:00"/>
    <d v="1899-12-30T05:25:00"/>
    <n v="305"/>
    <n v="307"/>
    <n v="1.02"/>
    <n v="0"/>
    <n v="0"/>
    <n v="0"/>
    <n v="0"/>
    <n v="0"/>
    <s v="--"/>
    <s v="--"/>
    <d v="1899-12-30T01:44:30"/>
    <d v="1899-12-30T00:00:00"/>
    <n v="0"/>
    <d v="1899-12-30T00:00:00"/>
    <s v="Não"/>
    <s v="00:03.65"/>
    <n v="17"/>
    <n v="0"/>
    <d v="1899-12-30T01:44:25"/>
    <d v="1899-12-30T01:44:30"/>
    <n v="17"/>
    <n v="125"/>
  </r>
  <r>
    <x v="0"/>
    <d v="2021-07-09T07:01:28"/>
    <s v="false"/>
    <s v="Força"/>
    <n v="0"/>
    <n v="333"/>
    <d v="1899-12-30T00:53:49"/>
    <n v="125"/>
    <n v="168"/>
    <n v="2.2000000000000002"/>
    <s v="--"/>
    <s v="--"/>
    <s v="--"/>
    <s v="--"/>
    <s v="--"/>
    <s v="--"/>
    <n v="0"/>
    <n v="0"/>
    <n v="0"/>
    <n v="0"/>
    <n v="0"/>
    <n v="0"/>
    <n v="265"/>
    <n v="24"/>
    <d v="1900-01-01T05:49:00"/>
    <d v="1899-12-30T00:00:00"/>
    <n v="0"/>
    <d v="1899-12-30T00:00:00"/>
    <s v="Não"/>
    <s v="53:48.75"/>
    <n v="1"/>
    <n v="0"/>
    <d v="1899-12-30T00:29:18"/>
    <d v="1899-12-30T00:53:49"/>
    <s v="--"/>
    <s v="--"/>
  </r>
  <r>
    <x v="2"/>
    <d v="2021-07-08T17:49:32"/>
    <s v="false"/>
    <s v="Blumenau - 10k - 90 a 95%"/>
    <n v="10.01"/>
    <n v="744"/>
    <d v="1899-12-30T01:01:52"/>
    <n v="172"/>
    <n v="188"/>
    <n v="5"/>
    <n v="160"/>
    <n v="168"/>
    <d v="1899-12-30T06:11:00"/>
    <d v="1899-12-30T05:04:00"/>
    <n v="64"/>
    <n v="78"/>
    <n v="1.01"/>
    <n v="0"/>
    <n v="0"/>
    <n v="0"/>
    <n v="0"/>
    <n v="0"/>
    <s v="--"/>
    <s v="--"/>
    <d v="1899-12-30T01:01:52"/>
    <d v="1899-12-30T00:00:00"/>
    <n v="0"/>
    <d v="1899-12-30T00:00:00"/>
    <s v="Não"/>
    <s v="00:05.04"/>
    <n v="11"/>
    <n v="0"/>
    <d v="1899-12-30T01:01:43"/>
    <d v="1899-12-30T01:01:52"/>
    <n v="9"/>
    <n v="49"/>
  </r>
  <r>
    <x v="2"/>
    <d v="2021-07-03T08:08:16"/>
    <s v="false"/>
    <s v="Blumenau Corrida"/>
    <n v="14.12"/>
    <n v="1047"/>
    <d v="1899-12-30T01:30:02"/>
    <n v="170"/>
    <n v="201"/>
    <n v="5"/>
    <n v="153"/>
    <n v="244"/>
    <d v="1899-12-30T06:23:00"/>
    <d v="1899-12-30T05:32:00"/>
    <n v="175"/>
    <n v="177"/>
    <n v="1.03"/>
    <n v="0"/>
    <n v="0"/>
    <n v="0"/>
    <n v="0"/>
    <n v="0"/>
    <s v="--"/>
    <s v="--"/>
    <d v="1899-12-30T01:30:02"/>
    <d v="1899-12-30T00:00:00"/>
    <n v="0"/>
    <d v="1899-12-30T00:00:00"/>
    <s v="Não"/>
    <s v="00:36.10"/>
    <n v="15"/>
    <n v="0"/>
    <d v="1899-12-30T01:29:59"/>
    <d v="1899-12-30T01:30:02"/>
    <n v="15"/>
    <n v="64"/>
  </r>
  <r>
    <x v="0"/>
    <d v="2021-07-02T07:02:14"/>
    <s v="false"/>
    <s v="Força"/>
    <n v="0"/>
    <n v="280"/>
    <d v="1899-12-30T00:49:59"/>
    <n v="119"/>
    <n v="168"/>
    <n v="2.1"/>
    <s v="--"/>
    <s v="--"/>
    <s v="--"/>
    <s v="--"/>
    <s v="--"/>
    <s v="--"/>
    <n v="0"/>
    <n v="0"/>
    <n v="0"/>
    <n v="0"/>
    <n v="0"/>
    <n v="0"/>
    <n v="236"/>
    <n v="24"/>
    <d v="1900-01-01T01:59:00"/>
    <d v="1899-12-30T00:00:00"/>
    <n v="0"/>
    <d v="1899-12-30T00:00:00"/>
    <s v="Não"/>
    <s v="49:58.81"/>
    <n v="1"/>
    <n v="0"/>
    <d v="1899-12-30T00:26:15"/>
    <d v="1899-12-30T00:49:59"/>
    <s v="--"/>
    <s v="--"/>
  </r>
  <r>
    <x v="3"/>
    <d v="2021-07-01T18:17:01"/>
    <s v="false"/>
    <s v="8k - 95 a 100%"/>
    <n v="8.01"/>
    <n v="610"/>
    <d v="1899-12-30T00:51:57"/>
    <n v="165"/>
    <n v="176"/>
    <n v="4.3"/>
    <n v="157"/>
    <n v="180"/>
    <d v="1899-12-30T06:29:00"/>
    <d v="1899-12-30T05:31:00"/>
    <s v="--"/>
    <s v="--"/>
    <n v="0.98"/>
    <n v="0"/>
    <n v="0"/>
    <n v="0"/>
    <n v="0"/>
    <n v="0"/>
    <s v="--"/>
    <s v="--"/>
    <d v="1900-01-01T03:57:00"/>
    <d v="1899-12-30T00:00:00"/>
    <n v="0"/>
    <d v="1899-12-30T00:00:00"/>
    <s v="Não"/>
    <s v="00:02.87"/>
    <n v="9"/>
    <n v="0"/>
    <d v="1899-12-30T00:51:31"/>
    <d v="1899-12-30T00:51:57"/>
    <s v="--"/>
    <s v="--"/>
  </r>
  <r>
    <x v="0"/>
    <d v="2021-06-30T07:01:20"/>
    <s v="false"/>
    <s v="Força"/>
    <n v="0"/>
    <n v="313"/>
    <d v="1899-12-30T00:51:16"/>
    <n v="124"/>
    <n v="142"/>
    <n v="2"/>
    <s v="--"/>
    <s v="--"/>
    <s v="--"/>
    <s v="--"/>
    <s v="--"/>
    <s v="--"/>
    <n v="0"/>
    <n v="0"/>
    <n v="0"/>
    <n v="0"/>
    <n v="0"/>
    <n v="0"/>
    <n v="173"/>
    <n v="24"/>
    <d v="1900-01-01T03:16:00"/>
    <d v="1899-12-30T00:00:00"/>
    <n v="0"/>
    <d v="1899-12-30T00:00:00"/>
    <s v="Não"/>
    <s v="51:15.65"/>
    <n v="1"/>
    <n v="0"/>
    <d v="1899-12-30T00:26:38"/>
    <d v="1899-12-30T00:51:16"/>
    <s v="--"/>
    <s v="--"/>
  </r>
  <r>
    <x v="3"/>
    <d v="2021-06-29T17:25:46"/>
    <s v="false"/>
    <s v="6 x 1km com intervalo 3min parad"/>
    <n v="8.1"/>
    <n v="615"/>
    <d v="1899-12-30T01:04:46"/>
    <n v="151"/>
    <n v="183"/>
    <n v="3.5"/>
    <n v="123"/>
    <n v="210"/>
    <d v="1899-12-30T08:00:00"/>
    <d v="1899-12-30T04:54:00"/>
    <s v="--"/>
    <s v="--"/>
    <n v="0.84"/>
    <n v="0"/>
    <n v="0"/>
    <n v="0"/>
    <n v="0"/>
    <n v="0"/>
    <s v="--"/>
    <s v="--"/>
    <d v="1899-12-30T01:04:46"/>
    <d v="1899-12-30T00:00:00"/>
    <n v="0"/>
    <d v="1899-12-30T00:00:00"/>
    <s v="Não"/>
    <s v="00:02.70"/>
    <n v="15"/>
    <n v="0"/>
    <d v="1899-12-30T00:47:13"/>
    <d v="1899-12-30T01:04:46"/>
    <s v="--"/>
    <s v="--"/>
  </r>
  <r>
    <x v="0"/>
    <d v="2021-06-28T07:02:15"/>
    <s v="false"/>
    <s v="Força"/>
    <n v="0"/>
    <n v="313"/>
    <d v="1899-12-30T00:49:20"/>
    <n v="124"/>
    <n v="174"/>
    <n v="2.4"/>
    <s v="--"/>
    <s v="--"/>
    <s v="--"/>
    <s v="--"/>
    <s v="--"/>
    <s v="--"/>
    <n v="0"/>
    <n v="0"/>
    <n v="0"/>
    <n v="0"/>
    <n v="0"/>
    <n v="0"/>
    <n v="266"/>
    <n v="24"/>
    <d v="1900-01-01T01:20:00"/>
    <d v="1899-12-30T00:00:00"/>
    <n v="0"/>
    <d v="1899-12-30T00:00:00"/>
    <s v="Não"/>
    <s v="49:19.86"/>
    <n v="1"/>
    <n v="0"/>
    <d v="1899-12-30T00:25:07"/>
    <d v="1899-12-30T00:49:20"/>
    <s v="--"/>
    <s v="--"/>
  </r>
  <r>
    <x v="2"/>
    <d v="2021-06-27T09:01:30"/>
    <s v="false"/>
    <s v="Blumenau Corrida"/>
    <n v="13.95"/>
    <n v="1038"/>
    <d v="1899-12-30T01:30:02"/>
    <n v="171"/>
    <n v="201"/>
    <n v="5"/>
    <n v="150"/>
    <n v="241"/>
    <d v="1899-12-30T06:27:00"/>
    <d v="1899-12-30T05:37:00"/>
    <n v="169"/>
    <n v="178"/>
    <n v="1.03"/>
    <n v="0"/>
    <n v="0"/>
    <n v="0"/>
    <n v="0"/>
    <n v="0"/>
    <s v="--"/>
    <s v="--"/>
    <d v="1899-12-30T01:30:02"/>
    <d v="1899-12-30T00:00:00"/>
    <n v="0"/>
    <d v="1899-12-30T00:00:00"/>
    <s v="Não"/>
    <s v="05:45.15"/>
    <n v="14"/>
    <n v="0"/>
    <d v="1899-12-30T01:29:51"/>
    <d v="1899-12-30T01:30:02"/>
    <n v="10"/>
    <n v="57"/>
  </r>
  <r>
    <x v="0"/>
    <d v="2021-06-25T07:05:29"/>
    <s v="false"/>
    <s v="Força"/>
    <n v="0"/>
    <n v="319"/>
    <d v="1899-12-30T00:52:39"/>
    <n v="124"/>
    <n v="148"/>
    <n v="2"/>
    <s v="--"/>
    <s v="--"/>
    <s v="--"/>
    <s v="--"/>
    <s v="--"/>
    <s v="--"/>
    <n v="0"/>
    <n v="0"/>
    <n v="0"/>
    <n v="0"/>
    <n v="0"/>
    <n v="0"/>
    <n v="157"/>
    <n v="24"/>
    <d v="1900-01-01T04:39:00"/>
    <d v="1899-12-30T00:00:00"/>
    <n v="0"/>
    <d v="1899-12-30T00:00:00"/>
    <s v="Não"/>
    <s v="52:38.80"/>
    <n v="1"/>
    <n v="0"/>
    <d v="1899-12-30T00:25:11"/>
    <d v="1899-12-30T00:52:39"/>
    <s v="--"/>
    <s v="--"/>
  </r>
  <r>
    <x v="3"/>
    <d v="2021-06-24T18:03:30"/>
    <s v="false"/>
    <s v="10k - 90 a 95%"/>
    <n v="10.01"/>
    <n v="704"/>
    <d v="1899-12-30T00:59:41"/>
    <n v="167"/>
    <n v="185"/>
    <n v="4.9000000000000004"/>
    <n v="160"/>
    <n v="176"/>
    <d v="1899-12-30T05:58:00"/>
    <d v="1899-12-30T05:12:00"/>
    <s v="--"/>
    <s v="--"/>
    <n v="1.05"/>
    <n v="0"/>
    <n v="0"/>
    <n v="0"/>
    <n v="0"/>
    <n v="0"/>
    <s v="--"/>
    <s v="--"/>
    <d v="1900-01-01T11:41:00"/>
    <d v="1899-12-30T00:00:00"/>
    <n v="0"/>
    <d v="1899-12-30T00:00:00"/>
    <s v="Não"/>
    <s v="00:01.37"/>
    <n v="11"/>
    <n v="0"/>
    <d v="1899-12-30T00:59:34"/>
    <d v="1899-12-30T00:59:41"/>
    <s v="--"/>
    <s v="--"/>
  </r>
  <r>
    <x v="2"/>
    <d v="2021-06-22T06:51:27"/>
    <s v="false"/>
    <s v="Blumenau - 4 x 1km forte com 500m leve"/>
    <n v="8.01"/>
    <n v="560"/>
    <d v="1899-12-30T00:48:54"/>
    <n v="166"/>
    <n v="186"/>
    <n v="4.2"/>
    <n v="158"/>
    <n v="170"/>
    <d v="1899-12-30T06:06:00"/>
    <d v="1899-12-30T04:42:00"/>
    <n v="24"/>
    <n v="36"/>
    <n v="1.03"/>
    <n v="0"/>
    <n v="0"/>
    <n v="0"/>
    <n v="0"/>
    <n v="0"/>
    <s v="--"/>
    <s v="--"/>
    <d v="1900-01-01T00:54:00"/>
    <d v="1899-12-30T00:00:00"/>
    <n v="0"/>
    <d v="1899-12-30T00:00:00"/>
    <s v="Não"/>
    <s v="00:04.61"/>
    <n v="11"/>
    <n v="0"/>
    <d v="1899-12-30T00:48:50"/>
    <d v="1899-12-30T00:48:54"/>
    <n v="12"/>
    <n v="28"/>
  </r>
  <r>
    <x v="0"/>
    <d v="2021-06-21T06:55:09"/>
    <s v="false"/>
    <s v="Força"/>
    <n v="0"/>
    <n v="296"/>
    <d v="1899-12-30T00:53:04"/>
    <n v="119"/>
    <n v="164"/>
    <n v="2.1"/>
    <s v="--"/>
    <s v="--"/>
    <s v="--"/>
    <s v="--"/>
    <s v="--"/>
    <s v="--"/>
    <n v="0"/>
    <n v="0"/>
    <n v="0"/>
    <n v="0"/>
    <n v="0"/>
    <n v="0"/>
    <n v="321"/>
    <n v="27"/>
    <d v="1900-01-01T05:04:00"/>
    <d v="1899-12-30T00:00:00"/>
    <n v="0"/>
    <d v="1899-12-30T00:00:00"/>
    <s v="Não"/>
    <s v="53:03.70"/>
    <n v="1"/>
    <n v="0"/>
    <d v="1899-12-30T00:26:21"/>
    <d v="1899-12-30T00:53:04"/>
    <s v="--"/>
    <s v="--"/>
  </r>
  <r>
    <x v="3"/>
    <d v="2021-06-20T09:20:41"/>
    <s v="false"/>
    <s v="Corrida em esteira"/>
    <n v="6.19"/>
    <n v="470"/>
    <d v="1899-12-30T00:46:02"/>
    <n v="155"/>
    <n v="186"/>
    <n v="3.6"/>
    <n v="142"/>
    <n v="225"/>
    <d v="1899-12-30T07:26:00"/>
    <d v="1899-12-30T04:50:00"/>
    <s v="--"/>
    <s v="--"/>
    <n v="0.93"/>
    <n v="0"/>
    <n v="0"/>
    <n v="0"/>
    <n v="0"/>
    <n v="0"/>
    <s v="--"/>
    <s v="--"/>
    <d v="1899-12-31T22:02:00"/>
    <d v="1899-12-30T00:00:00"/>
    <n v="0"/>
    <d v="1899-12-30T00:00:00"/>
    <s v="Não"/>
    <s v="03:50.01"/>
    <n v="7"/>
    <n v="0"/>
    <d v="1899-12-30T00:43:41"/>
    <d v="1899-12-30T00:46:02"/>
    <s v="--"/>
    <s v="--"/>
  </r>
  <r>
    <x v="3"/>
    <d v="2021-06-17T17:57:56"/>
    <s v="false"/>
    <s v="8k - 90 a 95%"/>
    <n v="8.02"/>
    <n v="555"/>
    <d v="1899-12-30T00:49:54"/>
    <n v="159"/>
    <n v="172"/>
    <n v="4.0999999999999996"/>
    <n v="157"/>
    <n v="161"/>
    <d v="1899-12-30T06:13:00"/>
    <d v="1899-12-30T04:59:00"/>
    <s v="--"/>
    <s v="--"/>
    <n v="1.03"/>
    <n v="0"/>
    <n v="0"/>
    <n v="0"/>
    <n v="0"/>
    <n v="0"/>
    <s v="--"/>
    <s v="--"/>
    <d v="1900-01-01T01:54:00"/>
    <d v="1899-12-30T00:00:00"/>
    <n v="0"/>
    <d v="1899-12-30T00:00:00"/>
    <s v="Não"/>
    <s v="00:07.70"/>
    <n v="9"/>
    <n v="0"/>
    <d v="1899-12-30T00:49:53"/>
    <d v="1899-12-30T00:49:54"/>
    <s v="--"/>
    <s v="--"/>
  </r>
  <r>
    <x v="3"/>
    <d v="2021-06-15T18:11:22"/>
    <s v="false"/>
    <s v="10 x 300m moderado/forte com 100"/>
    <n v="7.01"/>
    <n v="410"/>
    <d v="1899-12-30T00:42:34"/>
    <n v="147"/>
    <n v="172"/>
    <n v="3.3"/>
    <n v="155"/>
    <n v="161"/>
    <d v="1899-12-30T06:04:00"/>
    <d v="1899-12-30T04:38:00"/>
    <s v="--"/>
    <s v="--"/>
    <n v="1.06"/>
    <n v="0"/>
    <n v="0"/>
    <n v="0"/>
    <n v="0"/>
    <n v="0"/>
    <s v="--"/>
    <s v="--"/>
    <d v="1899-12-31T18:34:00"/>
    <d v="1899-12-30T00:00:00"/>
    <n v="0"/>
    <d v="1899-12-30T00:00:00"/>
    <s v="Não"/>
    <s v="00:03.37"/>
    <n v="24"/>
    <n v="0"/>
    <d v="1899-12-30T00:42:26"/>
    <d v="1899-12-30T00:42:34"/>
    <s v="--"/>
    <s v="--"/>
  </r>
  <r>
    <x v="2"/>
    <d v="2021-06-13T08:46:56"/>
    <s v="false"/>
    <s v="Blumenau Corrida"/>
    <n v="18.399999999999999"/>
    <n v="1332"/>
    <d v="1899-12-30T02:00:01"/>
    <n v="167"/>
    <n v="192"/>
    <n v="5"/>
    <n v="154"/>
    <n v="244"/>
    <d v="1899-12-30T06:31:00"/>
    <d v="1899-12-30T05:31:00"/>
    <n v="409"/>
    <n v="377"/>
    <n v="1"/>
    <n v="0"/>
    <n v="0"/>
    <n v="0"/>
    <n v="0"/>
    <n v="0"/>
    <s v="--"/>
    <s v="--"/>
    <d v="1899-12-30T02:00:01"/>
    <d v="1899-12-30T00:00:00"/>
    <n v="0"/>
    <d v="1899-12-30T00:00:00"/>
    <s v="Não"/>
    <s v="02:23.79"/>
    <n v="19"/>
    <n v="0"/>
    <d v="1899-12-30T01:59:49"/>
    <d v="1899-12-30T02:00:01"/>
    <n v="17"/>
    <n v="160"/>
  </r>
  <r>
    <x v="0"/>
    <d v="2021-06-11T06:48:51"/>
    <s v="false"/>
    <s v="Força"/>
    <n v="0"/>
    <n v="310"/>
    <d v="1899-12-30T01:03:07"/>
    <n v="114"/>
    <n v="146"/>
    <n v="1.4"/>
    <s v="--"/>
    <s v="--"/>
    <s v="--"/>
    <s v="--"/>
    <s v="--"/>
    <s v="--"/>
    <n v="0"/>
    <n v="0"/>
    <n v="0"/>
    <n v="0"/>
    <n v="0"/>
    <n v="0"/>
    <n v="209"/>
    <n v="28"/>
    <d v="1899-12-30T01:03:07"/>
    <d v="1899-12-30T00:00:00"/>
    <n v="0"/>
    <d v="1899-12-30T00:00:00"/>
    <s v="Não"/>
    <s v="01:03:07.04"/>
    <n v="1"/>
    <n v="0"/>
    <d v="1899-12-30T00:28:09"/>
    <d v="1899-12-30T01:03:07"/>
    <s v="--"/>
    <s v="--"/>
  </r>
  <r>
    <x v="3"/>
    <d v="2021-06-10T18:33:53"/>
    <s v="false"/>
    <s v="10k - 90 a 95%"/>
    <n v="10.01"/>
    <n v="693"/>
    <d v="1899-12-30T01:01:09"/>
    <n v="165"/>
    <n v="179"/>
    <n v="5"/>
    <n v="158"/>
    <n v="167"/>
    <d v="1899-12-30T06:06:00"/>
    <d v="1899-12-30T04:38:00"/>
    <s v="--"/>
    <s v="--"/>
    <n v="1.04"/>
    <n v="0"/>
    <n v="0"/>
    <n v="0"/>
    <n v="0"/>
    <n v="0"/>
    <s v="--"/>
    <s v="--"/>
    <d v="1899-12-30T01:01:09"/>
    <d v="1899-12-30T00:00:00"/>
    <n v="0"/>
    <d v="1899-12-30T00:00:00"/>
    <s v="Não"/>
    <s v="00:04.95"/>
    <n v="11"/>
    <n v="0"/>
    <d v="1899-12-30T01:00:22"/>
    <d v="1899-12-30T01:01:09"/>
    <s v="--"/>
    <s v="--"/>
  </r>
  <r>
    <x v="3"/>
    <d v="2021-06-08T18:07:33"/>
    <s v="false"/>
    <s v="6 x 500m com intervalo 2min para"/>
    <n v="7.2"/>
    <n v="471"/>
    <d v="1899-12-30T00:54:02"/>
    <n v="144"/>
    <n v="184"/>
    <n v="3.1"/>
    <n v="130"/>
    <n v="170"/>
    <d v="1899-12-30T07:30:00"/>
    <d v="1899-12-30T04:26:00"/>
    <s v="--"/>
    <s v="--"/>
    <n v="0.93"/>
    <n v="0"/>
    <n v="0"/>
    <n v="0"/>
    <n v="0"/>
    <n v="0"/>
    <s v="--"/>
    <s v="--"/>
    <d v="1900-01-01T06:02:00"/>
    <d v="1899-12-30T00:00:00"/>
    <n v="0"/>
    <d v="1899-12-30T00:00:00"/>
    <s v="Não"/>
    <s v="00:03.37"/>
    <n v="17"/>
    <n v="0"/>
    <d v="1899-12-30T00:42:51"/>
    <d v="1899-12-30T00:54:02"/>
    <s v="--"/>
    <s v="--"/>
  </r>
  <r>
    <x v="0"/>
    <d v="2021-06-07T06:43:42"/>
    <s v="false"/>
    <s v="Força"/>
    <n v="0"/>
    <n v="262"/>
    <d v="1899-12-30T00:58:08"/>
    <n v="110"/>
    <n v="150"/>
    <n v="1.5"/>
    <s v="--"/>
    <s v="--"/>
    <s v="--"/>
    <s v="--"/>
    <s v="--"/>
    <s v="--"/>
    <n v="0"/>
    <n v="0"/>
    <n v="0"/>
    <n v="0"/>
    <n v="0"/>
    <n v="0"/>
    <n v="332"/>
    <n v="28"/>
    <d v="1900-01-01T10:08:00"/>
    <d v="1899-12-30T00:00:00"/>
    <n v="0"/>
    <d v="1899-12-30T00:00:00"/>
    <s v="Não"/>
    <s v="58:07.55"/>
    <n v="1"/>
    <n v="0"/>
    <d v="1899-12-30T00:27:58"/>
    <d v="1899-12-30T00:58:08"/>
    <s v="--"/>
    <s v="--"/>
  </r>
  <r>
    <x v="2"/>
    <d v="2021-06-06T08:52:54"/>
    <s v="false"/>
    <s v="Blumenau Corrida"/>
    <n v="13.67"/>
    <n v="1054"/>
    <d v="1899-12-30T01:30:01"/>
    <n v="174"/>
    <n v="205"/>
    <n v="5"/>
    <n v="143"/>
    <n v="244"/>
    <d v="1899-12-30T06:35:00"/>
    <d v="1899-12-30T04:15:00"/>
    <n v="327"/>
    <n v="335"/>
    <n v="1.07"/>
    <n v="0"/>
    <n v="0"/>
    <n v="0"/>
    <n v="0"/>
    <n v="0"/>
    <s v="--"/>
    <s v="--"/>
    <d v="1899-12-30T01:30:01"/>
    <d v="1899-12-30T00:00:00"/>
    <n v="0"/>
    <d v="1899-12-30T00:00:00"/>
    <s v="Não"/>
    <s v="04:05.35"/>
    <n v="14"/>
    <n v="0"/>
    <d v="1899-12-30T01:29:48"/>
    <d v="1899-12-30T01:30:01"/>
    <n v="16"/>
    <n v="123"/>
  </r>
  <r>
    <x v="2"/>
    <d v="2021-06-03T07:25:17"/>
    <s v="false"/>
    <s v="Blumenau - 10 x 400 - intervalo 1 minuto"/>
    <n v="8.65"/>
    <n v="600"/>
    <d v="1899-12-30T00:57:16"/>
    <n v="159"/>
    <n v="183"/>
    <n v="4.5999999999999996"/>
    <n v="146"/>
    <n v="249"/>
    <d v="1899-12-30T06:37:00"/>
    <d v="1899-12-30T03:53:00"/>
    <n v="22"/>
    <n v="33"/>
    <n v="1.03"/>
    <n v="0"/>
    <n v="0"/>
    <n v="0"/>
    <n v="0"/>
    <n v="0"/>
    <s v="--"/>
    <s v="--"/>
    <d v="1900-01-01T09:16:00"/>
    <d v="1899-12-30T00:00:00"/>
    <n v="0"/>
    <d v="1899-12-30T00:00:00"/>
    <s v="Não"/>
    <s v="00:04.31"/>
    <n v="25"/>
    <n v="0"/>
    <d v="1899-12-30T00:53:53"/>
    <d v="1899-12-30T00:57:16"/>
    <n v="7"/>
    <n v="25"/>
  </r>
  <r>
    <x v="2"/>
    <d v="2021-06-01T06:21:28"/>
    <s v="false"/>
    <s v="Blumenau - 10k - 90 a 95%"/>
    <n v="10.02"/>
    <n v="706"/>
    <d v="1899-12-30T01:01:55"/>
    <n v="168"/>
    <n v="190"/>
    <n v="5"/>
    <n v="156"/>
    <n v="170"/>
    <d v="1899-12-30T06:11:00"/>
    <d v="1899-12-30T05:15:00"/>
    <n v="76"/>
    <n v="76"/>
    <n v="1.04"/>
    <n v="0"/>
    <n v="0"/>
    <n v="0"/>
    <n v="0"/>
    <n v="0"/>
    <s v="--"/>
    <s v="--"/>
    <d v="1899-12-30T01:01:55"/>
    <d v="1899-12-30T00:00:00"/>
    <n v="0"/>
    <d v="1899-12-30T00:00:00"/>
    <s v="Não"/>
    <s v="00:06.79"/>
    <n v="11"/>
    <n v="0"/>
    <d v="1899-12-30T01:01:52"/>
    <d v="1899-12-30T01:01:55"/>
    <n v="12"/>
    <n v="42"/>
  </r>
  <r>
    <x v="0"/>
    <d v="2021-05-31T06:44:06"/>
    <s v="false"/>
    <s v="Força"/>
    <n v="0"/>
    <n v="242"/>
    <d v="1899-12-30T00:57:44"/>
    <n v="110"/>
    <n v="157"/>
    <n v="1.6"/>
    <s v="--"/>
    <s v="--"/>
    <s v="--"/>
    <s v="--"/>
    <s v="--"/>
    <s v="--"/>
    <n v="0"/>
    <n v="0"/>
    <n v="0"/>
    <n v="0"/>
    <n v="0"/>
    <n v="0"/>
    <n v="368"/>
    <n v="31"/>
    <d v="1900-01-01T09:44:00"/>
    <d v="1899-12-30T00:00:00"/>
    <n v="0"/>
    <d v="1899-12-30T00:00:00"/>
    <s v="Não"/>
    <s v="57:43.69"/>
    <n v="1"/>
    <n v="0"/>
    <d v="1899-12-30T00:27:05"/>
    <d v="1899-12-30T00:57:54"/>
    <s v="--"/>
    <s v="--"/>
  </r>
  <r>
    <x v="2"/>
    <d v="2021-05-30T08:30:06"/>
    <s v="false"/>
    <s v="Blumenau Corrida"/>
    <n v="16.010000000000002"/>
    <n v="1056"/>
    <d v="1899-12-30T01:42:50"/>
    <n v="163"/>
    <n v="185"/>
    <n v="5"/>
    <n v="154"/>
    <n v="168"/>
    <d v="1899-12-30T06:25:00"/>
    <d v="1899-12-30T05:22:00"/>
    <n v="273"/>
    <n v="282"/>
    <n v="1.01"/>
    <n v="0"/>
    <n v="0"/>
    <n v="0"/>
    <n v="0"/>
    <n v="0"/>
    <s v="--"/>
    <s v="--"/>
    <d v="1899-12-30T01:42:50"/>
    <d v="1899-12-30T00:00:00"/>
    <n v="0"/>
    <d v="1899-12-30T00:00:00"/>
    <s v="Não"/>
    <s v="00:02.42"/>
    <n v="17"/>
    <n v="0"/>
    <d v="1899-12-30T01:42:46"/>
    <d v="1899-12-30T01:42:50"/>
    <n v="17"/>
    <n v="114"/>
  </r>
  <r>
    <x v="0"/>
    <d v="2021-05-28T06:46:37"/>
    <s v="false"/>
    <s v="Força"/>
    <n v="0"/>
    <n v="251"/>
    <d v="1899-12-30T01:00:10"/>
    <n v="113"/>
    <n v="137"/>
    <n v="1.3"/>
    <s v="--"/>
    <s v="--"/>
    <s v="--"/>
    <s v="--"/>
    <s v="--"/>
    <s v="--"/>
    <n v="0"/>
    <n v="0"/>
    <n v="0"/>
    <n v="0"/>
    <n v="0"/>
    <n v="0"/>
    <n v="299"/>
    <n v="45"/>
    <d v="1899-12-30T01:00:10"/>
    <d v="1899-12-30T00:00:00"/>
    <n v="0"/>
    <d v="1899-12-30T00:00:00"/>
    <s v="Não"/>
    <s v="01:00:09.53"/>
    <n v="1"/>
    <n v="0"/>
    <d v="1899-12-30T00:25:43"/>
    <d v="1899-12-30T01:00:10"/>
    <s v="--"/>
    <s v="--"/>
  </r>
  <r>
    <x v="2"/>
    <d v="2021-05-27T06:23:46"/>
    <s v="false"/>
    <s v="Blumenau Corrida"/>
    <n v="10"/>
    <n v="841"/>
    <d v="1899-12-30T01:03:19"/>
    <n v="165"/>
    <n v="183"/>
    <s v="--"/>
    <s v="--"/>
    <s v="--"/>
    <d v="1899-12-30T06:20:00"/>
    <d v="1899-12-30T03:00:00"/>
    <n v="85"/>
    <n v="89"/>
    <n v="0"/>
    <n v="0"/>
    <n v="0"/>
    <n v="0"/>
    <n v="0"/>
    <n v="0"/>
    <s v="--"/>
    <s v="--"/>
    <d v="1899-12-30T01:03:19"/>
    <d v="1899-12-30T00:00:00"/>
    <n v="0"/>
    <d v="1899-12-30T00:00:00"/>
    <s v="Não"/>
    <s v="00:01.41"/>
    <n v="11"/>
    <n v="0"/>
    <d v="1899-12-30T01:02:18"/>
    <d v="1899-12-30T01:03:19"/>
    <n v="14"/>
    <n v="40"/>
  </r>
  <r>
    <x v="2"/>
    <d v="2021-05-25T17:46:46"/>
    <s v="false"/>
    <s v="Blumenau Corrida"/>
    <n v="9.2100000000000009"/>
    <n v="742"/>
    <d v="1899-12-30T00:59:57"/>
    <n v="159"/>
    <n v="182"/>
    <s v="--"/>
    <s v="--"/>
    <s v="--"/>
    <d v="1899-12-30T06:31:00"/>
    <d v="1899-12-30T00:52:00"/>
    <n v="32"/>
    <n v="32"/>
    <n v="0"/>
    <n v="0"/>
    <n v="0"/>
    <n v="0"/>
    <n v="0"/>
    <n v="0"/>
    <s v="--"/>
    <s v="--"/>
    <d v="1900-01-01T11:57:00"/>
    <d v="1899-12-30T00:00:00"/>
    <n v="0"/>
    <d v="1899-12-30T00:00:00"/>
    <s v="Não"/>
    <s v="00:56.73"/>
    <n v="14"/>
    <n v="0"/>
    <d v="1899-12-30T00:59:18"/>
    <d v="1899-12-30T00:59:57"/>
    <n v="10"/>
    <n v="25"/>
  </r>
  <r>
    <x v="2"/>
    <d v="2021-05-20T06:25:31"/>
    <s v="false"/>
    <s v="Blumenau Corrida"/>
    <n v="10.08"/>
    <n v="826"/>
    <d v="1899-12-30T01:00:51"/>
    <n v="167"/>
    <n v="184"/>
    <s v="--"/>
    <s v="--"/>
    <s v="--"/>
    <d v="1899-12-30T06:02:00"/>
    <d v="1899-12-30T04:27:00"/>
    <n v="37"/>
    <n v="50"/>
    <n v="0"/>
    <n v="0"/>
    <n v="0"/>
    <n v="0"/>
    <n v="0"/>
    <n v="0"/>
    <s v="--"/>
    <s v="--"/>
    <d v="1899-12-30T01:00:51"/>
    <d v="1899-12-30T00:00:00"/>
    <n v="0"/>
    <d v="1899-12-30T00:00:00"/>
    <s v="Não"/>
    <s v="02:59.52"/>
    <n v="9"/>
    <n v="0"/>
    <d v="1899-12-30T01:00:49"/>
    <d v="1899-12-30T01:00:51"/>
    <n v="9"/>
    <n v="26"/>
  </r>
  <r>
    <x v="2"/>
    <d v="2021-05-15T07:42:16"/>
    <s v="false"/>
    <s v="Blumenau Corrida"/>
    <n v="11.24"/>
    <n v="953"/>
    <d v="1899-12-30T01:12:08"/>
    <n v="164"/>
    <n v="179"/>
    <s v="--"/>
    <s v="--"/>
    <s v="--"/>
    <d v="1899-12-30T06:25:00"/>
    <d v="1899-12-30T01:45:00"/>
    <n v="125"/>
    <n v="131"/>
    <n v="0"/>
    <n v="0"/>
    <n v="0"/>
    <n v="0"/>
    <n v="0"/>
    <n v="0"/>
    <s v="--"/>
    <s v="--"/>
    <d v="1899-12-30T01:12:08"/>
    <d v="1899-12-30T00:00:00"/>
    <n v="0"/>
    <d v="1899-12-30T00:00:00"/>
    <s v="Não"/>
    <s v="01:30.82"/>
    <n v="12"/>
    <n v="0"/>
    <d v="1899-12-30T01:12:04"/>
    <d v="1899-12-30T01:12:08"/>
    <n v="15"/>
    <n v="59"/>
  </r>
  <r>
    <x v="2"/>
    <d v="2021-05-13T17:33:02"/>
    <s v="false"/>
    <s v="Blumenau Corrida"/>
    <n v="9.01"/>
    <n v="701"/>
    <d v="1899-12-30T00:54:32"/>
    <n v="162"/>
    <n v="187"/>
    <s v="--"/>
    <s v="--"/>
    <s v="--"/>
    <d v="1899-12-30T06:03:00"/>
    <d v="1899-12-30T03:57:00"/>
    <n v="29"/>
    <n v="43"/>
    <n v="0"/>
    <n v="0"/>
    <n v="0"/>
    <n v="0"/>
    <n v="0"/>
    <n v="0"/>
    <s v="--"/>
    <s v="--"/>
    <d v="1900-01-01T06:32:00"/>
    <d v="1899-12-30T00:00:00"/>
    <n v="0"/>
    <d v="1899-12-30T00:00:00"/>
    <s v="Não"/>
    <s v="00:02.00"/>
    <n v="10"/>
    <n v="0"/>
    <d v="1899-12-30T00:54:31"/>
    <d v="1899-12-30T00:54:32"/>
    <n v="12"/>
    <n v="28"/>
  </r>
  <r>
    <x v="2"/>
    <d v="2021-05-08T07:35:22"/>
    <s v="false"/>
    <s v="Blumenau Corrida"/>
    <n v="16.149999999999999"/>
    <n v="1374"/>
    <d v="1899-12-30T01:40:01"/>
    <n v="168"/>
    <n v="181"/>
    <s v="--"/>
    <s v="--"/>
    <s v="--"/>
    <d v="1899-12-30T06:11:00"/>
    <d v="1899-12-30T01:00:00"/>
    <n v="255"/>
    <n v="270"/>
    <n v="0"/>
    <n v="0"/>
    <n v="0"/>
    <n v="0"/>
    <n v="0"/>
    <n v="0"/>
    <s v="--"/>
    <s v="--"/>
    <d v="1899-12-30T01:40:01"/>
    <d v="1899-12-30T00:00:00"/>
    <n v="0"/>
    <d v="1899-12-30T00:00:00"/>
    <s v="Não"/>
    <s v="00:54.30"/>
    <n v="17"/>
    <n v="0"/>
    <d v="1899-12-30T01:39:55"/>
    <d v="1899-12-30T01:40:01"/>
    <n v="20"/>
    <n v="117"/>
  </r>
  <r>
    <x v="2"/>
    <d v="2021-05-06T06:48:38"/>
    <s v="false"/>
    <s v="Blumenau Corrida"/>
    <n v="7"/>
    <n v="573"/>
    <d v="1899-12-30T00:43:19"/>
    <n v="164"/>
    <n v="176"/>
    <s v="--"/>
    <s v="--"/>
    <s v="--"/>
    <d v="1899-12-30T06:11:00"/>
    <d v="1899-12-30T05:39:00"/>
    <n v="35"/>
    <n v="36"/>
    <n v="0"/>
    <n v="0"/>
    <n v="0"/>
    <n v="0"/>
    <n v="0"/>
    <n v="0"/>
    <s v="--"/>
    <s v="--"/>
    <d v="1899-12-31T19:19:00"/>
    <d v="1899-12-30T00:00:00"/>
    <n v="0"/>
    <d v="1899-12-30T00:00:00"/>
    <s v="Não"/>
    <s v="00:00.63"/>
    <n v="8"/>
    <n v="0"/>
    <d v="1899-12-30T00:43:17"/>
    <d v="1899-12-30T00:43:19"/>
    <n v="12"/>
    <n v="29"/>
  </r>
  <r>
    <x v="2"/>
    <d v="2021-05-04T17:46:36"/>
    <s v="false"/>
    <s v="Blumenau Corrida"/>
    <n v="10"/>
    <n v="863"/>
    <d v="1899-12-30T01:02:00"/>
    <n v="169"/>
    <n v="185"/>
    <s v="--"/>
    <s v="--"/>
    <s v="--"/>
    <d v="1899-12-30T06:12:00"/>
    <d v="1899-12-30T05:16:00"/>
    <n v="64"/>
    <n v="64"/>
    <n v="0"/>
    <n v="0"/>
    <n v="0"/>
    <n v="0"/>
    <n v="0"/>
    <n v="0"/>
    <s v="--"/>
    <s v="--"/>
    <d v="1899-12-30T01:02:00"/>
    <d v="1899-12-30T00:00:00"/>
    <n v="0"/>
    <d v="1899-12-30T00:00:00"/>
    <s v="Não"/>
    <s v="06:00.32"/>
    <n v="10"/>
    <n v="0"/>
    <d v="1899-12-30T01:01:57"/>
    <d v="1899-12-30T01:02:00"/>
    <n v="10"/>
    <n v="34"/>
  </r>
  <r>
    <x v="2"/>
    <d v="2021-04-29T18:01:38"/>
    <s v="false"/>
    <s v="Blumenau Corrida"/>
    <n v="10"/>
    <n v="826"/>
    <d v="1899-12-30T01:02:14"/>
    <n v="165"/>
    <n v="181"/>
    <s v="--"/>
    <s v="--"/>
    <s v="--"/>
    <d v="1899-12-30T06:13:00"/>
    <d v="1899-12-30T05:01:00"/>
    <n v="57"/>
    <n v="51"/>
    <n v="0"/>
    <n v="0"/>
    <n v="0"/>
    <n v="0"/>
    <n v="0"/>
    <n v="0"/>
    <s v="--"/>
    <s v="--"/>
    <d v="1899-12-30T01:02:14"/>
    <d v="1899-12-30T00:00:00"/>
    <n v="0"/>
    <d v="1899-12-30T00:00:00"/>
    <s v="Não"/>
    <s v="02:40.24"/>
    <n v="11"/>
    <n v="0"/>
    <d v="1899-12-30T01:02:12"/>
    <d v="1899-12-30T01:02:14"/>
    <n v="10"/>
    <n v="34"/>
  </r>
  <r>
    <x v="2"/>
    <d v="2021-04-27T06:47:04"/>
    <s v="false"/>
    <s v="Blumenau Corrida"/>
    <n v="8"/>
    <n v="649"/>
    <d v="1899-12-30T00:50:18"/>
    <n v="163"/>
    <n v="181"/>
    <s v="--"/>
    <s v="--"/>
    <s v="--"/>
    <d v="1899-12-30T06:17:00"/>
    <d v="1899-12-30T04:41:00"/>
    <n v="23"/>
    <n v="18"/>
    <n v="0"/>
    <n v="0"/>
    <n v="0"/>
    <n v="0"/>
    <n v="0"/>
    <n v="0"/>
    <s v="--"/>
    <s v="--"/>
    <d v="1900-01-01T02:18:00"/>
    <d v="1899-12-30T00:00:00"/>
    <n v="0"/>
    <d v="1899-12-30T00:00:00"/>
    <s v="Não"/>
    <s v="00:59.48"/>
    <n v="14"/>
    <n v="0"/>
    <d v="1899-12-30T00:44:34"/>
    <d v="1899-12-30T00:50:18"/>
    <n v="12"/>
    <n v="22"/>
  </r>
  <r>
    <x v="2"/>
    <d v="2021-04-24T07:32:10"/>
    <s v="false"/>
    <s v="Blumenau Corrida"/>
    <n v="15.01"/>
    <n v="1358"/>
    <d v="1899-12-30T01:34:50"/>
    <n v="172"/>
    <n v="187"/>
    <s v="--"/>
    <s v="--"/>
    <s v="--"/>
    <d v="1899-12-30T06:19:00"/>
    <d v="1899-12-30T03:28:00"/>
    <n v="205"/>
    <n v="198"/>
    <n v="0"/>
    <n v="0"/>
    <n v="0"/>
    <n v="0"/>
    <n v="0"/>
    <n v="0"/>
    <s v="--"/>
    <s v="--"/>
    <d v="1899-12-30T01:34:50"/>
    <d v="1899-12-30T00:00:00"/>
    <n v="0"/>
    <d v="1899-12-30T00:00:00"/>
    <s v="Não"/>
    <s v="00:02.74"/>
    <n v="16"/>
    <n v="0"/>
    <d v="1899-12-30T01:34:47"/>
    <d v="1899-12-30T01:34:50"/>
    <n v="14"/>
    <n v="60"/>
  </r>
  <r>
    <x v="2"/>
    <d v="2021-04-20T06:35:48"/>
    <s v="false"/>
    <s v="Blumenau Corrida"/>
    <n v="8.01"/>
    <n v="649"/>
    <d v="1899-12-30T00:48:55"/>
    <n v="165"/>
    <n v="229"/>
    <s v="--"/>
    <s v="--"/>
    <s v="--"/>
    <d v="1899-12-30T06:06:00"/>
    <d v="1899-12-30T02:25:00"/>
    <n v="92"/>
    <n v="92"/>
    <n v="0"/>
    <n v="0"/>
    <n v="0"/>
    <n v="0"/>
    <n v="0"/>
    <n v="0"/>
    <s v="--"/>
    <s v="--"/>
    <d v="1900-01-01T00:55:00"/>
    <d v="1899-12-30T00:00:00"/>
    <n v="0"/>
    <d v="1899-12-30T00:00:00"/>
    <s v="Não"/>
    <s v="00:02.84"/>
    <n v="9"/>
    <n v="0"/>
    <d v="1899-12-30T00:48:52"/>
    <d v="1899-12-30T00:48:55"/>
    <n v="10"/>
    <n v="37"/>
  </r>
  <r>
    <x v="2"/>
    <d v="2021-04-17T07:15:56"/>
    <s v="false"/>
    <s v="Blumenau Corrida"/>
    <n v="10.01"/>
    <n v="877"/>
    <d v="1899-12-30T00:58:41"/>
    <n v="176"/>
    <n v="184"/>
    <s v="--"/>
    <s v="--"/>
    <s v="--"/>
    <d v="1899-12-30T05:52:00"/>
    <d v="1899-12-30T04:01:00"/>
    <n v="32"/>
    <n v="39"/>
    <n v="0"/>
    <n v="0"/>
    <n v="0"/>
    <n v="0"/>
    <n v="0"/>
    <n v="0"/>
    <s v="--"/>
    <s v="--"/>
    <d v="1900-01-01T10:41:00"/>
    <d v="1899-12-30T00:00:00"/>
    <n v="0"/>
    <d v="1899-12-30T00:00:00"/>
    <s v="Não"/>
    <s v="00:02.73"/>
    <n v="11"/>
    <n v="0"/>
    <d v="1899-12-30T00:58:39"/>
    <d v="1899-12-30T00:58:41"/>
    <n v="10"/>
    <n v="26"/>
  </r>
  <r>
    <x v="2"/>
    <d v="2021-04-13T19:10:35"/>
    <s v="false"/>
    <s v="Blumenau Corrida"/>
    <n v="5.03"/>
    <n v="414"/>
    <d v="1899-12-30T00:34:56"/>
    <n v="156"/>
    <n v="180"/>
    <s v="--"/>
    <s v="--"/>
    <s v="--"/>
    <d v="1899-12-30T06:56:00"/>
    <d v="1899-12-30T04:00:00"/>
    <n v="103"/>
    <n v="102"/>
    <n v="0"/>
    <n v="0"/>
    <n v="0"/>
    <n v="0"/>
    <n v="0"/>
    <n v="0"/>
    <s v="--"/>
    <s v="--"/>
    <d v="1899-12-31T10:56:00"/>
    <d v="1899-12-30T00:00:00"/>
    <n v="0"/>
    <d v="1899-12-30T00:00:00"/>
    <s v="Não"/>
    <s v="02:19.44"/>
    <n v="8"/>
    <n v="0"/>
    <d v="1899-12-30T00:29:10"/>
    <d v="1899-12-30T00:34:56"/>
    <n v="11"/>
    <n v="25"/>
  </r>
  <r>
    <x v="2"/>
    <d v="2021-04-13T18:17:18"/>
    <s v="false"/>
    <s v="Corrida"/>
    <n v="0.01"/>
    <s v="--"/>
    <d v="1899-12-30T00:00:06"/>
    <n v="66"/>
    <n v="70"/>
    <n v="1"/>
    <n v="60"/>
    <n v="120"/>
    <d v="1899-12-30T13:13:00"/>
    <d v="1899-12-30T07:28:00"/>
    <s v="--"/>
    <s v="--"/>
    <n v="1.26"/>
    <n v="0"/>
    <n v="0"/>
    <n v="0"/>
    <n v="0"/>
    <n v="0"/>
    <s v="--"/>
    <s v="--"/>
    <d v="1899-12-30T00:00:06"/>
    <d v="1899-12-30T00:00:00"/>
    <n v="0"/>
    <d v="1899-12-30T00:00:00"/>
    <s v="Não"/>
    <s v="00:01.16"/>
    <n v="2"/>
    <n v="0"/>
    <d v="1899-12-30T00:00:03"/>
    <d v="1899-12-30T00:00:19"/>
    <s v="--"/>
    <s v="--"/>
  </r>
  <r>
    <x v="2"/>
    <d v="2021-04-10T07:20:00"/>
    <s v="false"/>
    <s v="Blumenau - Run Workout"/>
    <n v="7.01"/>
    <n v="471"/>
    <d v="1899-12-30T00:38:21"/>
    <n v="179"/>
    <n v="190"/>
    <n v="4.5999999999999996"/>
    <n v="166"/>
    <n v="174"/>
    <d v="1899-12-30T05:28:00"/>
    <d v="1899-12-30T05:12:00"/>
    <n v="3"/>
    <n v="17"/>
    <n v="1.1000000000000001"/>
    <n v="0"/>
    <n v="0"/>
    <n v="0"/>
    <n v="0"/>
    <n v="0"/>
    <s v="--"/>
    <s v="--"/>
    <d v="1899-12-31T14:21:00"/>
    <d v="1899-12-30T00:00:00"/>
    <n v="0"/>
    <d v="1899-12-30T00:00:00"/>
    <s v="Não"/>
    <s v="00:04.80"/>
    <n v="2"/>
    <n v="0"/>
    <d v="1899-12-30T00:38:21"/>
    <d v="1899-12-30T00:38:21"/>
    <n v="12"/>
    <n v="28"/>
  </r>
  <r>
    <x v="2"/>
    <d v="2021-04-08T17:39:09"/>
    <s v="false"/>
    <s v="Corrida"/>
    <n v="10.029999999999999"/>
    <n v="663"/>
    <d v="1899-12-30T00:57:27"/>
    <n v="174"/>
    <n v="188"/>
    <n v="5"/>
    <n v="160"/>
    <n v="168"/>
    <d v="1899-12-30T05:44:00"/>
    <d v="1899-12-30T04:49:00"/>
    <s v="--"/>
    <s v="--"/>
    <n v="1.0900000000000001"/>
    <n v="0"/>
    <n v="0"/>
    <n v="0"/>
    <n v="0"/>
    <n v="0"/>
    <s v="--"/>
    <s v="--"/>
    <d v="1900-01-01T09:27:00"/>
    <d v="1899-12-30T00:00:00"/>
    <n v="0"/>
    <d v="1899-12-30T00:00:00"/>
    <s v="Não"/>
    <s v="00:08.53"/>
    <n v="11"/>
    <n v="0"/>
    <d v="1899-12-30T00:57:26"/>
    <d v="1899-12-30T00:57:27"/>
    <s v="--"/>
    <s v="--"/>
  </r>
  <r>
    <x v="2"/>
    <d v="2021-04-06T17:51:05"/>
    <s v="false"/>
    <s v="Blumenau - 15 x 400 - intervalo 1 minuto caminhando"/>
    <n v="11.35"/>
    <n v="774"/>
    <d v="1899-12-30T01:10:25"/>
    <n v="168"/>
    <n v="187"/>
    <n v="5"/>
    <n v="154"/>
    <n v="175"/>
    <d v="1899-12-30T06:12:00"/>
    <d v="1899-12-30T02:30:00"/>
    <n v="13"/>
    <n v="20"/>
    <n v="1.03"/>
    <n v="0"/>
    <n v="0"/>
    <n v="0"/>
    <n v="0"/>
    <n v="0"/>
    <s v="--"/>
    <s v="--"/>
    <d v="1899-12-30T01:10:25"/>
    <d v="1899-12-30T00:00:00"/>
    <n v="0"/>
    <d v="1899-12-30T00:00:00"/>
    <s v="Não"/>
    <s v="00:01.31"/>
    <n v="33"/>
    <n v="0"/>
    <d v="1899-12-30T01:10:08"/>
    <d v="1899-12-30T01:10:25"/>
    <n v="9"/>
    <n v="26"/>
  </r>
  <r>
    <x v="2"/>
    <d v="2021-04-02T07:00:18"/>
    <s v="false"/>
    <s v="Blumenau - 4 x 2km com intervalo 3min caminhando"/>
    <n v="11.18"/>
    <n v="687"/>
    <d v="1899-12-30T01:08:33"/>
    <n v="165"/>
    <n v="186"/>
    <n v="4.0999999999999996"/>
    <n v="150"/>
    <n v="171"/>
    <d v="1899-12-30T06:08:00"/>
    <d v="1899-12-30T04:36:00"/>
    <n v="35"/>
    <n v="37"/>
    <n v="1.08"/>
    <n v="0"/>
    <n v="0"/>
    <n v="0"/>
    <n v="0"/>
    <n v="0"/>
    <s v="--"/>
    <s v="--"/>
    <d v="1899-12-30T01:08:33"/>
    <d v="1899-12-30T00:00:00"/>
    <n v="0"/>
    <d v="1899-12-30T00:00:00"/>
    <s v="Não"/>
    <s v="03:00.00"/>
    <n v="10"/>
    <n v="0"/>
    <d v="1899-12-30T01:08:32"/>
    <d v="1899-12-30T01:08:51"/>
    <n v="9"/>
    <n v="25"/>
  </r>
  <r>
    <x v="2"/>
    <d v="2021-03-30T17:41:01"/>
    <s v="false"/>
    <s v="Blumenau - 12 x 300m moderado/forte com 100m leve"/>
    <n v="8.3000000000000007"/>
    <n v="484"/>
    <d v="1899-12-30T00:57:04"/>
    <n v="157"/>
    <n v="229"/>
    <s v="--"/>
    <n v="142"/>
    <n v="177"/>
    <d v="1899-12-30T06:52:00"/>
    <d v="1899-12-30T03:47:00"/>
    <n v="35"/>
    <n v="37"/>
    <n v="1"/>
    <n v="0"/>
    <n v="0"/>
    <n v="0"/>
    <n v="0"/>
    <n v="0"/>
    <s v="--"/>
    <s v="--"/>
    <d v="1900-01-01T09:04:00"/>
    <d v="1899-12-30T00:00:00"/>
    <n v="0"/>
    <d v="1899-12-30T00:00:00"/>
    <s v="Não"/>
    <s v="00:45.62"/>
    <n v="27"/>
    <n v="0"/>
    <d v="1899-12-30T00:56:45"/>
    <d v="1899-12-30T00:57:04"/>
    <n v="9"/>
    <n v="26"/>
  </r>
  <r>
    <x v="2"/>
    <d v="2021-03-27T07:13:10"/>
    <s v="false"/>
    <s v="Blumenau Corrida"/>
    <n v="12.34"/>
    <n v="904"/>
    <d v="1899-12-30T01:20:02"/>
    <n v="173"/>
    <n v="188"/>
    <n v="5"/>
    <n v="152"/>
    <n v="169"/>
    <d v="1899-12-30T06:29:00"/>
    <d v="1899-12-30T05:23:00"/>
    <n v="156"/>
    <n v="165"/>
    <n v="1.01"/>
    <n v="0"/>
    <n v="0"/>
    <n v="0"/>
    <n v="0"/>
    <n v="0"/>
    <s v="--"/>
    <s v="--"/>
    <d v="1899-12-30T01:20:02"/>
    <d v="1899-12-30T00:00:00"/>
    <n v="0"/>
    <d v="1899-12-30T00:00:00"/>
    <s v="Não"/>
    <s v="02:03.27"/>
    <n v="13"/>
    <n v="0"/>
    <d v="1899-12-30T01:20:00"/>
    <d v="1899-12-30T01:20:02"/>
    <n v="16"/>
    <n v="109"/>
  </r>
  <r>
    <x v="2"/>
    <d v="2021-03-23T17:41:33"/>
    <s v="false"/>
    <s v="Blumenau - Progressivo - leve p/ forte"/>
    <n v="6.01"/>
    <n v="396"/>
    <d v="1899-12-30T00:37:11"/>
    <n v="164"/>
    <n v="187"/>
    <n v="3.8"/>
    <n v="159"/>
    <n v="171"/>
    <d v="1899-12-30T06:11:00"/>
    <d v="1899-12-30T04:51:00"/>
    <s v="--"/>
    <n v="13"/>
    <n v="1.01"/>
    <n v="0"/>
    <n v="0"/>
    <n v="0"/>
    <n v="0"/>
    <n v="0"/>
    <s v="--"/>
    <s v="--"/>
    <d v="1899-12-31T13:11:00"/>
    <d v="1899-12-30T00:00:00"/>
    <n v="0"/>
    <d v="1899-12-30T00:00:00"/>
    <s v="Não"/>
    <s v="00:03.92"/>
    <n v="4"/>
    <n v="0"/>
    <d v="1899-12-30T00:37:11"/>
    <d v="1899-12-30T00:37:11"/>
    <n v="9"/>
    <n v="25"/>
  </r>
  <r>
    <x v="2"/>
    <d v="2021-03-21T08:03:17"/>
    <s v="false"/>
    <s v="Blumenau Corrida"/>
    <n v="9.42"/>
    <n v="693"/>
    <d v="1899-12-30T01:00:01"/>
    <n v="175"/>
    <n v="188"/>
    <n v="5"/>
    <n v="156"/>
    <n v="172"/>
    <d v="1899-12-30T06:22:00"/>
    <d v="1899-12-30T04:27:00"/>
    <n v="29"/>
    <n v="34"/>
    <n v="1.01"/>
    <n v="0"/>
    <n v="0"/>
    <n v="0"/>
    <n v="0"/>
    <n v="0"/>
    <s v="--"/>
    <s v="--"/>
    <d v="1899-12-30T01:00:01"/>
    <d v="1899-12-30T00:00:00"/>
    <n v="0"/>
    <d v="1899-12-30T00:00:00"/>
    <s v="Não"/>
    <s v="03:26.45"/>
    <n v="10"/>
    <n v="0"/>
    <d v="1899-12-30T00:59:59"/>
    <d v="1899-12-30T01:00:01"/>
    <n v="9"/>
    <n v="26"/>
  </r>
  <r>
    <x v="2"/>
    <d v="2021-03-18T06:15:35"/>
    <s v="false"/>
    <s v="Blumenau - 6 x 2:30 - 2:30 com 2km aquec e 2km desaquec"/>
    <n v="9.41"/>
    <n v="673"/>
    <d v="1899-12-30T01:02:37"/>
    <n v="168"/>
    <n v="192"/>
    <n v="4.5"/>
    <n v="151"/>
    <n v="171"/>
    <d v="1899-12-30T06:39:00"/>
    <d v="1899-12-30T04:13:00"/>
    <n v="12"/>
    <n v="14"/>
    <n v="0.99"/>
    <n v="0"/>
    <n v="0"/>
    <n v="0"/>
    <n v="0"/>
    <n v="0"/>
    <s v="--"/>
    <s v="--"/>
    <d v="1899-12-30T01:02:37"/>
    <d v="1899-12-30T00:00:00"/>
    <n v="0"/>
    <d v="1899-12-30T00:00:00"/>
    <s v="Não"/>
    <s v="02:30.00"/>
    <n v="15"/>
    <n v="0"/>
    <d v="1899-12-30T01:02:19"/>
    <d v="1899-12-30T01:02:37"/>
    <n v="12"/>
    <n v="30"/>
  </r>
  <r>
    <x v="2"/>
    <d v="2021-03-16T06:06:17"/>
    <s v="false"/>
    <s v="Blumenau Corrida"/>
    <n v="10.02"/>
    <n v="723"/>
    <d v="1899-12-30T01:07:48"/>
    <n v="164"/>
    <n v="185"/>
    <n v="4.2"/>
    <n v="148"/>
    <n v="166"/>
    <d v="1899-12-30T06:46:00"/>
    <d v="1899-12-30T05:35:00"/>
    <n v="115"/>
    <n v="121"/>
    <n v="1"/>
    <n v="0"/>
    <n v="0"/>
    <n v="0"/>
    <n v="0"/>
    <n v="0"/>
    <s v="--"/>
    <s v="--"/>
    <d v="1899-12-30T01:07:48"/>
    <d v="1899-12-30T00:00:00"/>
    <n v="0"/>
    <d v="1899-12-30T00:00:00"/>
    <s v="Não"/>
    <s v="00:04.70"/>
    <n v="11"/>
    <n v="0"/>
    <d v="1899-12-30T01:07:46"/>
    <d v="1899-12-30T01:07:48"/>
    <n v="17"/>
    <n v="51"/>
  </r>
  <r>
    <x v="2"/>
    <d v="2021-03-07T07:54:09"/>
    <s v="false"/>
    <s v="Blumenau Corrida"/>
    <n v="15.39"/>
    <n v="1115"/>
    <d v="1899-12-30T01:41:24"/>
    <n v="168"/>
    <n v="184"/>
    <n v="4.5999999999999996"/>
    <n v="146"/>
    <n v="170"/>
    <d v="1899-12-30T06:35:00"/>
    <d v="1899-12-30T05:19:00"/>
    <n v="289"/>
    <n v="268"/>
    <n v="1.03"/>
    <n v="0"/>
    <n v="0"/>
    <n v="0"/>
    <n v="0"/>
    <n v="0"/>
    <s v="--"/>
    <s v="--"/>
    <d v="1899-12-30T01:41:24"/>
    <d v="1899-12-30T00:00:00"/>
    <n v="0"/>
    <d v="1899-12-30T00:00:00"/>
    <s v="Não"/>
    <s v="02:10.21"/>
    <n v="16"/>
    <n v="0"/>
    <d v="1899-12-30T01:41:14"/>
    <d v="1899-12-30T01:41:24"/>
    <n v="17"/>
    <n v="126"/>
  </r>
  <r>
    <x v="2"/>
    <d v="2021-03-04T06:30:41"/>
    <s v="false"/>
    <s v="Blumenau Corrida"/>
    <n v="8.01"/>
    <n v="547"/>
    <d v="1899-12-30T00:49:14"/>
    <n v="166"/>
    <n v="181"/>
    <n v="4.0999999999999996"/>
    <n v="161"/>
    <n v="168"/>
    <d v="1899-12-30T06:09:00"/>
    <d v="1899-12-30T05:21:00"/>
    <n v="96"/>
    <n v="98"/>
    <n v="1.01"/>
    <n v="0"/>
    <n v="0"/>
    <n v="0"/>
    <n v="0"/>
    <n v="0"/>
    <s v="--"/>
    <s v="--"/>
    <d v="1900-01-01T01:14:00"/>
    <d v="1899-12-30T00:00:00"/>
    <n v="0"/>
    <d v="1899-12-30T00:00:00"/>
    <s v="Não"/>
    <s v="00:02.66"/>
    <n v="9"/>
    <n v="0"/>
    <d v="1899-12-30T00:49:12"/>
    <d v="1899-12-30T00:49:14"/>
    <n v="17"/>
    <n v="52"/>
  </r>
  <r>
    <x v="2"/>
    <d v="2021-03-02T06:30:54"/>
    <s v="false"/>
    <s v="Blumenau - 10 X 1'30 subida&quot;"/>
    <n v="7.77"/>
    <n v="528"/>
    <d v="1899-12-30T01:12:42"/>
    <n v="145"/>
    <n v="182"/>
    <n v="3.2"/>
    <n v="135"/>
    <n v="177"/>
    <d v="1899-12-30T09:22:00"/>
    <d v="1899-12-30T02:31:00"/>
    <n v="256"/>
    <n v="265"/>
    <n v="0.79"/>
    <n v="0"/>
    <n v="0"/>
    <n v="0"/>
    <n v="0"/>
    <n v="0"/>
    <s v="--"/>
    <s v="--"/>
    <d v="1899-12-30T01:12:42"/>
    <d v="1899-12-30T00:00:00"/>
    <n v="0"/>
    <d v="1899-12-30T00:00:00"/>
    <s v="Não"/>
    <s v="00:04.61"/>
    <n v="23"/>
    <n v="0"/>
    <d v="1899-12-30T01:11:02"/>
    <d v="1899-12-30T01:12:42"/>
    <n v="10"/>
    <n v="42"/>
  </r>
  <r>
    <x v="2"/>
    <d v="2021-02-25T06:33:07"/>
    <s v="false"/>
    <s v="Blumenau - 2 x 5km com intervalo 5min caminhando"/>
    <n v="11.15"/>
    <n v="704"/>
    <d v="1899-12-30T01:09:08"/>
    <n v="167"/>
    <n v="188"/>
    <n v="4.5"/>
    <n v="155"/>
    <n v="173"/>
    <d v="1899-12-30T06:12:00"/>
    <d v="1899-12-30T02:30:00"/>
    <n v="25"/>
    <n v="32"/>
    <n v="1.03"/>
    <n v="0"/>
    <n v="0"/>
    <n v="0"/>
    <n v="0"/>
    <n v="0"/>
    <s v="--"/>
    <s v="--"/>
    <d v="1899-12-30T01:09:08"/>
    <d v="1899-12-30T00:00:00"/>
    <n v="0"/>
    <d v="1899-12-30T00:00:00"/>
    <s v="Não"/>
    <s v="03:18.82"/>
    <n v="5"/>
    <n v="0"/>
    <d v="1899-12-30T01:09:02"/>
    <d v="1899-12-30T01:09:08"/>
    <n v="10"/>
    <n v="26"/>
  </r>
  <r>
    <x v="2"/>
    <d v="2021-02-23T06:26:33"/>
    <s v="false"/>
    <s v="Blumenau - 3 x 2km com intervalo 3min caminhando"/>
    <n v="9.27"/>
    <n v="548"/>
    <d v="1899-12-30T01:01:33"/>
    <n v="163"/>
    <n v="188"/>
    <n v="4.3"/>
    <n v="144"/>
    <n v="171"/>
    <d v="1899-12-30T06:38:00"/>
    <d v="1899-12-30T04:44:00"/>
    <n v="10"/>
    <n v="14"/>
    <n v="1.02"/>
    <n v="0"/>
    <n v="0"/>
    <n v="0"/>
    <n v="0"/>
    <n v="0"/>
    <s v="--"/>
    <s v="--"/>
    <d v="1899-12-30T01:01:33"/>
    <d v="1899-12-30T00:00:00"/>
    <n v="0"/>
    <d v="1899-12-30T00:00:00"/>
    <s v="Não"/>
    <s v="03:00.00"/>
    <n v="8"/>
    <n v="0"/>
    <d v="1899-12-30T01:01:32"/>
    <d v="1899-12-30T01:01:33"/>
    <n v="12"/>
    <n v="29"/>
  </r>
  <r>
    <x v="2"/>
    <d v="2021-02-21T06:36:56"/>
    <s v="false"/>
    <s v="Ilhota Corrida"/>
    <n v="9.32"/>
    <n v="349"/>
    <d v="1899-12-30T03:42:39"/>
    <s v="--"/>
    <s v="--"/>
    <s v="--"/>
    <n v="54"/>
    <n v="244"/>
    <d v="1899-12-30T23:53:00"/>
    <d v="1899-12-30T02:46:00"/>
    <n v="658"/>
    <n v="666"/>
    <n v="0.82"/>
    <n v="0"/>
    <n v="0"/>
    <n v="0"/>
    <n v="0"/>
    <n v="0"/>
    <s v="--"/>
    <s v="--"/>
    <d v="1899-12-30T03:42:39"/>
    <d v="1899-12-30T00:00:00"/>
    <n v="0"/>
    <d v="1899-12-30T00:00:00"/>
    <s v="Não"/>
    <s v="05:16.08"/>
    <n v="10"/>
    <n v="0"/>
    <d v="1899-12-30T01:55:57"/>
    <d v="1899-12-30T03:42:39"/>
    <n v="218"/>
    <n v="805"/>
  </r>
  <r>
    <x v="2"/>
    <d v="2021-02-20T07:14:03"/>
    <s v="false"/>
    <s v="Blumenau Corrida"/>
    <n v="14.01"/>
    <n v="1011"/>
    <d v="1899-12-30T01:33:35"/>
    <n v="169"/>
    <n v="186"/>
    <n v="5"/>
    <n v="147"/>
    <n v="180"/>
    <d v="1899-12-30T06:41:00"/>
    <d v="1899-12-30T04:44:00"/>
    <n v="224"/>
    <n v="233"/>
    <n v="1.02"/>
    <n v="0"/>
    <n v="0"/>
    <n v="0"/>
    <n v="0"/>
    <n v="0"/>
    <s v="--"/>
    <s v="--"/>
    <d v="1899-12-30T01:33:35"/>
    <d v="1899-12-30T00:00:00"/>
    <n v="0"/>
    <d v="1899-12-30T00:00:00"/>
    <s v="Não"/>
    <s v="00:05.93"/>
    <n v="15"/>
    <n v="0"/>
    <d v="1899-12-30T01:33:33"/>
    <d v="1899-12-30T01:33:35"/>
    <n v="16"/>
    <n v="111"/>
  </r>
  <r>
    <x v="2"/>
    <d v="2021-02-18T06:37:03"/>
    <s v="false"/>
    <s v="Blumenau - Run Workout"/>
    <n v="10.01"/>
    <n v="683"/>
    <d v="1899-12-30T01:00:54"/>
    <n v="172"/>
    <n v="186"/>
    <n v="5"/>
    <n v="155"/>
    <n v="171"/>
    <d v="1899-12-30T06:05:00"/>
    <d v="1899-12-30T02:01:00"/>
    <n v="158"/>
    <n v="161"/>
    <n v="1.06"/>
    <n v="0"/>
    <n v="0"/>
    <n v="0"/>
    <n v="0"/>
    <n v="0"/>
    <s v="--"/>
    <s v="--"/>
    <d v="1899-12-30T01:00:54"/>
    <d v="1899-12-30T00:00:00"/>
    <n v="0"/>
    <d v="1899-12-30T00:00:00"/>
    <s v="Não"/>
    <s v="00:03.16"/>
    <n v="2"/>
    <n v="0"/>
    <d v="1899-12-30T01:00:35"/>
    <d v="1899-12-30T01:00:54"/>
    <n v="-35"/>
    <n v="56"/>
  </r>
  <r>
    <x v="2"/>
    <d v="2021-02-16T18:01:02"/>
    <s v="false"/>
    <s v="Blumenau - 4 x 1km com intervalo 3min caminhando"/>
    <n v="9.44"/>
    <n v="593"/>
    <d v="1899-12-30T01:09:36"/>
    <n v="157"/>
    <n v="187"/>
    <n v="3.8"/>
    <n v="137"/>
    <n v="168"/>
    <d v="1899-12-30T07:22:00"/>
    <d v="1899-12-30T04:27:00"/>
    <n v="22"/>
    <n v="24"/>
    <n v="0.97"/>
    <n v="0"/>
    <n v="0"/>
    <n v="0"/>
    <n v="0"/>
    <n v="0"/>
    <s v="--"/>
    <s v="--"/>
    <d v="1899-12-30T01:09:36"/>
    <d v="1899-12-30T00:00:00"/>
    <n v="0"/>
    <d v="1899-12-30T00:00:00"/>
    <s v="Não"/>
    <s v="03:00.00"/>
    <n v="11"/>
    <n v="0"/>
    <d v="1899-12-30T01:07:23"/>
    <d v="1899-12-30T01:09:36"/>
    <n v="9"/>
    <n v="26"/>
  </r>
  <r>
    <x v="2"/>
    <d v="2021-02-14T08:18:42"/>
    <s v="false"/>
    <s v="Blumenau Corrida"/>
    <n v="12.52"/>
    <n v="960"/>
    <d v="1899-12-30T01:27:17"/>
    <n v="174"/>
    <n v="188"/>
    <n v="5"/>
    <n v="143"/>
    <n v="170"/>
    <d v="1899-12-30T06:58:00"/>
    <d v="1899-12-30T05:25:00"/>
    <n v="259"/>
    <n v="240"/>
    <n v="1"/>
    <n v="0"/>
    <n v="0"/>
    <n v="0"/>
    <n v="0"/>
    <n v="0"/>
    <s v="--"/>
    <s v="--"/>
    <d v="1899-12-30T01:27:17"/>
    <d v="1899-12-30T00:00:00"/>
    <n v="0"/>
    <d v="1899-12-30T00:00:00"/>
    <s v="Não"/>
    <s v="03:00.45"/>
    <n v="13"/>
    <n v="0"/>
    <d v="1899-12-30T01:24:57"/>
    <d v="1899-12-30T01:27:17"/>
    <n v="18"/>
    <n v="127"/>
  </r>
  <r>
    <x v="2"/>
    <d v="2021-02-11T06:38:53"/>
    <s v="false"/>
    <s v="Blumenau - Run Workout"/>
    <n v="8.6300000000000008"/>
    <n v="583"/>
    <d v="1899-12-30T00:54:28"/>
    <n v="172"/>
    <n v="188"/>
    <n v="4.7"/>
    <n v="154"/>
    <n v="172"/>
    <d v="1899-12-30T06:19:00"/>
    <d v="1899-12-30T03:53:00"/>
    <n v="67"/>
    <n v="74"/>
    <n v="1.02"/>
    <n v="0"/>
    <n v="0"/>
    <n v="0"/>
    <n v="0"/>
    <n v="0"/>
    <s v="--"/>
    <s v="--"/>
    <d v="1900-01-01T06:28:00"/>
    <d v="1899-12-30T00:00:00"/>
    <n v="0"/>
    <d v="1899-12-30T00:00:00"/>
    <s v="Não"/>
    <s v="06:57.48"/>
    <n v="2"/>
    <n v="0"/>
    <d v="1899-12-30T00:54:20"/>
    <d v="1899-12-30T00:54:28"/>
    <n v="9"/>
    <n v="49"/>
  </r>
  <r>
    <x v="2"/>
    <d v="2021-02-09T06:29:20"/>
    <s v="false"/>
    <s v="Blumenau - 10 x 400 - intervalo 1 minuto"/>
    <n v="8.3000000000000007"/>
    <n v="562"/>
    <d v="1899-12-30T00:56:10"/>
    <n v="163"/>
    <n v="183"/>
    <n v="4.0999999999999996"/>
    <n v="139"/>
    <n v="173"/>
    <d v="1899-12-30T06:46:00"/>
    <d v="1899-12-30T03:16:00"/>
    <n v="10"/>
    <n v="20"/>
    <n v="1.07"/>
    <n v="0"/>
    <n v="0"/>
    <n v="0"/>
    <n v="0"/>
    <n v="0"/>
    <s v="--"/>
    <s v="--"/>
    <d v="1900-01-01T08:10:00"/>
    <d v="1899-12-30T00:00:00"/>
    <n v="0"/>
    <d v="1899-12-30T00:00:00"/>
    <s v="Não"/>
    <s v="00:02.67"/>
    <n v="23"/>
    <n v="0"/>
    <d v="1899-12-30T00:47:22"/>
    <d v="1899-12-30T00:56:10"/>
    <n v="9"/>
    <n v="26"/>
  </r>
  <r>
    <x v="2"/>
    <d v="2021-02-06T07:20:28"/>
    <s v="false"/>
    <s v="Blumenau - Run Workout"/>
    <n v="10.01"/>
    <n v="697"/>
    <d v="1899-12-30T01:06:23"/>
    <n v="168"/>
    <n v="181"/>
    <n v="4.5"/>
    <n v="146"/>
    <n v="171"/>
    <d v="1899-12-30T06:38:00"/>
    <d v="1899-12-30T03:11:00"/>
    <n v="126"/>
    <n v="126"/>
    <n v="1.04"/>
    <n v="0"/>
    <n v="0"/>
    <n v="0"/>
    <n v="0"/>
    <n v="0"/>
    <s v="--"/>
    <s v="--"/>
    <d v="1899-12-30T01:06:23"/>
    <d v="1899-12-30T00:00:00"/>
    <n v="0"/>
    <d v="1899-12-30T00:00:00"/>
    <s v="Não"/>
    <s v="20:26.31"/>
    <n v="2"/>
    <n v="0"/>
    <d v="1899-12-30T01:06:23"/>
    <d v="1899-12-30T01:06:23"/>
    <n v="17"/>
    <n v="50"/>
  </r>
  <r>
    <x v="2"/>
    <d v="2021-02-02T06:34:54"/>
    <s v="false"/>
    <s v="Blumenau - Run Workout"/>
    <n v="7"/>
    <n v="445"/>
    <d v="1899-12-30T00:44:30"/>
    <n v="163"/>
    <n v="180"/>
    <n v="3.9"/>
    <n v="155"/>
    <n v="170"/>
    <d v="1899-12-30T06:21:00"/>
    <d v="1899-12-30T01:43:00"/>
    <n v="53"/>
    <n v="64"/>
    <n v="1.02"/>
    <n v="0"/>
    <n v="0"/>
    <n v="0"/>
    <n v="0"/>
    <n v="0"/>
    <s v="--"/>
    <s v="--"/>
    <d v="1899-12-31T20:30:00"/>
    <d v="1899-12-30T00:00:00"/>
    <n v="0"/>
    <d v="1899-12-30T00:00:00"/>
    <s v="Não"/>
    <s v="00:03.29"/>
    <n v="2"/>
    <n v="0"/>
    <d v="1899-12-30T00:44:30"/>
    <d v="1899-12-30T00:44:30"/>
    <n v="9"/>
    <n v="49"/>
  </r>
  <r>
    <x v="2"/>
    <d v="2021-01-30T07:09:55"/>
    <s v="false"/>
    <s v="Gaspar Corrida"/>
    <n v="16.73"/>
    <n v="1528"/>
    <d v="1899-12-30T02:43:39"/>
    <n v="168"/>
    <n v="201"/>
    <n v="5"/>
    <n v="102"/>
    <n v="173"/>
    <d v="1899-12-30T09:47:00"/>
    <d v="1899-12-30T04:41:00"/>
    <n v="870"/>
    <n v="691"/>
    <n v="0.97"/>
    <n v="0"/>
    <n v="0"/>
    <n v="0"/>
    <n v="0"/>
    <n v="0"/>
    <s v="--"/>
    <s v="--"/>
    <d v="1899-12-30T02:43:39"/>
    <d v="1899-12-30T00:00:00"/>
    <n v="0"/>
    <d v="1899-12-30T00:00:00"/>
    <s v="Não"/>
    <s v="04:47.11"/>
    <n v="17"/>
    <n v="0"/>
    <d v="1899-12-30T02:20:35"/>
    <d v="1899-12-30T02:44:34"/>
    <n v="115"/>
    <n v="802"/>
  </r>
  <r>
    <x v="2"/>
    <d v="2021-01-28T06:33:35"/>
    <s v="false"/>
    <s v="Blumenau - Run Workout"/>
    <n v="8.64"/>
    <n v="588"/>
    <d v="1899-12-30T00:59:34"/>
    <n v="168"/>
    <n v="185"/>
    <n v="5"/>
    <n v="149"/>
    <n v="171"/>
    <d v="1899-12-30T06:54:00"/>
    <d v="1899-12-30T03:31:00"/>
    <n v="62"/>
    <n v="69"/>
    <n v="0.97"/>
    <n v="0"/>
    <n v="0"/>
    <n v="0"/>
    <n v="0"/>
    <n v="0"/>
    <s v="--"/>
    <s v="--"/>
    <d v="1900-01-01T11:34:00"/>
    <d v="1899-12-30T00:00:00"/>
    <n v="0"/>
    <d v="1899-12-30T00:00:00"/>
    <s v="Não"/>
    <s v="07:55.08"/>
    <n v="2"/>
    <n v="0"/>
    <d v="1899-12-30T00:58:39"/>
    <d v="1899-12-30T00:59:34"/>
    <n v="9"/>
    <n v="49"/>
  </r>
  <r>
    <x v="2"/>
    <d v="2021-01-26T06:33:32"/>
    <s v="false"/>
    <s v="Blumenau - Teste de 5km"/>
    <n v="8.36"/>
    <n v="523"/>
    <d v="1899-12-30T01:01:25"/>
    <n v="164"/>
    <n v="190"/>
    <n v="5"/>
    <n v="140"/>
    <n v="173"/>
    <d v="1899-12-30T07:21:00"/>
    <d v="1899-12-30T03:53:00"/>
    <n v="18"/>
    <n v="23"/>
    <n v="1.04"/>
    <n v="0"/>
    <n v="0"/>
    <n v="0"/>
    <n v="0"/>
    <n v="0"/>
    <s v="--"/>
    <s v="--"/>
    <d v="1899-12-30T01:01:25"/>
    <d v="1899-12-30T00:00:00"/>
    <n v="0"/>
    <d v="1899-12-30T00:00:00"/>
    <s v="Não"/>
    <s v="00:20.00"/>
    <n v="15"/>
    <n v="0"/>
    <d v="1899-12-30T00:58:30"/>
    <d v="1899-12-30T01:01:25"/>
    <n v="9"/>
    <n v="26"/>
  </r>
  <r>
    <x v="2"/>
    <d v="2021-01-23T07:17:01"/>
    <s v="false"/>
    <s v="Blumenau - Teste de 1km SUBIDA"/>
    <n v="7.89"/>
    <n v="531"/>
    <d v="1899-12-30T01:07:03"/>
    <n v="161"/>
    <n v="191"/>
    <n v="4.8"/>
    <n v="125"/>
    <n v="170"/>
    <d v="1899-12-30T08:30:00"/>
    <d v="1899-12-30T04:23:00"/>
    <n v="129"/>
    <n v="125"/>
    <n v="0.94"/>
    <n v="0"/>
    <n v="0"/>
    <n v="0"/>
    <n v="0"/>
    <n v="0"/>
    <s v="--"/>
    <s v="--"/>
    <d v="1899-12-30T01:07:03"/>
    <d v="1899-12-30T00:00:00"/>
    <n v="0"/>
    <d v="1899-12-30T00:00:00"/>
    <s v="Não"/>
    <s v="00:20.00"/>
    <n v="15"/>
    <n v="0"/>
    <d v="1899-12-30T01:02:59"/>
    <d v="1899-12-30T01:07:03"/>
    <n v="9"/>
    <n v="138"/>
  </r>
  <r>
    <x v="2"/>
    <d v="2021-01-19T06:34:00"/>
    <s v="false"/>
    <s v="Blumenau - Teste de 1km"/>
    <n v="6.52"/>
    <n v="353"/>
    <d v="1899-12-30T00:53:29"/>
    <n v="147"/>
    <n v="192"/>
    <n v="3.9"/>
    <n v="130"/>
    <n v="186"/>
    <d v="1899-12-30T08:12:00"/>
    <d v="1899-12-30T02:42:00"/>
    <n v="14"/>
    <n v="16"/>
    <n v="0.9"/>
    <n v="0"/>
    <n v="0"/>
    <n v="0"/>
    <n v="0"/>
    <n v="0"/>
    <s v="--"/>
    <s v="--"/>
    <d v="1900-01-01T05:29:00"/>
    <d v="1899-12-30T00:00:00"/>
    <n v="0"/>
    <d v="1899-12-30T00:00:00"/>
    <s v="Não"/>
    <s v="00:20.00"/>
    <n v="15"/>
    <n v="0"/>
    <d v="1899-12-30T00:51:02"/>
    <d v="1899-12-30T00:53:29"/>
    <n v="9"/>
    <n v="26"/>
  </r>
  <r>
    <x v="2"/>
    <d v="2021-01-16T07:10:16"/>
    <s v="false"/>
    <s v="Blumenau Corrida"/>
    <n v="5.91"/>
    <n v="383"/>
    <d v="1899-12-30T00:37:58"/>
    <n v="169"/>
    <n v="184"/>
    <n v="4.8"/>
    <n v="150"/>
    <n v="168"/>
    <d v="1899-12-30T06:26:00"/>
    <d v="1899-12-30T04:47:00"/>
    <n v="67"/>
    <n v="57"/>
    <n v="1.04"/>
    <n v="0"/>
    <n v="0"/>
    <n v="0"/>
    <n v="0"/>
    <n v="0"/>
    <s v="--"/>
    <s v="--"/>
    <d v="1899-12-31T13:58:00"/>
    <d v="1899-12-30T00:00:00"/>
    <n v="0"/>
    <d v="1899-12-30T00:00:00"/>
    <s v="Não"/>
    <s v="05:47.76"/>
    <n v="6"/>
    <n v="0"/>
    <d v="1899-12-30T00:37:57"/>
    <d v="1899-12-30T00:37:58"/>
    <n v="22"/>
    <n v="60"/>
  </r>
  <r>
    <x v="2"/>
    <d v="2021-01-14T06:37:16"/>
    <s v="false"/>
    <s v="Blumenau Corrida"/>
    <n v="8.01"/>
    <n v="521"/>
    <d v="1899-12-30T00:51:12"/>
    <n v="172"/>
    <n v="186"/>
    <n v="5"/>
    <n v="149"/>
    <n v="170"/>
    <d v="1899-12-30T06:23:00"/>
    <d v="1899-12-30T05:27:00"/>
    <n v="44"/>
    <n v="55"/>
    <n v="1.05"/>
    <n v="0"/>
    <n v="0"/>
    <n v="0"/>
    <n v="0"/>
    <n v="0"/>
    <s v="--"/>
    <s v="--"/>
    <d v="1900-01-01T03:12:00"/>
    <d v="1899-12-30T00:00:00"/>
    <n v="0"/>
    <d v="1899-12-30T00:00:00"/>
    <s v="Não"/>
    <s v="00:05.40"/>
    <n v="9"/>
    <n v="0"/>
    <d v="1899-12-30T00:50:56"/>
    <d v="1899-12-30T00:51:12"/>
    <n v="9"/>
    <n v="49"/>
  </r>
  <r>
    <x v="2"/>
    <d v="2021-01-12T07:08:13"/>
    <s v="false"/>
    <s v="Blumenau Corrida"/>
    <n v="8.01"/>
    <n v="550"/>
    <d v="1899-12-30T00:51:24"/>
    <n v="177"/>
    <n v="195"/>
    <n v="5"/>
    <n v="147"/>
    <n v="170"/>
    <d v="1899-12-30T06:25:00"/>
    <d v="1899-12-30T05:12:00"/>
    <n v="76"/>
    <n v="83"/>
    <n v="1.06"/>
    <n v="0"/>
    <n v="0"/>
    <n v="0"/>
    <n v="0"/>
    <n v="0"/>
    <s v="--"/>
    <s v="--"/>
    <d v="1900-01-01T03:24:00"/>
    <d v="1899-12-30T00:00:00"/>
    <n v="0"/>
    <d v="1899-12-30T00:00:00"/>
    <s v="Não"/>
    <s v="00:02.05"/>
    <n v="9"/>
    <n v="0"/>
    <d v="1899-12-30T00:51:22"/>
    <d v="1899-12-30T00:51:24"/>
    <n v="17"/>
    <n v="51"/>
  </r>
  <r>
    <x v="2"/>
    <d v="2020-12-31T10:06:13"/>
    <s v="false"/>
    <s v="Corrida"/>
    <n v="8.01"/>
    <n v="601"/>
    <d v="1899-12-30T00:48:30"/>
    <s v="--"/>
    <s v="--"/>
    <s v="--"/>
    <n v="156"/>
    <n v="164"/>
    <d v="1899-12-30T06:03:00"/>
    <d v="1899-12-30T04:59:00"/>
    <s v="--"/>
    <s v="--"/>
    <n v="1.06"/>
    <n v="0"/>
    <n v="0"/>
    <n v="0"/>
    <n v="0"/>
    <n v="0"/>
    <s v="--"/>
    <s v="--"/>
    <d v="1900-01-01T00:30:00"/>
    <d v="1899-12-30T00:00:00"/>
    <n v="0"/>
    <d v="1899-12-30T00:00:00"/>
    <s v="Não"/>
    <s v="00:02.35"/>
    <n v="9"/>
    <n v="0"/>
    <d v="1899-12-30T00:48:28"/>
    <d v="1899-12-30T00:48:30"/>
    <s v="--"/>
    <s v="--"/>
  </r>
  <r>
    <x v="2"/>
    <d v="2020-12-26T06:53:23"/>
    <s v="false"/>
    <s v="Corrida"/>
    <n v="12.01"/>
    <n v="900"/>
    <d v="1899-12-30T01:14:12"/>
    <s v="--"/>
    <s v="--"/>
    <s v="--"/>
    <n v="153"/>
    <n v="164"/>
    <d v="1899-12-30T06:11:00"/>
    <d v="1899-12-30T05:03:00"/>
    <s v="--"/>
    <s v="--"/>
    <n v="1.06"/>
    <n v="0"/>
    <n v="0"/>
    <n v="0"/>
    <n v="0"/>
    <n v="0"/>
    <s v="--"/>
    <s v="--"/>
    <d v="1899-12-30T01:14:12"/>
    <d v="1899-12-30T00:00:00"/>
    <n v="0"/>
    <d v="1899-12-30T00:00:00"/>
    <s v="Não"/>
    <s v="00:04.68"/>
    <n v="13"/>
    <n v="0"/>
    <d v="1899-12-30T01:14:10"/>
    <d v="1899-12-30T01:14:12"/>
    <s v="--"/>
    <s v="--"/>
  </r>
  <r>
    <x v="2"/>
    <d v="2020-12-22T06:37:37"/>
    <s v="false"/>
    <s v="Blumenau - 10 x 400 - intervalo 1 minuto"/>
    <n v="8.4499999999999993"/>
    <n v="585"/>
    <d v="1899-12-30T01:07:14"/>
    <s v="--"/>
    <s v="--"/>
    <s v="--"/>
    <n v="126"/>
    <n v="181"/>
    <d v="1899-12-30T07:57:00"/>
    <d v="1899-12-30T03:41:00"/>
    <n v="13"/>
    <n v="17"/>
    <n v="0.98"/>
    <n v="0"/>
    <n v="0"/>
    <n v="0"/>
    <n v="0"/>
    <n v="0"/>
    <s v="--"/>
    <s v="--"/>
    <d v="1899-12-30T01:07:14"/>
    <d v="1899-12-30T00:00:00"/>
    <n v="0"/>
    <d v="1899-12-30T00:00:00"/>
    <s v="Não"/>
    <s v="01:00.00"/>
    <n v="23"/>
    <n v="0"/>
    <d v="1899-12-30T00:58:50"/>
    <d v="1899-12-30T01:07:14"/>
    <n v="12"/>
    <n v="29"/>
  </r>
  <r>
    <x v="2"/>
    <d v="2020-12-20T20:48:46"/>
    <s v="false"/>
    <s v="Corrida"/>
    <n v="3.01"/>
    <n v="156"/>
    <d v="1899-12-30T00:34:40"/>
    <s v="--"/>
    <s v="--"/>
    <s v="--"/>
    <n v="112"/>
    <n v="130"/>
    <d v="1899-12-30T11:31:00"/>
    <d v="1899-12-30T09:30:00"/>
    <s v="--"/>
    <s v="--"/>
    <n v="0.78"/>
    <n v="0"/>
    <n v="0"/>
    <n v="0"/>
    <n v="0"/>
    <n v="0"/>
    <s v="--"/>
    <s v="--"/>
    <d v="1899-12-31T10:40:00"/>
    <d v="1899-12-30T00:00:00"/>
    <n v="0"/>
    <d v="1899-12-30T00:00:00"/>
    <s v="Não"/>
    <s v="00:07.04"/>
    <n v="4"/>
    <n v="0"/>
    <d v="1899-12-30T00:34:40"/>
    <d v="1899-12-30T00:34:40"/>
    <s v="--"/>
    <s v="--"/>
  </r>
  <r>
    <x v="2"/>
    <d v="2020-12-17T06:37:53"/>
    <s v="false"/>
    <s v="Blumenau - 8 x 500m com intervalo 2min caminhando"/>
    <n v="7.42"/>
    <n v="515"/>
    <d v="1899-12-30T00:52:59"/>
    <s v="--"/>
    <s v="--"/>
    <s v="--"/>
    <n v="138"/>
    <n v="240"/>
    <d v="1899-12-30T07:08:00"/>
    <d v="1899-12-30T03:44:00"/>
    <n v="15"/>
    <n v="17"/>
    <n v="0.98"/>
    <n v="0"/>
    <n v="0"/>
    <n v="0"/>
    <n v="0"/>
    <n v="0"/>
    <s v="--"/>
    <s v="--"/>
    <d v="1900-01-01T04:59:00"/>
    <d v="1899-12-30T00:00:00"/>
    <n v="0"/>
    <d v="1899-12-30T00:00:00"/>
    <s v="Não"/>
    <s v="02:00.00"/>
    <n v="18"/>
    <n v="0"/>
    <d v="1899-12-30T00:52:55"/>
    <d v="1899-12-30T00:52:59"/>
    <n v="12"/>
    <n v="29"/>
  </r>
  <r>
    <x v="2"/>
    <d v="2020-12-15T06:28:31"/>
    <s v="false"/>
    <s v="Corrida"/>
    <n v="8"/>
    <n v="565"/>
    <d v="1899-12-30T00:58:13"/>
    <s v="--"/>
    <s v="--"/>
    <s v="--"/>
    <n v="133"/>
    <n v="164"/>
    <d v="1899-12-30T07:16:00"/>
    <d v="1899-12-30T05:31:00"/>
    <s v="--"/>
    <s v="--"/>
    <n v="1.02"/>
    <n v="0"/>
    <n v="0"/>
    <n v="0"/>
    <n v="0"/>
    <n v="0"/>
    <s v="--"/>
    <s v="--"/>
    <d v="1900-01-01T10:13:00"/>
    <d v="1899-12-30T00:00:00"/>
    <n v="0"/>
    <d v="1899-12-30T00:00:00"/>
    <s v="Não"/>
    <s v="00:05.71"/>
    <n v="9"/>
    <n v="0"/>
    <d v="1899-12-30T00:58:11"/>
    <d v="1899-12-30T00:58:13"/>
    <s v="--"/>
    <s v="--"/>
  </r>
  <r>
    <x v="2"/>
    <d v="2020-12-13T07:22:58"/>
    <s v="false"/>
    <s v="Gaspar Corrida"/>
    <n v="13.44"/>
    <n v="885"/>
    <d v="1899-12-30T01:52:17"/>
    <s v="--"/>
    <s v="--"/>
    <s v="--"/>
    <n v="127"/>
    <n v="246"/>
    <d v="1899-12-30T08:21:00"/>
    <d v="1899-12-30T02:42:00"/>
    <n v="449"/>
    <n v="496"/>
    <n v="0.94"/>
    <n v="0"/>
    <n v="0"/>
    <n v="0"/>
    <n v="0"/>
    <n v="0"/>
    <s v="--"/>
    <s v="--"/>
    <d v="1899-12-30T01:52:17"/>
    <d v="1899-12-30T00:00:00"/>
    <n v="0"/>
    <d v="1899-12-30T00:00:00"/>
    <s v="Não"/>
    <s v="03:07.57"/>
    <n v="14"/>
    <n v="0"/>
    <d v="1899-12-30T01:48:39"/>
    <d v="1899-12-30T01:52:17"/>
    <n v="90"/>
    <n v="374"/>
  </r>
  <r>
    <x v="2"/>
    <d v="2020-12-10T06:43:18"/>
    <s v="false"/>
    <s v="Blumenau Corrida"/>
    <n v="7.34"/>
    <n v="505"/>
    <d v="1899-12-30T00:54:00"/>
    <s v="--"/>
    <s v="--"/>
    <s v="--"/>
    <n v="139"/>
    <n v="175"/>
    <d v="1899-12-30T07:22:00"/>
    <d v="1899-12-30T03:42:00"/>
    <n v="19"/>
    <n v="21"/>
    <n v="0.95"/>
    <n v="0"/>
    <n v="0"/>
    <n v="0"/>
    <n v="0"/>
    <n v="0"/>
    <s v="--"/>
    <s v="--"/>
    <d v="1900-01-01T06:00:00"/>
    <d v="1899-12-30T00:00:00"/>
    <n v="0"/>
    <d v="1899-12-30T00:00:00"/>
    <s v="Não"/>
    <s v="12:23.58"/>
    <n v="3"/>
    <n v="0"/>
    <d v="1899-12-30T00:54:00"/>
    <d v="1899-12-30T00:54:00"/>
    <n v="12"/>
    <n v="28"/>
  </r>
  <r>
    <x v="2"/>
    <d v="2020-12-08T06:34:04"/>
    <s v="false"/>
    <s v="Blumenau Corrida"/>
    <n v="7.38"/>
    <n v="496"/>
    <d v="1899-12-30T00:52:47"/>
    <s v="--"/>
    <s v="--"/>
    <s v="--"/>
    <n v="139"/>
    <n v="173"/>
    <d v="1899-12-30T07:09:00"/>
    <d v="1899-12-30T03:41:00"/>
    <n v="15"/>
    <n v="17"/>
    <n v="0.97"/>
    <n v="0"/>
    <n v="0"/>
    <n v="0"/>
    <n v="0"/>
    <n v="0"/>
    <s v="--"/>
    <s v="--"/>
    <d v="1900-01-01T04:47:00"/>
    <d v="1899-12-30T00:00:00"/>
    <n v="0"/>
    <d v="1899-12-30T00:00:00"/>
    <s v="Não"/>
    <s v="01:00.00"/>
    <n v="8"/>
    <n v="0"/>
    <d v="1899-12-30T00:52:25"/>
    <d v="1899-12-30T00:53:22"/>
    <n v="12"/>
    <n v="29"/>
  </r>
  <r>
    <x v="2"/>
    <d v="2020-12-05T07:09:03"/>
    <s v="false"/>
    <s v="Blumenau Corrida"/>
    <n v="7.54"/>
    <n v="536"/>
    <d v="1899-12-30T00:51:05"/>
    <s v="--"/>
    <s v="--"/>
    <s v="--"/>
    <n v="134"/>
    <n v="246"/>
    <d v="1899-12-30T06:46:00"/>
    <d v="1899-12-30T04:18:00"/>
    <n v="22"/>
    <n v="27"/>
    <n v="1.2"/>
    <n v="0"/>
    <n v="0"/>
    <n v="0"/>
    <n v="0"/>
    <n v="0"/>
    <s v="--"/>
    <s v="--"/>
    <d v="1900-01-01T03:05:00"/>
    <d v="1899-12-30T00:00:00"/>
    <n v="0"/>
    <d v="1899-12-30T00:00:00"/>
    <s v="Não"/>
    <s v="04:00.00"/>
    <n v="8"/>
    <n v="0"/>
    <d v="1899-12-30T00:44:04"/>
    <d v="1899-12-30T00:51:33"/>
    <n v="12"/>
    <n v="30"/>
  </r>
  <r>
    <x v="2"/>
    <d v="2020-12-01T18:34:24"/>
    <s v="false"/>
    <s v="Corrida"/>
    <n v="6.79"/>
    <n v="494"/>
    <d v="1899-12-30T00:40:03"/>
    <s v="--"/>
    <s v="--"/>
    <s v="--"/>
    <n v="155"/>
    <n v="161"/>
    <d v="1899-12-30T05:54:00"/>
    <d v="1899-12-30T05:19:00"/>
    <s v="--"/>
    <s v="--"/>
    <n v="1.0900000000000001"/>
    <n v="0"/>
    <n v="0"/>
    <n v="0"/>
    <n v="0"/>
    <n v="0"/>
    <s v="--"/>
    <s v="--"/>
    <d v="1899-12-31T16:03:00"/>
    <d v="1899-12-30T00:00:00"/>
    <n v="0"/>
    <d v="1899-12-30T00:00:00"/>
    <s v="Não"/>
    <s v="04:33.26"/>
    <n v="7"/>
    <n v="0"/>
    <d v="1899-12-30T00:40:02"/>
    <d v="1899-12-30T00:40:03"/>
    <s v="--"/>
    <s v="--"/>
  </r>
  <r>
    <x v="2"/>
    <d v="2020-11-28T06:10:16"/>
    <s v="false"/>
    <s v="Ilhota Corrida"/>
    <n v="22.01"/>
    <n v="1437"/>
    <d v="1899-12-30T02:50:34"/>
    <s v="--"/>
    <s v="--"/>
    <s v="--"/>
    <n v="124"/>
    <n v="182"/>
    <d v="1899-12-30T07:45:00"/>
    <d v="1899-12-30T04:20:00"/>
    <n v="858"/>
    <n v="861"/>
    <n v="1.04"/>
    <n v="0"/>
    <n v="0"/>
    <n v="0"/>
    <n v="0"/>
    <n v="0"/>
    <s v="--"/>
    <s v="--"/>
    <d v="1899-12-30T02:50:34"/>
    <d v="1899-12-30T00:00:00"/>
    <n v="0"/>
    <d v="1899-12-30T00:00:00"/>
    <s v="Não"/>
    <s v="00:05.52"/>
    <n v="23"/>
    <n v="0"/>
    <d v="1899-12-30T02:49:22"/>
    <d v="1899-12-30T02:50:34"/>
    <n v="209"/>
    <n v="514"/>
  </r>
  <r>
    <x v="2"/>
    <d v="2020-11-26T06:26:45"/>
    <s v="false"/>
    <s v="Blumenau Corrida"/>
    <n v="10.119999999999999"/>
    <n v="728"/>
    <d v="1899-12-30T01:02:06"/>
    <s v="--"/>
    <s v="--"/>
    <s v="--"/>
    <n v="158"/>
    <n v="171"/>
    <d v="1899-12-30T06:08:00"/>
    <d v="1899-12-30T04:59:00"/>
    <n v="45"/>
    <n v="50"/>
    <n v="1.03"/>
    <n v="0"/>
    <n v="0"/>
    <n v="0"/>
    <n v="0"/>
    <n v="0"/>
    <s v="--"/>
    <s v="--"/>
    <d v="1899-12-30T01:02:06"/>
    <d v="1899-12-30T00:00:00"/>
    <n v="0"/>
    <d v="1899-12-30T00:00:00"/>
    <s v="Não"/>
    <s v="01:21.53"/>
    <n v="11"/>
    <n v="0"/>
    <d v="1899-12-30T01:02:04"/>
    <d v="1899-12-30T01:02:06"/>
    <n v="12"/>
    <n v="41"/>
  </r>
  <r>
    <x v="2"/>
    <d v="2020-11-24T06:51:15"/>
    <s v="false"/>
    <s v="Blumenau Corrida"/>
    <n v="10.43"/>
    <n v="700"/>
    <d v="1899-12-30T01:13:12"/>
    <s v="--"/>
    <s v="--"/>
    <s v="--"/>
    <n v="134"/>
    <n v="173"/>
    <d v="1899-12-30T07:01:00"/>
    <d v="1899-12-30T03:59:00"/>
    <n v="32"/>
    <n v="35"/>
    <n v="1.02"/>
    <n v="0"/>
    <n v="0"/>
    <n v="0"/>
    <n v="0"/>
    <n v="0"/>
    <s v="--"/>
    <s v="--"/>
    <d v="1899-12-30T01:13:12"/>
    <d v="1899-12-30T00:00:00"/>
    <n v="0"/>
    <d v="1899-12-30T00:00:00"/>
    <s v="Não"/>
    <s v="01:00.00"/>
    <n v="26"/>
    <n v="0"/>
    <d v="1899-12-30T01:10:21"/>
    <d v="1899-12-30T01:13:12"/>
    <n v="12"/>
    <n v="28"/>
  </r>
  <r>
    <x v="2"/>
    <d v="2020-11-21T07:31:30"/>
    <s v="false"/>
    <s v="Blumenau Corrida"/>
    <n v="10.01"/>
    <n v="694"/>
    <d v="1899-12-30T01:03:31"/>
    <s v="--"/>
    <s v="--"/>
    <s v="--"/>
    <n v="151"/>
    <n v="168"/>
    <d v="1899-12-30T06:21:00"/>
    <d v="1899-12-30T04:08:00"/>
    <n v="143"/>
    <n v="144"/>
    <n v="1.04"/>
    <n v="0"/>
    <n v="0"/>
    <n v="0"/>
    <n v="0"/>
    <n v="0"/>
    <s v="--"/>
    <s v="--"/>
    <d v="1899-12-30T01:03:31"/>
    <d v="1899-12-30T00:00:00"/>
    <n v="0"/>
    <d v="1899-12-30T00:00:00"/>
    <s v="Não"/>
    <s v="00:01.88"/>
    <n v="11"/>
    <n v="0"/>
    <d v="1899-12-30T01:03:27"/>
    <d v="1899-12-30T01:03:31"/>
    <n v="20"/>
    <n v="78"/>
  </r>
  <r>
    <x v="2"/>
    <d v="2020-11-19T06:58:23"/>
    <s v="false"/>
    <s v="Corrida"/>
    <n v="5.01"/>
    <n v="365"/>
    <d v="1899-12-30T00:29:34"/>
    <s v="--"/>
    <s v="--"/>
    <s v="--"/>
    <n v="157"/>
    <n v="167"/>
    <d v="1899-12-30T05:54:00"/>
    <d v="1899-12-30T05:18:00"/>
    <s v="--"/>
    <s v="--"/>
    <n v="1.08"/>
    <n v="0"/>
    <n v="0"/>
    <n v="0"/>
    <n v="0"/>
    <n v="0"/>
    <s v="--"/>
    <s v="--"/>
    <d v="1899-12-31T05:34:00"/>
    <d v="1899-12-30T00:00:00"/>
    <n v="0"/>
    <d v="1899-12-30T00:00:00"/>
    <s v="Não"/>
    <s v="00:02.80"/>
    <n v="6"/>
    <n v="0"/>
    <d v="1899-12-30T00:29:33"/>
    <d v="1899-12-30T00:29:34"/>
    <s v="--"/>
    <s v="--"/>
  </r>
  <r>
    <x v="2"/>
    <d v="2020-11-17T06:39:41"/>
    <s v="false"/>
    <s v="Blumenau - 2 x 5km progressivo"/>
    <n v="9.82"/>
    <n v="713"/>
    <d v="1899-12-30T00:57:25"/>
    <s v="--"/>
    <s v="--"/>
    <s v="--"/>
    <n v="160"/>
    <n v="171"/>
    <d v="1899-12-30T05:51:00"/>
    <d v="1899-12-30T03:50:00"/>
    <n v="42"/>
    <n v="45"/>
    <n v="1.06"/>
    <n v="0"/>
    <n v="0"/>
    <n v="0"/>
    <n v="0"/>
    <n v="0"/>
    <s v="--"/>
    <s v="--"/>
    <d v="1900-01-01T09:25:00"/>
    <d v="1899-12-30T00:00:00"/>
    <n v="0"/>
    <d v="1899-12-30T00:00:00"/>
    <s v="Não"/>
    <s v="00:03.08"/>
    <n v="11"/>
    <n v="0"/>
    <d v="1899-12-30T00:57:23"/>
    <d v="1899-12-30T00:57:37"/>
    <n v="12"/>
    <n v="41"/>
  </r>
  <r>
    <x v="2"/>
    <d v="2020-11-15T07:56:58"/>
    <s v="false"/>
    <s v="Blumenau Corrida"/>
    <n v="12.01"/>
    <n v="843"/>
    <d v="1899-12-30T01:20:55"/>
    <s v="--"/>
    <s v="--"/>
    <s v="--"/>
    <n v="151"/>
    <n v="169"/>
    <d v="1899-12-30T06:44:00"/>
    <d v="1899-12-30T01:30:00"/>
    <n v="178"/>
    <n v="170"/>
    <n v="0.98"/>
    <n v="0"/>
    <n v="0"/>
    <n v="0"/>
    <n v="0"/>
    <n v="0"/>
    <s v="--"/>
    <s v="--"/>
    <d v="1899-12-30T01:20:55"/>
    <d v="1899-12-30T00:00:00"/>
    <n v="0"/>
    <d v="1899-12-30T00:00:00"/>
    <s v="Não"/>
    <s v="00:01.65"/>
    <n v="13"/>
    <n v="0"/>
    <d v="1899-12-30T01:19:30"/>
    <d v="1899-12-30T01:20:55"/>
    <n v="-6"/>
    <n v="78"/>
  </r>
  <r>
    <x v="2"/>
    <d v="2020-11-12T18:45:39"/>
    <s v="false"/>
    <s v="8 x 800m com intervalo 2min caminhando"/>
    <n v="8.84"/>
    <n v="607"/>
    <d v="1899-12-30T00:59:01"/>
    <s v="--"/>
    <s v="--"/>
    <s v="--"/>
    <n v="143"/>
    <n v="168"/>
    <d v="1899-12-30T06:41:00"/>
    <d v="1899-12-30T05:01:00"/>
    <s v="--"/>
    <s v="--"/>
    <n v="1.03"/>
    <n v="0"/>
    <n v="0"/>
    <n v="0"/>
    <n v="0"/>
    <n v="0"/>
    <s v="--"/>
    <s v="--"/>
    <d v="1900-01-01T11:01:00"/>
    <d v="1899-12-30T00:00:00"/>
    <n v="0"/>
    <d v="1899-12-30T00:00:00"/>
    <s v="Não"/>
    <s v="00:06.03"/>
    <n v="18"/>
    <n v="0"/>
    <d v="1899-12-30T00:58:57"/>
    <d v="1899-12-30T00:59:01"/>
    <s v="--"/>
    <s v="--"/>
  </r>
  <r>
    <x v="2"/>
    <d v="2020-11-10T06:36:49"/>
    <s v="false"/>
    <s v="Corrida"/>
    <n v="10.029999999999999"/>
    <n v="732"/>
    <d v="1899-12-30T01:03:26"/>
    <s v="--"/>
    <s v="--"/>
    <s v="--"/>
    <n v="156"/>
    <n v="164"/>
    <d v="1899-12-30T06:19:00"/>
    <d v="1899-12-30T05:38:00"/>
    <s v="--"/>
    <s v="--"/>
    <n v="1.02"/>
    <n v="0"/>
    <n v="0"/>
    <n v="0"/>
    <n v="0"/>
    <n v="0"/>
    <s v="--"/>
    <s v="--"/>
    <d v="1899-12-30T01:03:26"/>
    <d v="1899-12-30T00:00:00"/>
    <n v="0"/>
    <d v="1899-12-30T00:00:00"/>
    <s v="Não"/>
    <s v="00:12.12"/>
    <n v="11"/>
    <n v="0"/>
    <d v="1899-12-30T01:03:24"/>
    <d v="1899-12-30T01:03:26"/>
    <s v="--"/>
    <s v="--"/>
  </r>
  <r>
    <x v="2"/>
    <d v="2020-11-07T07:35:14"/>
    <s v="false"/>
    <s v="Blumenau - 10 x 200m SUBIDA"/>
    <n v="9.66"/>
    <n v="642"/>
    <d v="1899-12-30T01:10:38"/>
    <s v="--"/>
    <s v="--"/>
    <s v="--"/>
    <n v="144"/>
    <n v="175"/>
    <d v="1899-12-30T07:19:00"/>
    <d v="1899-12-30T04:55:00"/>
    <n v="176"/>
    <n v="179"/>
    <n v="0.94"/>
    <n v="0"/>
    <n v="0"/>
    <n v="0"/>
    <n v="0"/>
    <n v="0"/>
    <s v="--"/>
    <s v="--"/>
    <d v="1899-12-30T01:10:38"/>
    <d v="1899-12-30T00:00:00"/>
    <n v="0"/>
    <d v="1899-12-30T00:00:00"/>
    <s v="Não"/>
    <s v="01:06.85"/>
    <n v="22"/>
    <n v="0"/>
    <d v="1899-12-30T01:10:31"/>
    <d v="1899-12-30T01:11:49"/>
    <n v="12"/>
    <n v="40"/>
  </r>
  <r>
    <x v="2"/>
    <d v="2020-11-05T06:39:04"/>
    <s v="false"/>
    <s v="Blumenau Corrida"/>
    <n v="10.01"/>
    <n v="720"/>
    <d v="1899-12-30T00:58:46"/>
    <s v="--"/>
    <s v="--"/>
    <s v="--"/>
    <n v="161"/>
    <n v="171"/>
    <d v="1899-12-30T05:52:00"/>
    <d v="1899-12-30T05:12:00"/>
    <n v="71"/>
    <n v="75"/>
    <n v="1.05"/>
    <n v="0"/>
    <n v="0"/>
    <n v="0"/>
    <n v="0"/>
    <n v="0"/>
    <s v="--"/>
    <s v="--"/>
    <d v="1900-01-01T10:46:00"/>
    <d v="1899-12-30T00:00:00"/>
    <n v="0"/>
    <d v="1899-12-30T00:00:00"/>
    <s v="Não"/>
    <s v="00:02.86"/>
    <n v="11"/>
    <n v="0"/>
    <d v="1899-12-30T00:58:44"/>
    <d v="1899-12-30T00:58:46"/>
    <n v="12"/>
    <n v="56"/>
  </r>
  <r>
    <x v="2"/>
    <d v="2020-10-31T07:40:01"/>
    <s v="false"/>
    <s v="Blumenau Corrida"/>
    <n v="7.01"/>
    <n v="511"/>
    <d v="1899-12-30T00:42:09"/>
    <s v="--"/>
    <s v="--"/>
    <s v="--"/>
    <n v="161"/>
    <n v="170"/>
    <d v="1899-12-30T06:01:00"/>
    <d v="1899-12-30T05:04:00"/>
    <n v="75"/>
    <n v="77"/>
    <n v="1.03"/>
    <n v="0"/>
    <n v="0"/>
    <n v="0"/>
    <n v="0"/>
    <n v="0"/>
    <s v="--"/>
    <s v="--"/>
    <d v="1899-12-31T18:09:00"/>
    <d v="1899-12-30T00:00:00"/>
    <n v="0"/>
    <d v="1899-12-30T00:00:00"/>
    <s v="Não"/>
    <s v="00:03.85"/>
    <n v="8"/>
    <n v="0"/>
    <d v="1899-12-30T00:42:07"/>
    <d v="1899-12-30T00:42:09"/>
    <n v="20"/>
    <n v="63"/>
  </r>
  <r>
    <x v="2"/>
    <d v="2020-10-29T06:43:47"/>
    <s v="false"/>
    <s v="Blumenau Corrida"/>
    <n v="7.01"/>
    <n v="513"/>
    <d v="1899-12-30T00:41:18"/>
    <s v="--"/>
    <s v="--"/>
    <s v="--"/>
    <n v="159"/>
    <n v="170"/>
    <d v="1899-12-30T05:54:00"/>
    <d v="1899-12-30T05:13:00"/>
    <n v="53"/>
    <n v="54"/>
    <n v="1.07"/>
    <n v="0"/>
    <n v="0"/>
    <n v="0"/>
    <n v="0"/>
    <n v="0"/>
    <s v="--"/>
    <s v="--"/>
    <d v="1899-12-31T17:18:00"/>
    <d v="1899-12-30T00:00:00"/>
    <n v="0"/>
    <d v="1899-12-30T00:00:00"/>
    <s v="Não"/>
    <s v="00:02.58"/>
    <n v="8"/>
    <n v="0"/>
    <d v="1899-12-30T00:41:17"/>
    <d v="1899-12-30T00:41:18"/>
    <n v="12"/>
    <n v="56"/>
  </r>
  <r>
    <x v="2"/>
    <d v="2020-10-27T19:11:01"/>
    <s v="false"/>
    <s v="2 x 3km com intervalo 3min caminhando"/>
    <n v="7.56"/>
    <n v="539"/>
    <d v="1899-12-30T00:46:06"/>
    <s v="--"/>
    <s v="--"/>
    <s v="--"/>
    <n v="151"/>
    <n v="170"/>
    <d v="1899-12-30T06:06:00"/>
    <d v="1899-12-30T04:59:00"/>
    <s v="--"/>
    <s v="--"/>
    <n v="1.07"/>
    <n v="0"/>
    <n v="0"/>
    <n v="0"/>
    <n v="0"/>
    <n v="0"/>
    <s v="--"/>
    <s v="--"/>
    <d v="1899-12-31T22:06:00"/>
    <d v="1899-12-30T00:00:00"/>
    <n v="0"/>
    <d v="1899-12-30T00:00:00"/>
    <s v="Não"/>
    <s v="00:50.52"/>
    <n v="6"/>
    <n v="0"/>
    <d v="1899-12-30T00:45:41"/>
    <d v="1899-12-30T00:46:06"/>
    <s v="--"/>
    <s v="--"/>
  </r>
  <r>
    <x v="2"/>
    <d v="2020-10-24T07:58:44"/>
    <s v="false"/>
    <s v="Blumenau Corrida"/>
    <n v="11.58"/>
    <n v="834"/>
    <d v="1899-12-30T01:14:13"/>
    <s v="--"/>
    <s v="--"/>
    <s v="--"/>
    <n v="158"/>
    <n v="173"/>
    <d v="1899-12-30T06:24:00"/>
    <d v="1899-12-30T05:12:00"/>
    <n v="166"/>
    <n v="171"/>
    <n v="0.99"/>
    <n v="0"/>
    <n v="0"/>
    <n v="0"/>
    <n v="0"/>
    <n v="0"/>
    <s v="--"/>
    <s v="--"/>
    <d v="1899-12-30T01:14:13"/>
    <d v="1899-12-30T00:00:00"/>
    <n v="0"/>
    <d v="1899-12-30T00:00:00"/>
    <s v="Não"/>
    <s v="03:30.65"/>
    <n v="12"/>
    <n v="0"/>
    <d v="1899-12-30T01:14:12"/>
    <d v="1899-12-30T01:14:13"/>
    <n v="20"/>
    <n v="116"/>
  </r>
  <r>
    <x v="2"/>
    <d v="2020-10-22T18:09:48"/>
    <s v="false"/>
    <s v="6 x 1km com intervalo 3min parado"/>
    <n v="7.29"/>
    <n v="528"/>
    <d v="1899-12-30T00:55:44"/>
    <s v="--"/>
    <s v="--"/>
    <s v="--"/>
    <n v="114"/>
    <n v="170"/>
    <d v="1899-12-30T07:39:00"/>
    <d v="1899-12-30T04:36:00"/>
    <s v="--"/>
    <s v="--"/>
    <n v="1.1000000000000001"/>
    <n v="0"/>
    <n v="0"/>
    <n v="0"/>
    <n v="0"/>
    <n v="0"/>
    <s v="--"/>
    <s v="--"/>
    <d v="1900-01-01T07:44:00"/>
    <d v="1899-12-30T00:00:00"/>
    <n v="0"/>
    <d v="1899-12-30T00:00:00"/>
    <s v="Não"/>
    <s v="00:01.54"/>
    <n v="14"/>
    <n v="0"/>
    <d v="1899-12-30T00:47:54"/>
    <d v="1899-12-30T00:55:44"/>
    <s v="--"/>
    <s v="--"/>
  </r>
  <r>
    <x v="2"/>
    <d v="2020-10-20T06:33:32"/>
    <s v="false"/>
    <s v="Blumenau Corrida"/>
    <n v="10.01"/>
    <n v="731"/>
    <d v="1899-12-30T00:59:07"/>
    <s v="--"/>
    <s v="--"/>
    <s v="--"/>
    <n v="162"/>
    <n v="171"/>
    <d v="1899-12-30T05:54:00"/>
    <d v="1899-12-30T05:26:00"/>
    <n v="75"/>
    <n v="85"/>
    <n v="1.04"/>
    <n v="0"/>
    <n v="0"/>
    <n v="0"/>
    <n v="0"/>
    <n v="0"/>
    <s v="--"/>
    <s v="--"/>
    <d v="1900-01-01T11:07:00"/>
    <d v="1899-12-30T00:00:00"/>
    <n v="0"/>
    <d v="1899-12-30T00:00:00"/>
    <s v="Não"/>
    <s v="00:03.02"/>
    <n v="11"/>
    <n v="0"/>
    <d v="1899-12-30T00:59:05"/>
    <d v="1899-12-30T00:59:07"/>
    <n v="12"/>
    <n v="56"/>
  </r>
  <r>
    <x v="2"/>
    <d v="2020-10-18T08:25:22"/>
    <s v="false"/>
    <s v="Blumenau - 4 x 2km com intervalo 3min caminhando"/>
    <n v="11.2"/>
    <n v="776"/>
    <d v="1899-12-30T01:14:31"/>
    <s v="--"/>
    <s v="--"/>
    <s v="--"/>
    <n v="149"/>
    <n v="170"/>
    <d v="1899-12-30T06:39:00"/>
    <d v="1899-12-30T04:23:00"/>
    <n v="97"/>
    <n v="98"/>
    <n v="0.99"/>
    <n v="0"/>
    <n v="0"/>
    <n v="0"/>
    <n v="0"/>
    <n v="0"/>
    <s v="--"/>
    <s v="--"/>
    <d v="1899-12-30T01:14:31"/>
    <d v="1899-12-30T00:00:00"/>
    <n v="0"/>
    <d v="1899-12-30T00:00:00"/>
    <s v="Não"/>
    <s v="03:00.00"/>
    <n v="10"/>
    <n v="0"/>
    <d v="1899-12-30T01:14:30"/>
    <d v="1899-12-30T01:14:31"/>
    <n v="15"/>
    <n v="60"/>
  </r>
  <r>
    <x v="2"/>
    <d v="2020-10-15T06:38:53"/>
    <s v="false"/>
    <s v="Blumenau Corrida"/>
    <n v="10.01"/>
    <n v="720"/>
    <d v="1899-12-30T00:56:38"/>
    <s v="--"/>
    <s v="--"/>
    <s v="--"/>
    <n v="157"/>
    <n v="173"/>
    <d v="1899-12-30T05:40:00"/>
    <d v="1899-12-30T04:48:00"/>
    <n v="66"/>
    <n v="67"/>
    <n v="1.1200000000000001"/>
    <n v="0"/>
    <n v="0"/>
    <n v="0"/>
    <n v="0"/>
    <n v="0"/>
    <s v="--"/>
    <s v="--"/>
    <d v="1900-01-01T08:38:00"/>
    <d v="1899-12-30T00:00:00"/>
    <n v="0"/>
    <d v="1899-12-30T00:00:00"/>
    <s v="Não"/>
    <s v="00:02.06"/>
    <n v="11"/>
    <n v="0"/>
    <d v="1899-12-30T00:56:36"/>
    <d v="1899-12-30T00:56:38"/>
    <n v="12"/>
    <n v="56"/>
  </r>
  <r>
    <x v="2"/>
    <d v="2020-10-13T06:55:16"/>
    <s v="false"/>
    <s v="Blumenau - 8 x 600m com intervalo 2min caminhando"/>
    <n v="9.25"/>
    <n v="621"/>
    <d v="1899-12-30T01:03:17"/>
    <s v="--"/>
    <s v="--"/>
    <s v="--"/>
    <n v="142"/>
    <n v="169"/>
    <d v="1899-12-30T06:50:00"/>
    <d v="1899-12-30T04:49:00"/>
    <n v="17"/>
    <n v="23"/>
    <n v="1.02"/>
    <n v="0"/>
    <n v="0"/>
    <n v="0"/>
    <n v="0"/>
    <n v="0"/>
    <s v="--"/>
    <s v="--"/>
    <d v="1899-12-30T01:03:17"/>
    <d v="1899-12-30T00:00:00"/>
    <n v="0"/>
    <d v="1899-12-30T00:00:00"/>
    <s v="Não"/>
    <s v="02:00.00"/>
    <n v="18"/>
    <n v="0"/>
    <d v="1899-12-30T01:03:16"/>
    <d v="1899-12-30T01:03:17"/>
    <n v="12"/>
    <n v="28"/>
  </r>
  <r>
    <x v="2"/>
    <d v="2020-10-10T07:16:20"/>
    <s v="false"/>
    <s v="Blumenau Corrida"/>
    <n v="10.01"/>
    <n v="718"/>
    <d v="1899-12-30T00:59:33"/>
    <s v="--"/>
    <s v="--"/>
    <s v="--"/>
    <n v="159"/>
    <n v="173"/>
    <d v="1899-12-30T05:57:00"/>
    <d v="1899-12-30T03:55:00"/>
    <n v="118"/>
    <n v="125"/>
    <n v="1.05"/>
    <n v="0"/>
    <n v="0"/>
    <n v="0"/>
    <n v="0"/>
    <n v="0"/>
    <s v="--"/>
    <s v="--"/>
    <d v="1900-01-01T11:33:00"/>
    <d v="1899-12-30T00:00:00"/>
    <n v="0"/>
    <d v="1899-12-30T00:00:00"/>
    <s v="Não"/>
    <s v="00:01.42"/>
    <n v="11"/>
    <n v="0"/>
    <d v="1899-12-30T00:59:15"/>
    <d v="1899-12-30T00:59:33"/>
    <n v="20"/>
    <n v="59"/>
  </r>
  <r>
    <x v="2"/>
    <d v="2020-10-06T06:44:21"/>
    <s v="false"/>
    <s v="Blumenau Corrida"/>
    <n v="7.62"/>
    <n v="561"/>
    <d v="1899-12-30T00:45:01"/>
    <s v="--"/>
    <s v="--"/>
    <s v="--"/>
    <n v="163"/>
    <n v="171"/>
    <d v="1899-12-30T05:55:00"/>
    <d v="1899-12-30T04:08:00"/>
    <n v="48"/>
    <n v="62"/>
    <n v="1.04"/>
    <n v="0"/>
    <n v="0"/>
    <n v="0"/>
    <n v="0"/>
    <n v="0"/>
    <s v="--"/>
    <s v="--"/>
    <d v="1899-12-31T21:01:00"/>
    <d v="1899-12-30T00:00:00"/>
    <n v="0"/>
    <d v="1899-12-30T00:00:00"/>
    <s v="Não"/>
    <s v="03:27.49"/>
    <n v="8"/>
    <n v="0"/>
    <d v="1899-12-30T00:44:53"/>
    <d v="1899-12-30T00:45:01"/>
    <n v="12"/>
    <n v="56"/>
  </r>
  <r>
    <x v="2"/>
    <d v="2020-10-04T09:13:23"/>
    <s v="false"/>
    <s v="Blumenau Corrida"/>
    <n v="10.01"/>
    <n v="730"/>
    <d v="1899-12-30T00:57:39"/>
    <s v="--"/>
    <s v="--"/>
    <s v="--"/>
    <n v="164"/>
    <n v="173"/>
    <d v="1899-12-30T05:46:00"/>
    <d v="1899-12-30T05:02:00"/>
    <n v="57"/>
    <n v="59"/>
    <n v="1.06"/>
    <n v="0"/>
    <n v="0"/>
    <n v="0"/>
    <n v="0"/>
    <n v="0"/>
    <s v="--"/>
    <s v="--"/>
    <d v="1900-01-01T09:39:00"/>
    <d v="1899-12-30T00:00:00"/>
    <n v="0"/>
    <d v="1899-12-30T00:00:00"/>
    <s v="Não"/>
    <s v="00:02.88"/>
    <n v="11"/>
    <n v="0"/>
    <d v="1899-12-30T00:57:37"/>
    <d v="1899-12-30T00:57:39"/>
    <n v="12"/>
    <n v="56"/>
  </r>
  <r>
    <x v="2"/>
    <d v="2020-10-01T06:44:56"/>
    <s v="false"/>
    <s v="Blumenau - Progressivo - leve p/ forte"/>
    <n v="6.01"/>
    <n v="444"/>
    <d v="1899-12-30T00:37:21"/>
    <s v="--"/>
    <s v="--"/>
    <s v="--"/>
    <n v="162"/>
    <n v="170"/>
    <d v="1899-12-30T06:13:00"/>
    <d v="1899-12-30T05:07:00"/>
    <n v="6"/>
    <n v="22"/>
    <n v="0.99"/>
    <n v="0"/>
    <n v="0"/>
    <n v="0"/>
    <n v="0"/>
    <n v="0"/>
    <s v="--"/>
    <s v="--"/>
    <d v="1899-12-31T13:21:00"/>
    <d v="1899-12-30T00:00:00"/>
    <n v="0"/>
    <d v="1899-12-30T00:00:00"/>
    <s v="Não"/>
    <s v="00:03.76"/>
    <n v="4"/>
    <n v="0"/>
    <d v="1899-12-30T00:37:19"/>
    <d v="1899-12-30T00:37:21"/>
    <n v="12"/>
    <n v="29"/>
  </r>
  <r>
    <x v="2"/>
    <d v="2020-09-29T06:40:27"/>
    <s v="false"/>
    <s v="Blumenau - Run Workout"/>
    <n v="9.01"/>
    <n v="665"/>
    <d v="1899-12-30T00:55:23"/>
    <s v="--"/>
    <s v="--"/>
    <s v="--"/>
    <n v="162"/>
    <n v="171"/>
    <d v="1899-12-30T06:09:00"/>
    <d v="1899-12-30T04:43:00"/>
    <n v="10"/>
    <n v="17"/>
    <n v="1"/>
    <n v="0"/>
    <n v="0"/>
    <n v="0"/>
    <n v="0"/>
    <n v="0"/>
    <s v="--"/>
    <s v="--"/>
    <d v="1900-01-01T07:23:00"/>
    <d v="1899-12-30T00:00:00"/>
    <n v="0"/>
    <d v="1899-12-30T00:00:00"/>
    <s v="Não"/>
    <s v="00:02.98"/>
    <n v="4"/>
    <n v="0"/>
    <d v="1899-12-30T00:55:23"/>
    <d v="1899-12-30T00:55:23"/>
    <n v="12"/>
    <n v="29"/>
  </r>
  <r>
    <x v="2"/>
    <d v="2020-09-27T07:52:59"/>
    <s v="false"/>
    <s v="Blumenau - 10 x 1min Moderado/Forte - 2min leve"/>
    <n v="7.87"/>
    <n v="577"/>
    <d v="1899-12-30T00:50:11"/>
    <s v="--"/>
    <s v="--"/>
    <s v="--"/>
    <n v="161"/>
    <n v="169"/>
    <d v="1899-12-30T06:23:00"/>
    <d v="1899-12-30T04:05:00"/>
    <n v="7"/>
    <n v="21"/>
    <n v="0.97"/>
    <n v="0"/>
    <n v="0"/>
    <n v="0"/>
    <n v="0"/>
    <n v="0"/>
    <s v="--"/>
    <s v="--"/>
    <d v="1900-01-01T02:11:00"/>
    <d v="1899-12-30T00:00:00"/>
    <n v="0"/>
    <d v="1899-12-30T00:00:00"/>
    <s v="Não"/>
    <s v="00:07.58"/>
    <n v="22"/>
    <n v="0"/>
    <d v="1899-12-30T00:50:10"/>
    <d v="1899-12-30T00:50:11"/>
    <n v="12"/>
    <n v="29"/>
  </r>
  <r>
    <x v="2"/>
    <d v="2020-09-24T07:09:25"/>
    <s v="false"/>
    <s v="Blumenau Corrida"/>
    <n v="8.0299999999999994"/>
    <n v="579"/>
    <d v="1899-12-30T00:47:55"/>
    <s v="--"/>
    <s v="--"/>
    <s v="--"/>
    <n v="160"/>
    <n v="173"/>
    <d v="1899-12-30T05:58:00"/>
    <d v="1899-12-30T04:25:00"/>
    <n v="82"/>
    <n v="83"/>
    <n v="1.05"/>
    <n v="0"/>
    <n v="0"/>
    <n v="0"/>
    <n v="0"/>
    <n v="0"/>
    <s v="--"/>
    <s v="--"/>
    <d v="1899-12-31T23:55:00"/>
    <d v="1899-12-30T00:00:00"/>
    <n v="0"/>
    <d v="1899-12-30T00:00:00"/>
    <s v="Não"/>
    <s v="00:09.28"/>
    <n v="9"/>
    <n v="0"/>
    <d v="1899-12-30T00:47:54"/>
    <d v="1899-12-30T00:47:55"/>
    <n v="22"/>
    <n v="61"/>
  </r>
  <r>
    <x v="2"/>
    <d v="2020-09-22T07:12:19"/>
    <s v="false"/>
    <s v="Blumenau Corrida"/>
    <n v="5.3"/>
    <n v="374"/>
    <d v="1899-12-30T00:34:34"/>
    <s v="--"/>
    <s v="--"/>
    <s v="--"/>
    <n v="121"/>
    <n v="173"/>
    <d v="1899-12-30T06:32:00"/>
    <d v="1899-12-30T00:17:00"/>
    <n v="9"/>
    <n v="12"/>
    <n v="1.24"/>
    <n v="0"/>
    <n v="0"/>
    <n v="0"/>
    <n v="0"/>
    <n v="0"/>
    <s v="--"/>
    <s v="--"/>
    <d v="1899-12-31T10:34:00"/>
    <d v="1899-12-30T00:00:00"/>
    <n v="0"/>
    <d v="1899-12-30T00:00:00"/>
    <s v="Não"/>
    <s v="00:03.91"/>
    <n v="22"/>
    <n v="0"/>
    <d v="1899-12-30T00:26:42"/>
    <d v="1899-12-30T00:34:36"/>
    <n v="12"/>
    <n v="23"/>
  </r>
  <r>
    <x v="2"/>
    <d v="2020-09-22T07:05:21"/>
    <s v="false"/>
    <s v="Blumenau Corrida"/>
    <n v="1.06"/>
    <n v="76"/>
    <d v="1899-12-30T00:06:37"/>
    <s v="--"/>
    <s v="--"/>
    <s v="--"/>
    <n v="155"/>
    <n v="162"/>
    <d v="1899-12-30T06:16:00"/>
    <d v="1899-12-30T05:42:00"/>
    <s v="--"/>
    <n v="8"/>
    <n v="1.03"/>
    <n v="0"/>
    <n v="0"/>
    <n v="0"/>
    <n v="0"/>
    <n v="0"/>
    <s v="--"/>
    <s v="--"/>
    <d v="1899-12-30T00:06:37"/>
    <d v="1899-12-30T00:00:00"/>
    <n v="0"/>
    <d v="1899-12-30T00:00:00"/>
    <s v="Não"/>
    <s v="00:09.83"/>
    <n v="3"/>
    <n v="0"/>
    <d v="1899-12-30T00:06:37"/>
    <d v="1899-12-30T00:06:38"/>
    <n v="18"/>
    <n v="29"/>
  </r>
  <r>
    <x v="2"/>
    <d v="2020-09-20T08:21:23"/>
    <s v="false"/>
    <s v="Blumenau Corrida"/>
    <n v="8.01"/>
    <n v="586"/>
    <d v="1899-12-30T00:46:36"/>
    <s v="--"/>
    <s v="--"/>
    <s v="--"/>
    <n v="160"/>
    <n v="169"/>
    <d v="1899-12-30T05:49:00"/>
    <d v="1899-12-30T03:30:00"/>
    <n v="48"/>
    <n v="48"/>
    <n v="1.07"/>
    <n v="0"/>
    <n v="0"/>
    <n v="0"/>
    <n v="0"/>
    <n v="0"/>
    <s v="--"/>
    <s v="--"/>
    <d v="1899-12-31T22:36:00"/>
    <d v="1899-12-30T00:00:00"/>
    <n v="0"/>
    <d v="1899-12-30T00:00:00"/>
    <s v="Não"/>
    <s v="00:02.36"/>
    <n v="9"/>
    <n v="0"/>
    <d v="1899-12-30T00:46:34"/>
    <d v="1899-12-30T00:46:36"/>
    <n v="12"/>
    <n v="56"/>
  </r>
  <r>
    <x v="2"/>
    <d v="2020-09-17T07:09:10"/>
    <s v="false"/>
    <s v="Corrida"/>
    <n v="6.53"/>
    <n v="462"/>
    <d v="1899-12-30T00:40:57"/>
    <s v="--"/>
    <s v="--"/>
    <s v="--"/>
    <n v="142"/>
    <n v="168"/>
    <d v="1899-12-30T06:16:00"/>
    <d v="1899-12-30T04:56:00"/>
    <s v="--"/>
    <s v="--"/>
    <n v="1.1200000000000001"/>
    <n v="0"/>
    <n v="0"/>
    <n v="0"/>
    <n v="0"/>
    <n v="0"/>
    <s v="--"/>
    <s v="--"/>
    <d v="1899-12-31T16:57:00"/>
    <d v="1899-12-30T00:00:00"/>
    <n v="0"/>
    <d v="1899-12-30T00:00:00"/>
    <s v="Não"/>
    <s v="00:01.79"/>
    <n v="18"/>
    <n v="0"/>
    <d v="1899-12-30T00:39:43"/>
    <d v="1899-12-30T00:41:00"/>
    <s v="--"/>
    <s v="--"/>
  </r>
  <r>
    <x v="2"/>
    <d v="2020-09-15T07:05:19"/>
    <s v="false"/>
    <s v="Blumenau Corrida"/>
    <n v="5.0999999999999996"/>
    <n v="372"/>
    <d v="1899-12-30T00:30:03"/>
    <s v="--"/>
    <s v="--"/>
    <s v="--"/>
    <n v="157"/>
    <n v="164"/>
    <d v="1899-12-30T05:54:00"/>
    <d v="1899-12-30T05:32:00"/>
    <n v="18"/>
    <n v="21"/>
    <n v="1.08"/>
    <n v="0"/>
    <n v="0"/>
    <n v="0"/>
    <n v="0"/>
    <n v="0"/>
    <s v="--"/>
    <s v="--"/>
    <d v="1899-12-31T06:03:00"/>
    <d v="1899-12-30T00:00:00"/>
    <n v="0"/>
    <d v="1899-12-30T00:00:00"/>
    <s v="Não"/>
    <s v="00:33.33"/>
    <n v="6"/>
    <n v="0"/>
    <d v="1899-12-30T00:30:02"/>
    <d v="1899-12-30T00:30:03"/>
    <n v="12"/>
    <n v="33"/>
  </r>
  <r>
    <x v="2"/>
    <d v="2020-09-10T07:08:57"/>
    <s v="false"/>
    <s v="Blumenau Corrida"/>
    <n v="7.01"/>
    <n v="504"/>
    <d v="1899-12-30T00:41:19"/>
    <s v="--"/>
    <s v="--"/>
    <s v="--"/>
    <n v="158"/>
    <n v="169"/>
    <d v="1899-12-30T05:54:00"/>
    <d v="1899-12-30T05:01:00"/>
    <n v="29"/>
    <n v="34"/>
    <n v="1.07"/>
    <n v="0"/>
    <n v="0"/>
    <n v="0"/>
    <n v="0"/>
    <n v="0"/>
    <s v="--"/>
    <s v="--"/>
    <d v="1899-12-31T17:19:00"/>
    <d v="1899-12-30T00:00:00"/>
    <n v="0"/>
    <d v="1899-12-30T00:00:00"/>
    <s v="Não"/>
    <s v="00:02.74"/>
    <n v="8"/>
    <n v="0"/>
    <d v="1899-12-30T00:41:17"/>
    <d v="1899-12-30T00:41:19"/>
    <n v="12"/>
    <n v="37"/>
  </r>
  <r>
    <x v="2"/>
    <d v="2020-09-08T07:02:57"/>
    <s v="false"/>
    <s v="8 x 400m com intervalo 2min caminhando"/>
    <n v="7.61"/>
    <n v="528"/>
    <d v="1899-12-30T00:53:38"/>
    <s v="--"/>
    <s v="--"/>
    <s v="--"/>
    <n v="135"/>
    <n v="236"/>
    <d v="1899-12-30T07:03:00"/>
    <d v="1899-12-30T04:38:00"/>
    <s v="--"/>
    <s v="--"/>
    <n v="1.04"/>
    <n v="0"/>
    <n v="0"/>
    <n v="0"/>
    <n v="0"/>
    <n v="0"/>
    <s v="--"/>
    <s v="--"/>
    <d v="1900-01-01T05:38:00"/>
    <d v="1899-12-30T00:00:00"/>
    <n v="0"/>
    <d v="1899-12-30T00:00:00"/>
    <s v="Não"/>
    <s v="00:02.94"/>
    <n v="19"/>
    <n v="0"/>
    <d v="1899-12-30T00:52:43"/>
    <d v="1899-12-30T00:53:55"/>
    <s v="--"/>
    <s v="--"/>
  </r>
  <r>
    <x v="2"/>
    <d v="2020-09-06T08:36:41"/>
    <s v="false"/>
    <s v="Blumenau Corrida"/>
    <n v="7.01"/>
    <n v="517"/>
    <d v="1899-12-30T00:40:46"/>
    <s v="--"/>
    <s v="--"/>
    <s v="--"/>
    <n v="159"/>
    <n v="170"/>
    <d v="1899-12-30T05:49:00"/>
    <d v="1899-12-30T01:10:00"/>
    <n v="68"/>
    <n v="71"/>
    <n v="1.08"/>
    <n v="0"/>
    <n v="0"/>
    <n v="0"/>
    <n v="0"/>
    <n v="0"/>
    <s v="--"/>
    <s v="--"/>
    <d v="1899-12-31T16:46:00"/>
    <d v="1899-12-30T00:00:00"/>
    <n v="0"/>
    <d v="1899-12-30T00:00:00"/>
    <s v="Não"/>
    <s v="00:03.94"/>
    <n v="8"/>
    <n v="0"/>
    <d v="1899-12-30T00:40:39"/>
    <d v="1899-12-30T00:40:46"/>
    <n v="-3"/>
    <n v="59"/>
  </r>
  <r>
    <x v="2"/>
    <d v="2020-09-03T07:09:45"/>
    <s v="false"/>
    <s v="Blumenau - Progressivo 3 etapas"/>
    <n v="6.01"/>
    <n v="435"/>
    <d v="1899-12-30T00:34:16"/>
    <s v="--"/>
    <s v="--"/>
    <s v="--"/>
    <n v="157"/>
    <n v="169"/>
    <d v="1899-12-30T05:42:00"/>
    <d v="1899-12-30T03:25:00"/>
    <n v="8"/>
    <n v="14"/>
    <n v="1.1100000000000001"/>
    <n v="0"/>
    <n v="0"/>
    <n v="0"/>
    <n v="0"/>
    <n v="0"/>
    <s v="--"/>
    <s v="--"/>
    <d v="1899-12-31T10:16:00"/>
    <d v="1899-12-30T00:00:00"/>
    <n v="0"/>
    <d v="1899-12-30T00:00:00"/>
    <s v="Não"/>
    <s v="00:03.43"/>
    <n v="7"/>
    <n v="0"/>
    <d v="1899-12-30T00:34:15"/>
    <d v="1899-12-30T00:34:16"/>
    <n v="12"/>
    <n v="29"/>
  </r>
  <r>
    <x v="2"/>
    <d v="2020-09-01T07:12:23"/>
    <s v="false"/>
    <s v="4 x 1km com intervalo 3min caminhando"/>
    <n v="5.87"/>
    <n v="406"/>
    <d v="1899-12-30T00:41:47"/>
    <s v="--"/>
    <s v="--"/>
    <s v="--"/>
    <n v="132"/>
    <n v="160"/>
    <d v="1899-12-30T07:07:00"/>
    <d v="1899-12-30T05:07:00"/>
    <s v="--"/>
    <s v="--"/>
    <n v="1.04"/>
    <n v="0"/>
    <n v="0"/>
    <n v="0"/>
    <n v="0"/>
    <n v="0"/>
    <s v="--"/>
    <s v="--"/>
    <d v="1899-12-31T17:47:00"/>
    <d v="1899-12-30T00:00:00"/>
    <n v="0"/>
    <d v="1899-12-30T00:00:00"/>
    <s v="Não"/>
    <s v="00:02.53"/>
    <n v="10"/>
    <n v="0"/>
    <d v="1899-12-30T00:41:07"/>
    <d v="1899-12-30T00:41:47"/>
    <s v="--"/>
    <s v="--"/>
  </r>
  <r>
    <x v="2"/>
    <d v="2020-08-29T07:59:57"/>
    <s v="false"/>
    <s v="Blumenau Corrida"/>
    <n v="7"/>
    <n v="511"/>
    <d v="1899-12-30T00:43:00"/>
    <s v="--"/>
    <s v="--"/>
    <s v="--"/>
    <n v="155"/>
    <n v="169"/>
    <d v="1899-12-30T06:08:00"/>
    <d v="1899-12-30T04:27:00"/>
    <n v="98"/>
    <n v="82"/>
    <n v="1.05"/>
    <n v="0"/>
    <n v="0"/>
    <n v="0"/>
    <n v="0"/>
    <n v="0"/>
    <s v="--"/>
    <s v="--"/>
    <d v="1899-12-31T19:00:00"/>
    <d v="1899-12-30T00:00:00"/>
    <n v="0"/>
    <d v="1899-12-30T00:00:00"/>
    <s v="Não"/>
    <s v="00:01.62"/>
    <n v="8"/>
    <n v="0"/>
    <d v="1899-12-30T00:42:59"/>
    <d v="1899-12-30T00:43:00"/>
    <n v="22"/>
    <n v="60"/>
  </r>
  <r>
    <x v="2"/>
    <d v="2020-08-27T07:10:51"/>
    <s v="false"/>
    <s v="Blumenau - 6 x 500m com intervalo 2min parado"/>
    <n v="5.24"/>
    <n v="375"/>
    <d v="1899-12-30T00:39:19"/>
    <s v="--"/>
    <s v="--"/>
    <s v="--"/>
    <n v="115"/>
    <n v="176"/>
    <d v="1899-12-30T07:30:00"/>
    <d v="1899-12-30T00:52:00"/>
    <n v="9"/>
    <n v="11"/>
    <n v="1.1200000000000001"/>
    <n v="0"/>
    <n v="0"/>
    <n v="0"/>
    <n v="0"/>
    <n v="0"/>
    <s v="--"/>
    <s v="--"/>
    <d v="1899-12-31T15:19:00"/>
    <d v="1899-12-30T00:00:00"/>
    <n v="0"/>
    <d v="1899-12-30T00:00:00"/>
    <s v="Não"/>
    <s v="00:03.92"/>
    <n v="15"/>
    <n v="0"/>
    <d v="1899-12-30T00:28:37"/>
    <d v="1899-12-30T00:39:19"/>
    <n v="12"/>
    <n v="22"/>
  </r>
  <r>
    <x v="2"/>
    <d v="2020-08-25T07:15:46"/>
    <s v="false"/>
    <s v="Blumenau Corrida"/>
    <n v="6.01"/>
    <n v="439"/>
    <d v="1899-12-30T00:35:24"/>
    <s v="--"/>
    <s v="--"/>
    <s v="--"/>
    <n v="160"/>
    <n v="167"/>
    <d v="1899-12-30T05:53:00"/>
    <d v="1899-12-30T03:49:00"/>
    <n v="46"/>
    <n v="49"/>
    <n v="1.06"/>
    <n v="0"/>
    <n v="0"/>
    <n v="0"/>
    <n v="0"/>
    <n v="0"/>
    <s v="--"/>
    <s v="--"/>
    <d v="1899-12-31T11:24:00"/>
    <d v="1899-12-30T00:00:00"/>
    <n v="0"/>
    <d v="1899-12-30T00:00:00"/>
    <s v="Não"/>
    <s v="00:01.95"/>
    <n v="7"/>
    <n v="0"/>
    <d v="1899-12-30T00:35:22"/>
    <d v="1899-12-30T00:35:24"/>
    <n v="21"/>
    <n v="54"/>
  </r>
  <r>
    <x v="2"/>
    <d v="2020-08-22T09:33:13"/>
    <s v="false"/>
    <s v="Blumenau - Run Workout"/>
    <n v="6.04"/>
    <n v="446"/>
    <d v="1899-12-30T00:39:17"/>
    <n v="177"/>
    <n v="191"/>
    <n v="4.9000000000000004"/>
    <n v="153"/>
    <n v="168"/>
    <d v="1899-12-30T06:30:00"/>
    <d v="1899-12-30T04:45:00"/>
    <n v="96"/>
    <n v="73"/>
    <n v="1"/>
    <n v="0"/>
    <n v="0"/>
    <n v="0"/>
    <n v="0"/>
    <n v="0"/>
    <s v="--"/>
    <s v="--"/>
    <d v="1899-12-31T15:17:00"/>
    <d v="1899-12-30T00:00:00"/>
    <n v="0"/>
    <d v="1899-12-30T00:00:00"/>
    <s v="Não"/>
    <s v="00:21.46"/>
    <n v="10"/>
    <n v="0"/>
    <d v="1899-12-30T00:38:43"/>
    <d v="1899-12-30T00:39:17"/>
    <n v="21"/>
    <n v="59"/>
  </r>
  <r>
    <x v="2"/>
    <d v="2020-08-20T07:08:44"/>
    <s v="false"/>
    <s v="Corrida"/>
    <n v="5.01"/>
    <n v="333"/>
    <d v="1899-12-30T00:30:45"/>
    <n v="171"/>
    <n v="182"/>
    <n v="4"/>
    <n v="152"/>
    <n v="158"/>
    <d v="1899-12-30T06:08:00"/>
    <d v="1899-12-30T05:39:00"/>
    <s v="--"/>
    <s v="--"/>
    <n v="1.08"/>
    <n v="0"/>
    <n v="0"/>
    <n v="0"/>
    <n v="0"/>
    <n v="0"/>
    <s v="--"/>
    <s v="--"/>
    <d v="1899-12-31T06:45:00"/>
    <d v="1899-12-30T00:00:00"/>
    <n v="0"/>
    <d v="1899-12-30T00:00:00"/>
    <s v="Não"/>
    <s v="00:04.51"/>
    <n v="6"/>
    <n v="0"/>
    <d v="1899-12-30T00:30:43"/>
    <d v="1899-12-30T00:30:45"/>
    <s v="--"/>
    <s v="--"/>
  </r>
  <r>
    <x v="2"/>
    <d v="2020-08-18T07:07:53"/>
    <s v="false"/>
    <s v="5 x 500m com intervalo 2min caminhando"/>
    <n v="4.51"/>
    <n v="320"/>
    <d v="1899-12-30T00:32:50"/>
    <n v="158"/>
    <n v="179"/>
    <n v="3.4"/>
    <n v="132"/>
    <n v="158"/>
    <d v="1899-12-30T07:17:00"/>
    <d v="1899-12-30T05:14:00"/>
    <s v="--"/>
    <s v="--"/>
    <n v="1.03"/>
    <n v="0"/>
    <n v="0"/>
    <n v="0"/>
    <n v="0"/>
    <n v="0"/>
    <s v="--"/>
    <s v="--"/>
    <d v="1899-12-31T08:50:00"/>
    <d v="1899-12-30T00:00:00"/>
    <n v="0"/>
    <d v="1899-12-30T00:00:00"/>
    <s v="Não"/>
    <s v="00:04.47"/>
    <n v="12"/>
    <n v="0"/>
    <d v="1899-12-30T00:30:18"/>
    <d v="1899-12-30T00:32:50"/>
    <n v="53"/>
    <n v="53"/>
  </r>
  <r>
    <x v="2"/>
    <d v="2020-08-15T09:13:51"/>
    <s v="false"/>
    <s v="Corrida"/>
    <n v="5.01"/>
    <n v="335"/>
    <d v="1899-12-30T00:29:07"/>
    <n v="177"/>
    <n v="190"/>
    <n v="4.5"/>
    <n v="153"/>
    <n v="159"/>
    <d v="1899-12-30T05:49:00"/>
    <d v="1899-12-30T05:24:00"/>
    <s v="--"/>
    <s v="--"/>
    <n v="1.1200000000000001"/>
    <n v="0"/>
    <n v="0"/>
    <n v="0"/>
    <n v="0"/>
    <n v="0"/>
    <s v="--"/>
    <s v="--"/>
    <d v="1899-12-31T05:07:00"/>
    <d v="1899-12-30T00:00:00"/>
    <n v="0"/>
    <d v="1899-12-30T00:00:00"/>
    <s v="Não"/>
    <s v="00:04.11"/>
    <n v="6"/>
    <n v="0"/>
    <d v="1899-12-30T00:29:06"/>
    <d v="1899-12-30T00:29:07"/>
    <s v="--"/>
    <s v="--"/>
  </r>
  <r>
    <x v="2"/>
    <d v="2020-08-13T17:37:19"/>
    <s v="false"/>
    <s v="5 x 400m com intervalo 2min caminhando"/>
    <n v="3.89"/>
    <n v="277"/>
    <d v="1899-12-30T00:27:25"/>
    <n v="162"/>
    <n v="187"/>
    <n v="3.5"/>
    <n v="132"/>
    <n v="160"/>
    <d v="1899-12-30T07:02:00"/>
    <d v="1899-12-30T04:31:00"/>
    <s v="--"/>
    <s v="--"/>
    <n v="1.06"/>
    <n v="0"/>
    <n v="0"/>
    <n v="0"/>
    <n v="0"/>
    <n v="0"/>
    <s v="--"/>
    <s v="--"/>
    <d v="1899-12-31T03:25:00"/>
    <d v="1899-12-30T00:00:00"/>
    <n v="0"/>
    <d v="1899-12-30T00:00:00"/>
    <s v="Não"/>
    <s v="00:02.34"/>
    <n v="12"/>
    <n v="0"/>
    <d v="1899-12-30T00:24:54"/>
    <d v="1899-12-30T00:27:25"/>
    <s v="--"/>
    <s v="--"/>
  </r>
  <r>
    <x v="2"/>
    <d v="2020-08-11T07:09:15"/>
    <s v="false"/>
    <s v="Blumenau Corrida"/>
    <n v="4.01"/>
    <n v="272"/>
    <d v="1899-12-30T00:24:06"/>
    <n v="176"/>
    <n v="190"/>
    <n v="4.2"/>
    <n v="157"/>
    <n v="164"/>
    <d v="1899-12-30T06:01:00"/>
    <d v="1899-12-30T03:50:00"/>
    <n v="7"/>
    <n v="14"/>
    <n v="1.06"/>
    <n v="0"/>
    <n v="0"/>
    <n v="0"/>
    <n v="0"/>
    <n v="0"/>
    <s v="--"/>
    <s v="--"/>
    <d v="1899-12-31T00:06:00"/>
    <d v="1899-12-30T00:00:00"/>
    <n v="0"/>
    <d v="1899-12-30T00:00:00"/>
    <s v="Não"/>
    <s v="00:03.34"/>
    <n v="5"/>
    <n v="0"/>
    <d v="1899-12-30T00:24:06"/>
    <d v="1899-12-30T00:24:06"/>
    <n v="12"/>
    <n v="29"/>
  </r>
  <r>
    <x v="2"/>
    <d v="2020-08-08T07:17:47"/>
    <s v="false"/>
    <s v="Blumenau - Run Workout"/>
    <n v="3.01"/>
    <n v="205"/>
    <d v="1899-12-30T00:18:48"/>
    <n v="173"/>
    <n v="188"/>
    <n v="3.6"/>
    <n v="157"/>
    <n v="165"/>
    <d v="1899-12-30T06:15:00"/>
    <d v="1899-12-30T03:57:00"/>
    <n v="13"/>
    <n v="19"/>
    <n v="1.02"/>
    <n v="0"/>
    <n v="0"/>
    <n v="0"/>
    <n v="0"/>
    <n v="0"/>
    <s v="--"/>
    <s v="--"/>
    <d v="1899-12-30T18:48:00"/>
    <d v="1899-12-30T00:00:00"/>
    <n v="0"/>
    <d v="1899-12-30T00:00:00"/>
    <s v="Não"/>
    <s v="00:05.08"/>
    <n v="11"/>
    <n v="0"/>
    <d v="1899-12-30T00:18:47"/>
    <d v="1899-12-30T00:18:48"/>
    <n v="12"/>
    <n v="30"/>
  </r>
  <r>
    <x v="2"/>
    <d v="2020-08-06T07:15:12"/>
    <s v="false"/>
    <s v="Blumenau Corrida"/>
    <n v="3.51"/>
    <n v="243"/>
    <d v="1899-12-30T00:20:57"/>
    <n v="178"/>
    <n v="191"/>
    <n v="4"/>
    <n v="157"/>
    <n v="164"/>
    <d v="1899-12-30T05:59:00"/>
    <d v="1899-12-30T04:34:00"/>
    <n v="10"/>
    <n v="16"/>
    <n v="1.07"/>
    <n v="0"/>
    <n v="0"/>
    <n v="0"/>
    <n v="0"/>
    <n v="0"/>
    <s v="--"/>
    <s v="--"/>
    <d v="1899-12-30T20:57:00"/>
    <d v="1899-12-30T00:00:00"/>
    <n v="0"/>
    <d v="1899-12-30T00:00:00"/>
    <s v="Não"/>
    <s v="03:00.08"/>
    <n v="4"/>
    <n v="0"/>
    <d v="1899-12-30T00:20:56"/>
    <d v="1899-12-30T00:20:57"/>
    <n v="12"/>
    <n v="33"/>
  </r>
  <r>
    <x v="2"/>
    <d v="2020-08-04T07:18:02"/>
    <s v="false"/>
    <s v="Blumenau - Run Workout"/>
    <n v="3.9"/>
    <n v="296"/>
    <d v="1899-12-30T00:28:25"/>
    <n v="165"/>
    <n v="185"/>
    <n v="3.7"/>
    <n v="141"/>
    <n v="164"/>
    <d v="1899-12-30T07:17:00"/>
    <d v="1899-12-30T04:10:00"/>
    <n v="26"/>
    <n v="21"/>
    <n v="0.96"/>
    <n v="0"/>
    <n v="0"/>
    <n v="0"/>
    <n v="0"/>
    <n v="0"/>
    <s v="--"/>
    <s v="--"/>
    <d v="1899-12-31T04:25:00"/>
    <d v="1899-12-30T00:00:00"/>
    <n v="0"/>
    <d v="1899-12-30T00:00:00"/>
    <s v="Não"/>
    <s v="00:02.91"/>
    <n v="7"/>
    <n v="0"/>
    <d v="1899-12-30T00:28:14"/>
    <d v="1899-12-30T00:28:25"/>
    <n v="12"/>
    <n v="31"/>
  </r>
  <r>
    <x v="2"/>
    <d v="2020-08-02T08:46:30"/>
    <s v="false"/>
    <s v="Blumenau Corrida"/>
    <n v="3.01"/>
    <n v="211"/>
    <d v="1899-12-30T00:18:09"/>
    <n v="177"/>
    <n v="191"/>
    <n v="3.8"/>
    <n v="157"/>
    <n v="164"/>
    <d v="1899-12-30T06:02:00"/>
    <d v="1899-12-30T05:42:00"/>
    <n v="8"/>
    <n v="14"/>
    <n v="1.06"/>
    <n v="0"/>
    <n v="0"/>
    <n v="0"/>
    <n v="0"/>
    <n v="0"/>
    <s v="--"/>
    <s v="--"/>
    <d v="1899-12-30T18:09:00"/>
    <d v="1899-12-30T00:00:00"/>
    <n v="0"/>
    <d v="1899-12-30T00:00:00"/>
    <s v="Não"/>
    <s v="00:03.33"/>
    <n v="4"/>
    <n v="0"/>
    <d v="1899-12-30T00:18:08"/>
    <d v="1899-12-30T00:18:09"/>
    <n v="12"/>
    <n v="29"/>
  </r>
  <r>
    <x v="2"/>
    <d v="2020-07-28T07:17:22"/>
    <s v="false"/>
    <s v="Blumenau Corrida"/>
    <n v="3.01"/>
    <n v="207"/>
    <d v="1899-12-30T00:18:14"/>
    <n v="173"/>
    <n v="189"/>
    <n v="3.6"/>
    <n v="156"/>
    <n v="162"/>
    <d v="1899-12-30T06:03:00"/>
    <d v="1899-12-30T05:41:00"/>
    <n v="5"/>
    <n v="16"/>
    <n v="1.06"/>
    <n v="0"/>
    <n v="0"/>
    <n v="0"/>
    <n v="0"/>
    <n v="0"/>
    <s v="--"/>
    <s v="--"/>
    <d v="1899-12-30T18:14:00"/>
    <d v="1899-12-30T00:00:00"/>
    <n v="0"/>
    <d v="1899-12-30T00:00:00"/>
    <s v="Não"/>
    <s v="00:03.54"/>
    <n v="4"/>
    <n v="0"/>
    <d v="1899-12-30T00:18:13"/>
    <d v="1899-12-30T00:18:14"/>
    <n v="12"/>
    <n v="29"/>
  </r>
  <r>
    <x v="2"/>
    <d v="2020-07-26T08:56:06"/>
    <s v="false"/>
    <s v="Blumenau Corrida"/>
    <n v="3.2"/>
    <n v="234"/>
    <d v="1899-12-30T00:24:36"/>
    <n v="153"/>
    <n v="176"/>
    <n v="3.1"/>
    <n v="128"/>
    <n v="160"/>
    <d v="1899-12-30T07:41:00"/>
    <d v="1899-12-30T02:26:00"/>
    <n v="63"/>
    <n v="60"/>
    <n v="1.01"/>
    <n v="0"/>
    <n v="0"/>
    <n v="0"/>
    <n v="0"/>
    <n v="0"/>
    <s v="--"/>
    <s v="--"/>
    <d v="1899-12-31T00:36:00"/>
    <d v="1899-12-30T00:00:00"/>
    <n v="0"/>
    <d v="1899-12-30T00:00:00"/>
    <s v="Não"/>
    <s v="02:59.17"/>
    <n v="8"/>
    <n v="0"/>
    <d v="1899-12-30T00:24:34"/>
    <d v="1899-12-30T00:24:36"/>
    <n v="11"/>
    <n v="37"/>
  </r>
  <r>
    <x v="2"/>
    <d v="2020-07-23T18:24:30"/>
    <s v="false"/>
    <s v="Blumenau Corrida"/>
    <n v="2.5099999999999998"/>
    <n v="171"/>
    <d v="1899-12-30T00:16:08"/>
    <n v="161"/>
    <n v="177"/>
    <n v="3.1"/>
    <n v="152"/>
    <n v="158"/>
    <d v="1899-12-30T06:26:00"/>
    <d v="1899-12-30T04:11:00"/>
    <n v="81"/>
    <n v="88"/>
    <n v="1.01"/>
    <n v="0"/>
    <n v="0"/>
    <n v="0"/>
    <n v="0"/>
    <n v="0"/>
    <s v="--"/>
    <s v="--"/>
    <d v="1899-12-30T16:08:00"/>
    <d v="1899-12-30T00:00:00"/>
    <n v="0"/>
    <d v="1899-12-30T00:00:00"/>
    <s v="Não"/>
    <s v="03:14.96"/>
    <n v="3"/>
    <n v="0"/>
    <d v="1899-12-30T00:16:07"/>
    <d v="1899-12-30T00:16:08"/>
    <n v="19"/>
    <n v="56"/>
  </r>
  <r>
    <x v="2"/>
    <d v="2020-07-21T06:59:19"/>
    <s v="false"/>
    <s v="Blumenau - Run Workout"/>
    <n v="3.91"/>
    <n v="282"/>
    <d v="1899-12-30T00:27:31"/>
    <n v="162"/>
    <n v="182"/>
    <n v="3.6"/>
    <n v="142"/>
    <n v="160"/>
    <d v="1899-12-30T07:03:00"/>
    <d v="1899-12-30T03:50:00"/>
    <n v="13"/>
    <n v="19"/>
    <n v="0.99"/>
    <n v="0"/>
    <n v="0"/>
    <n v="0"/>
    <n v="0"/>
    <n v="0"/>
    <s v="--"/>
    <s v="--"/>
    <d v="1899-12-31T03:31:00"/>
    <d v="1899-12-30T00:00:00"/>
    <n v="0"/>
    <d v="1899-12-30T00:00:00"/>
    <s v="Não"/>
    <s v="00:03.15"/>
    <n v="7"/>
    <n v="0"/>
    <d v="1899-12-30T00:27:31"/>
    <d v="1899-12-30T00:27:31"/>
    <n v="12"/>
    <n v="28"/>
  </r>
  <r>
    <x v="2"/>
    <d v="2020-07-18T08:25:23"/>
    <s v="false"/>
    <s v="Blumenau Corrida"/>
    <n v="2.0099999999999998"/>
    <n v="140"/>
    <d v="1899-12-30T00:11:55"/>
    <n v="174"/>
    <n v="191"/>
    <n v="3.2"/>
    <n v="155"/>
    <n v="162"/>
    <d v="1899-12-30T05:56:00"/>
    <d v="1899-12-30T02:00:00"/>
    <n v="4"/>
    <n v="12"/>
    <n v="1.08"/>
    <n v="0"/>
    <n v="0"/>
    <n v="0"/>
    <n v="0"/>
    <n v="0"/>
    <s v="--"/>
    <s v="--"/>
    <d v="1899-12-30T11:55:00"/>
    <d v="1899-12-30T00:00:00"/>
    <n v="0"/>
    <d v="1899-12-30T00:00:00"/>
    <s v="Não"/>
    <s v="00:02.78"/>
    <n v="3"/>
    <n v="0"/>
    <d v="1899-12-30T00:11:55"/>
    <d v="1899-12-30T00:11:55"/>
    <n v="17"/>
    <n v="31"/>
  </r>
  <r>
    <x v="2"/>
    <d v="2020-07-16T18:20:29"/>
    <s v="false"/>
    <s v="Run Workout"/>
    <n v="3.81"/>
    <n v="290"/>
    <d v="1899-12-30T00:34:44"/>
    <n v="139"/>
    <n v="172"/>
    <n v="3.2"/>
    <n v="116"/>
    <n v="160"/>
    <d v="1899-12-30T09:08:00"/>
    <d v="1899-12-30T04:57:00"/>
    <s v="--"/>
    <s v="--"/>
    <n v="0.92"/>
    <n v="0"/>
    <n v="0"/>
    <n v="0"/>
    <n v="0"/>
    <n v="0"/>
    <s v="--"/>
    <s v="--"/>
    <d v="1899-12-31T10:44:00"/>
    <d v="1899-12-30T00:00:00"/>
    <n v="0"/>
    <d v="1899-12-30T00:00:00"/>
    <s v="Não"/>
    <s v="00:03.23"/>
    <n v="10"/>
    <n v="0"/>
    <d v="1899-12-30T00:32:12"/>
    <d v="1899-12-30T00:34:44"/>
    <s v="--"/>
    <s v="--"/>
  </r>
  <r>
    <x v="2"/>
    <d v="2020-07-14T06:57:06"/>
    <s v="false"/>
    <s v="Corrida"/>
    <n v="2.58"/>
    <n v="200"/>
    <d v="1899-12-30T00:30:01"/>
    <n v="122"/>
    <n v="135"/>
    <n v="1.9"/>
    <n v="107"/>
    <n v="135"/>
    <d v="1899-12-30T11:39:00"/>
    <d v="1899-12-30T08:53:00"/>
    <s v="--"/>
    <s v="--"/>
    <n v="0.8"/>
    <n v="0"/>
    <n v="0"/>
    <n v="0"/>
    <n v="0"/>
    <n v="0"/>
    <s v="--"/>
    <s v="--"/>
    <d v="1899-12-31T06:01:00"/>
    <d v="1899-12-30T00:00:00"/>
    <n v="0"/>
    <d v="1899-12-30T00:00:00"/>
    <s v="Não"/>
    <s v="07:00.73"/>
    <n v="3"/>
    <n v="0"/>
    <d v="1899-12-30T00:29:27"/>
    <d v="1899-12-30T00:30:01"/>
    <s v="--"/>
    <s v="--"/>
  </r>
  <r>
    <x v="2"/>
    <d v="2020-07-11T08:17:04"/>
    <s v="false"/>
    <s v="Blumenau Corrida"/>
    <n v="2.0099999999999998"/>
    <n v="141"/>
    <d v="1899-12-30T00:11:39"/>
    <n v="176"/>
    <n v="190"/>
    <n v="3.3"/>
    <n v="157"/>
    <n v="162"/>
    <d v="1899-12-30T05:48:00"/>
    <d v="1899-12-30T04:50:00"/>
    <s v="--"/>
    <n v="6"/>
    <n v="1.1000000000000001"/>
    <n v="0"/>
    <n v="0"/>
    <n v="0"/>
    <n v="0"/>
    <n v="0"/>
    <s v="--"/>
    <s v="--"/>
    <d v="1899-12-30T11:39:00"/>
    <d v="1899-12-30T00:00:00"/>
    <n v="0"/>
    <d v="1899-12-30T00:00:00"/>
    <s v="Não"/>
    <s v="00:04.06"/>
    <n v="3"/>
    <n v="0"/>
    <d v="1899-12-30T00:11:39"/>
    <d v="1899-12-30T00:11:39"/>
    <n v="16"/>
    <n v="32"/>
  </r>
  <r>
    <x v="2"/>
    <d v="2020-07-09T07:01:05"/>
    <s v="false"/>
    <s v="Blumenau - Run Workout"/>
    <n v="3.84"/>
    <n v="325"/>
    <d v="1899-12-30T00:27:52"/>
    <n v="169"/>
    <n v="188"/>
    <n v="4.2"/>
    <n v="141"/>
    <n v="163"/>
    <d v="1899-12-30T07:16:00"/>
    <d v="1899-12-30T05:47:00"/>
    <n v="15"/>
    <n v="23"/>
    <n v="0.96"/>
    <n v="0"/>
    <n v="0"/>
    <n v="0"/>
    <n v="0"/>
    <n v="0"/>
    <s v="--"/>
    <s v="--"/>
    <d v="1899-12-31T03:52:00"/>
    <d v="1899-12-30T00:00:00"/>
    <n v="0"/>
    <d v="1899-12-30T00:00:00"/>
    <s v="Não"/>
    <s v="00:04.85"/>
    <n v="7"/>
    <n v="0"/>
    <d v="1899-12-30T00:27:50"/>
    <d v="1899-12-30T00:27:52"/>
    <n v="12"/>
    <n v="31"/>
  </r>
  <r>
    <x v="2"/>
    <d v="2020-07-07T07:12:25"/>
    <s v="false"/>
    <s v="Corrida"/>
    <n v="2.0099999999999998"/>
    <n v="145"/>
    <d v="1899-12-30T00:12:37"/>
    <n v="166"/>
    <n v="180"/>
    <n v="3.1"/>
    <n v="152"/>
    <n v="158"/>
    <d v="1899-12-30T06:17:00"/>
    <d v="1899-12-30T05:42:00"/>
    <s v="--"/>
    <s v="--"/>
    <n v="1.05"/>
    <n v="0"/>
    <n v="0"/>
    <n v="0"/>
    <n v="0"/>
    <n v="0"/>
    <s v="--"/>
    <s v="--"/>
    <d v="1899-12-30T12:37:00"/>
    <d v="1899-12-30T00:00:00"/>
    <n v="0"/>
    <d v="1899-12-30T00:00:00"/>
    <s v="Não"/>
    <s v="00:02.55"/>
    <n v="3"/>
    <n v="0"/>
    <d v="1899-12-30T00:12:33"/>
    <d v="1899-12-30T00:12:37"/>
    <s v="--"/>
    <s v="--"/>
  </r>
  <r>
    <x v="2"/>
    <d v="2020-06-24T19:11:00"/>
    <s v="false"/>
    <s v="Blumenau Corrida"/>
    <n v="1.95"/>
    <n v="142"/>
    <d v="1899-12-30T00:12:31"/>
    <s v="--"/>
    <s v="--"/>
    <s v="--"/>
    <n v="149"/>
    <n v="160"/>
    <d v="1899-12-30T06:24:00"/>
    <d v="1899-12-30T03:36:00"/>
    <n v="13"/>
    <n v="11"/>
    <n v="1.05"/>
    <n v="0"/>
    <n v="0"/>
    <n v="0"/>
    <n v="0"/>
    <n v="0"/>
    <s v="--"/>
    <s v="--"/>
    <d v="1899-12-30T12:31:00"/>
    <d v="1899-12-30T00:00:00"/>
    <n v="0"/>
    <d v="1899-12-30T00:00:00"/>
    <s v="Não"/>
    <s v="00:01.60"/>
    <n v="4"/>
    <n v="0"/>
    <d v="1899-12-30T00:12:12"/>
    <d v="1899-12-30T00:23:59"/>
    <n v="17"/>
    <n v="33"/>
  </r>
  <r>
    <x v="1"/>
    <d v="2020-06-22T06:55:17"/>
    <s v="false"/>
    <s v="Blumenau Ciclismo"/>
    <n v="11.53"/>
    <n v="554"/>
    <d v="1899-12-30T00:44:58"/>
    <n v="167"/>
    <n v="185"/>
    <n v="5"/>
    <s v="--"/>
    <s v="--"/>
    <n v="15.4"/>
    <n v="38.299999999999997"/>
    <n v="106"/>
    <n v="111"/>
    <n v="0"/>
    <n v="0"/>
    <n v="0"/>
    <n v="0"/>
    <n v="0"/>
    <n v="0"/>
    <s v="--"/>
    <s v="--"/>
    <d v="1899-12-31T20:58:00"/>
    <d v="1899-12-30T00:00:00"/>
    <n v="0"/>
    <d v="1899-12-30T00:00:00"/>
    <s v="Não"/>
    <s v="10:01.20"/>
    <n v="3"/>
    <n v="0"/>
    <d v="1899-12-30T00:42:07"/>
    <d v="1899-12-30T00:44:58"/>
    <n v="15"/>
    <n v="58"/>
  </r>
  <r>
    <x v="2"/>
    <d v="2020-06-10T06:58:12"/>
    <s v="false"/>
    <s v="Corrida"/>
    <n v="5.49"/>
    <n v="289"/>
    <d v="1899-12-30T01:00:03"/>
    <n v="115"/>
    <n v="128"/>
    <n v="1.8"/>
    <n v="110"/>
    <n v="138"/>
    <d v="1899-12-30T10:57:00"/>
    <d v="1899-12-30T08:21:00"/>
    <s v="--"/>
    <s v="--"/>
    <n v="0.84"/>
    <n v="0"/>
    <n v="0"/>
    <n v="0"/>
    <n v="0"/>
    <n v="0"/>
    <s v="--"/>
    <s v="--"/>
    <d v="1899-12-30T01:00:03"/>
    <d v="1899-12-30T00:00:00"/>
    <n v="0"/>
    <d v="1899-12-30T00:00:00"/>
    <s v="Não"/>
    <s v="05:30.44"/>
    <n v="6"/>
    <n v="0"/>
    <d v="1899-12-30T00:58:28"/>
    <d v="1899-12-30T01:00:03"/>
    <s v="--"/>
    <s v="--"/>
  </r>
  <r>
    <x v="2"/>
    <d v="2020-06-08T07:11:00"/>
    <s v="false"/>
    <s v="Blumenau Corrida"/>
    <n v="4.7699999999999996"/>
    <n v="256"/>
    <d v="1899-12-30T00:39:38"/>
    <n v="134"/>
    <n v="165"/>
    <n v="2.8"/>
    <n v="116"/>
    <n v="164"/>
    <d v="1899-12-30T08:19:00"/>
    <d v="1899-12-30T05:18:00"/>
    <n v="16"/>
    <n v="19"/>
    <n v="1.04"/>
    <n v="0"/>
    <n v="0"/>
    <n v="0"/>
    <n v="0"/>
    <n v="0"/>
    <s v="--"/>
    <s v="--"/>
    <d v="1899-12-31T15:38:00"/>
    <d v="1899-12-30T00:00:00"/>
    <n v="0"/>
    <d v="1899-12-30T00:00:00"/>
    <s v="Não"/>
    <s v="05:55.26"/>
    <n v="5"/>
    <n v="0"/>
    <d v="1899-12-30T00:39:31"/>
    <d v="1899-12-30T00:39:38"/>
    <n v="12"/>
    <n v="28"/>
  </r>
  <r>
    <x v="2"/>
    <d v="2020-06-03T06:58:10"/>
    <s v="false"/>
    <s v="Blumenau - Run Workout"/>
    <n v="8.8000000000000007"/>
    <n v="630"/>
    <d v="1899-12-30T01:02:59"/>
    <n v="162"/>
    <n v="188"/>
    <n v="5"/>
    <n v="134"/>
    <n v="174"/>
    <d v="1899-12-30T07:09:00"/>
    <d v="1899-12-30T03:27:00"/>
    <n v="14"/>
    <n v="17"/>
    <n v="1.01"/>
    <n v="0"/>
    <n v="0"/>
    <n v="0"/>
    <n v="0"/>
    <n v="0"/>
    <s v="--"/>
    <s v="--"/>
    <d v="1899-12-30T01:02:59"/>
    <d v="1899-12-30T00:00:00"/>
    <n v="0"/>
    <d v="1899-12-30T00:00:00"/>
    <s v="Não"/>
    <s v="01:30.00"/>
    <n v="22"/>
    <n v="0"/>
    <d v="1899-12-30T01:02:44"/>
    <d v="1899-12-30T01:02:59"/>
    <n v="14"/>
    <n v="30"/>
  </r>
  <r>
    <x v="3"/>
    <d v="2020-06-01T17:38:45"/>
    <s v="false"/>
    <s v="Corrida"/>
    <n v="0"/>
    <n v="680"/>
    <d v="1899-12-30T00:47:20"/>
    <n v="171"/>
    <n v="186"/>
    <s v="--"/>
    <s v="--"/>
    <s v="--"/>
    <s v="--"/>
    <s v="--"/>
    <s v="--"/>
    <s v="--"/>
    <n v="0"/>
    <n v="0"/>
    <n v="0"/>
    <n v="0"/>
    <n v="0"/>
    <n v="0"/>
    <s v="--"/>
    <s v="--"/>
    <d v="1899-12-31T23:20:00"/>
    <d v="1899-12-30T00:00:00"/>
    <n v="0"/>
    <d v="1899-12-30T00:00:00"/>
    <s v="Não"/>
    <s v="00:00.00"/>
    <n v="1"/>
    <n v="0"/>
    <d v="1899-12-30T00:00:00"/>
    <d v="1899-12-30T00:47:20"/>
    <s v="--"/>
    <s v="--"/>
  </r>
  <r>
    <x v="2"/>
    <d v="2020-05-29T17:54:44"/>
    <s v="false"/>
    <s v="Corrida"/>
    <n v="0"/>
    <n v="794"/>
    <d v="1899-12-30T01:00:58"/>
    <n v="163"/>
    <n v="181"/>
    <s v="--"/>
    <s v="--"/>
    <s v="--"/>
    <s v="--"/>
    <s v="--"/>
    <s v="--"/>
    <s v="--"/>
    <n v="0"/>
    <n v="0"/>
    <n v="0"/>
    <n v="0"/>
    <n v="0"/>
    <n v="0"/>
    <s v="--"/>
    <s v="--"/>
    <d v="1899-12-30T01:00:58"/>
    <d v="1899-12-30T00:00:00"/>
    <n v="0"/>
    <d v="1899-12-30T00:00:00"/>
    <s v="Não"/>
    <s v="00:00.00"/>
    <n v="1"/>
    <n v="0"/>
    <d v="1899-12-30T00:00:00"/>
    <d v="1899-12-30T01:00:58"/>
    <s v="--"/>
    <s v="--"/>
  </r>
  <r>
    <x v="2"/>
    <d v="2020-05-27T06:56:19"/>
    <s v="false"/>
    <s v="Blumenau Corrida"/>
    <n v="8.58"/>
    <n v="756"/>
    <d v="1899-12-30T00:54:06"/>
    <n v="169"/>
    <n v="181"/>
    <s v="--"/>
    <s v="--"/>
    <s v="--"/>
    <d v="1899-12-30T06:19:00"/>
    <d v="1899-12-30T03:08:00"/>
    <n v="95"/>
    <n v="100"/>
    <n v="0"/>
    <n v="0"/>
    <n v="0"/>
    <n v="0"/>
    <n v="0"/>
    <n v="0"/>
    <s v="--"/>
    <s v="--"/>
    <d v="1900-01-01T06:06:00"/>
    <d v="1899-12-30T00:00:00"/>
    <n v="0"/>
    <d v="1899-12-30T00:00:00"/>
    <s v="Não"/>
    <s v="00:00.00"/>
    <n v="1"/>
    <n v="0"/>
    <d v="1899-12-30T00:52:43"/>
    <d v="1899-12-30T00:56:03"/>
    <n v="12"/>
    <n v="56"/>
  </r>
  <r>
    <x v="2"/>
    <d v="2020-05-25T07:11:42"/>
    <s v="false"/>
    <s v="Blumenau Corrida"/>
    <n v="1.9"/>
    <n v="147"/>
    <d v="1899-12-30T00:19:00"/>
    <n v="128"/>
    <n v="143"/>
    <s v="--"/>
    <s v="--"/>
    <s v="--"/>
    <d v="1899-12-30T10:01:00"/>
    <d v="1899-12-30T08:32:00"/>
    <n v="15"/>
    <n v="5"/>
    <n v="0"/>
    <n v="0"/>
    <n v="0"/>
    <n v="0"/>
    <n v="0"/>
    <n v="0"/>
    <s v="--"/>
    <s v="--"/>
    <d v="1899-12-30T19:00:00"/>
    <d v="1899-12-30T00:00:00"/>
    <n v="0"/>
    <d v="1899-12-30T00:00:00"/>
    <s v="Não"/>
    <s v="00:00.00"/>
    <n v="1"/>
    <n v="0"/>
    <d v="1899-12-30T00:19:00"/>
    <d v="1899-12-30T00:19:00"/>
    <n v="12"/>
    <n v="28"/>
  </r>
  <r>
    <x v="2"/>
    <d v="2020-05-25T07:06:09"/>
    <s v="false"/>
    <s v="Blumenau Corrida"/>
    <n v="1"/>
    <n v="64"/>
    <d v="1899-12-30T00:04:22"/>
    <n v="174"/>
    <n v="180"/>
    <s v="--"/>
    <s v="--"/>
    <s v="--"/>
    <d v="1899-12-30T04:22:00"/>
    <d v="1899-12-30T03:54:00"/>
    <n v="1"/>
    <s v="--"/>
    <n v="0"/>
    <n v="0"/>
    <n v="0"/>
    <n v="0"/>
    <n v="0"/>
    <n v="0"/>
    <s v="--"/>
    <s v="--"/>
    <d v="1899-12-30T00:04:22"/>
    <d v="1899-12-30T00:00:00"/>
    <n v="0"/>
    <d v="1899-12-30T00:00:00"/>
    <s v="Não"/>
    <s v="00:00.00"/>
    <n v="1"/>
    <n v="0"/>
    <d v="1899-12-30T00:04:22"/>
    <d v="1899-12-30T00:04:22"/>
    <n v="12"/>
    <n v="16"/>
  </r>
  <r>
    <x v="2"/>
    <d v="2020-05-25T06:52:36"/>
    <s v="false"/>
    <s v="Blumenau Corrida"/>
    <n v="1.46"/>
    <n v="80"/>
    <d v="1899-12-30T00:12:56"/>
    <n v="118"/>
    <n v="160"/>
    <s v="--"/>
    <s v="--"/>
    <s v="--"/>
    <d v="1899-12-30T08:52:00"/>
    <d v="1899-12-30T05:52:00"/>
    <n v="3"/>
    <n v="17"/>
    <n v="0"/>
    <n v="0"/>
    <n v="0"/>
    <n v="0"/>
    <n v="0"/>
    <n v="0"/>
    <s v="--"/>
    <s v="--"/>
    <d v="1899-12-30T12:56:00"/>
    <d v="1899-12-30T00:00:00"/>
    <n v="0"/>
    <d v="1899-12-30T00:00:00"/>
    <s v="Não"/>
    <s v="00:00.00"/>
    <n v="1"/>
    <n v="0"/>
    <d v="1899-12-30T00:12:56"/>
    <d v="1899-12-30T00:12:56"/>
    <n v="12"/>
    <n v="26"/>
  </r>
  <r>
    <x v="3"/>
    <d v="2020-05-22T16:20:09"/>
    <s v="false"/>
    <s v="Corrida"/>
    <n v="0"/>
    <n v="627"/>
    <d v="1899-12-30T00:49:18"/>
    <n v="161"/>
    <n v="190"/>
    <s v="--"/>
    <s v="--"/>
    <s v="--"/>
    <s v="--"/>
    <s v="--"/>
    <s v="--"/>
    <s v="--"/>
    <n v="0"/>
    <n v="0"/>
    <n v="0"/>
    <n v="0"/>
    <n v="0"/>
    <n v="0"/>
    <s v="--"/>
    <s v="--"/>
    <d v="1900-01-01T01:18:00"/>
    <d v="1899-12-30T00:00:00"/>
    <n v="0"/>
    <d v="1899-12-30T00:00:00"/>
    <s v="Não"/>
    <s v="00:00.00"/>
    <n v="1"/>
    <n v="0"/>
    <d v="1899-12-30T00:00:00"/>
    <d v="1899-12-30T00:49:18"/>
    <s v="--"/>
    <s v="--"/>
  </r>
  <r>
    <x v="2"/>
    <d v="2020-05-20T17:22:39"/>
    <s v="false"/>
    <s v="Blumenau Corrida"/>
    <n v="5.9"/>
    <n v="516"/>
    <d v="1899-12-30T00:35:35"/>
    <n v="172"/>
    <n v="185"/>
    <s v="--"/>
    <s v="--"/>
    <s v="--"/>
    <d v="1899-12-30T06:02:00"/>
    <d v="1899-12-30T05:05:00"/>
    <n v="64"/>
    <n v="68"/>
    <n v="0"/>
    <n v="0"/>
    <n v="0"/>
    <n v="0"/>
    <n v="0"/>
    <n v="0"/>
    <s v="--"/>
    <s v="--"/>
    <d v="1899-12-31T11:35:00"/>
    <d v="1899-12-30T00:00:00"/>
    <n v="0"/>
    <d v="1899-12-30T00:00:00"/>
    <s v="Não"/>
    <s v="00:00.00"/>
    <n v="1"/>
    <n v="0"/>
    <d v="1899-12-30T00:35:29"/>
    <d v="1899-12-30T00:35:35"/>
    <n v="12"/>
    <n v="56"/>
  </r>
  <r>
    <x v="2"/>
    <d v="2020-05-17T08:35:35"/>
    <s v="false"/>
    <s v="Blumenau Corrida"/>
    <n v="13.51"/>
    <n v="1185"/>
    <d v="1899-12-30T01:25:57"/>
    <n v="168"/>
    <n v="204"/>
    <s v="--"/>
    <s v="--"/>
    <s v="--"/>
    <d v="1899-12-30T06:22:00"/>
    <d v="1899-12-30T02:11:00"/>
    <n v="221"/>
    <n v="225"/>
    <n v="0"/>
    <n v="0"/>
    <n v="0"/>
    <n v="0"/>
    <n v="0"/>
    <n v="0"/>
    <s v="--"/>
    <s v="--"/>
    <d v="1899-12-30T01:25:57"/>
    <d v="1899-12-30T00:00:00"/>
    <n v="0"/>
    <d v="1899-12-30T00:00:00"/>
    <s v="Não"/>
    <s v="00:00.00"/>
    <n v="1"/>
    <n v="0"/>
    <d v="1899-12-30T01:25:57"/>
    <d v="1899-12-30T01:25:57"/>
    <n v="20"/>
    <n v="117"/>
  </r>
  <r>
    <x v="3"/>
    <d v="2020-05-15T18:08:07"/>
    <s v="false"/>
    <s v="Corrida"/>
    <n v="0"/>
    <n v="557"/>
    <d v="1899-12-30T00:40:12"/>
    <n v="168"/>
    <n v="180"/>
    <s v="--"/>
    <s v="--"/>
    <s v="--"/>
    <s v="--"/>
    <s v="--"/>
    <s v="--"/>
    <s v="--"/>
    <n v="0"/>
    <n v="0"/>
    <n v="0"/>
    <n v="0"/>
    <n v="0"/>
    <n v="0"/>
    <s v="--"/>
    <s v="--"/>
    <d v="1899-12-31T16:12:00"/>
    <d v="1899-12-30T00:00:00"/>
    <n v="0"/>
    <d v="1899-12-30T00:00:00"/>
    <s v="Não"/>
    <s v="00:00.00"/>
    <n v="1"/>
    <n v="0"/>
    <d v="1899-12-30T00:00:00"/>
    <d v="1899-12-30T00:40:12"/>
    <s v="--"/>
    <s v="--"/>
  </r>
  <r>
    <x v="3"/>
    <d v="2020-05-13T18:59:10"/>
    <s v="false"/>
    <s v="Corrida"/>
    <n v="0"/>
    <n v="608"/>
    <d v="1899-12-30T00:46:26"/>
    <n v="163"/>
    <n v="187"/>
    <s v="--"/>
    <s v="--"/>
    <s v="--"/>
    <s v="--"/>
    <s v="--"/>
    <s v="--"/>
    <s v="--"/>
    <n v="0"/>
    <n v="0"/>
    <n v="0"/>
    <n v="0"/>
    <n v="0"/>
    <n v="0"/>
    <s v="--"/>
    <s v="--"/>
    <d v="1899-12-31T22:26:00"/>
    <d v="1899-12-30T00:00:00"/>
    <n v="0"/>
    <d v="1899-12-30T00:00:00"/>
    <s v="Não"/>
    <s v="00:00.00"/>
    <n v="1"/>
    <n v="0"/>
    <d v="1899-12-30T00:00:00"/>
    <d v="1899-12-30T00:46:26"/>
    <s v="--"/>
    <s v="--"/>
  </r>
  <r>
    <x v="0"/>
    <d v="2020-05-12T06:55:30"/>
    <s v="false"/>
    <s v="Musculação"/>
    <n v="0"/>
    <n v="331"/>
    <d v="1899-12-30T00:57:42"/>
    <n v="115"/>
    <n v="152"/>
    <s v="--"/>
    <s v="--"/>
    <s v="--"/>
    <s v="--"/>
    <s v="--"/>
    <s v="--"/>
    <s v="--"/>
    <n v="0"/>
    <n v="0"/>
    <n v="0"/>
    <n v="0"/>
    <n v="0"/>
    <n v="0"/>
    <s v="--"/>
    <s v="--"/>
    <d v="1900-01-01T09:42:00"/>
    <d v="1899-12-30T00:00:00"/>
    <n v="0"/>
    <d v="1899-12-30T00:00:00"/>
    <s v="Não"/>
    <s v="00:00.00"/>
    <n v="1"/>
    <n v="0"/>
    <d v="1899-12-30T00:00:00"/>
    <d v="1899-12-30T00:57:42"/>
    <s v="--"/>
    <s v="--"/>
  </r>
  <r>
    <x v="2"/>
    <d v="2020-05-11T06:59:45"/>
    <s v="false"/>
    <s v="Blumenau Corrida"/>
    <n v="6.02"/>
    <n v="473"/>
    <d v="1899-12-30T00:34:55"/>
    <n v="166"/>
    <n v="183"/>
    <s v="--"/>
    <s v="--"/>
    <s v="--"/>
    <d v="1899-12-30T05:48:00"/>
    <d v="1899-12-30T02:12:00"/>
    <n v="63"/>
    <n v="67"/>
    <n v="0"/>
    <n v="0"/>
    <n v="0"/>
    <n v="0"/>
    <n v="0"/>
    <n v="0"/>
    <s v="--"/>
    <s v="--"/>
    <d v="1899-12-31T10:55:00"/>
    <d v="1899-12-30T00:00:00"/>
    <n v="0"/>
    <d v="1899-12-30T00:00:00"/>
    <s v="Não"/>
    <s v="00:10.37"/>
    <n v="4"/>
    <n v="0"/>
    <d v="1899-12-30T00:32:12"/>
    <d v="1899-12-30T00:34:55"/>
    <n v="22"/>
    <n v="55"/>
  </r>
  <r>
    <x v="2"/>
    <d v="2020-05-10T08:56:49"/>
    <s v="false"/>
    <s v="Blumenau Corrida"/>
    <n v="12.82"/>
    <n v="1125"/>
    <d v="1899-12-30T01:18:55"/>
    <n v="171"/>
    <n v="182"/>
    <s v="--"/>
    <s v="--"/>
    <s v="--"/>
    <d v="1899-12-30T06:09:00"/>
    <d v="1899-12-30T02:23:00"/>
    <n v="188"/>
    <n v="192"/>
    <n v="0"/>
    <n v="0"/>
    <n v="0"/>
    <n v="0"/>
    <n v="0"/>
    <n v="0"/>
    <s v="--"/>
    <s v="--"/>
    <d v="1899-12-30T01:18:55"/>
    <d v="1899-12-30T00:00:00"/>
    <n v="0"/>
    <d v="1899-12-30T00:00:00"/>
    <s v="Não"/>
    <s v="00:00.00"/>
    <n v="1"/>
    <n v="0"/>
    <d v="1899-12-30T01:18:55"/>
    <d v="1899-12-30T01:18:55"/>
    <n v="20"/>
    <n v="117"/>
  </r>
  <r>
    <x v="2"/>
    <d v="2020-05-08T06:49:48"/>
    <s v="false"/>
    <s v="Blumenau Corrida"/>
    <n v="4.71"/>
    <n v="538"/>
    <d v="1899-12-30T00:41:37"/>
    <n v="164"/>
    <n v="184"/>
    <s v="--"/>
    <s v="--"/>
    <s v="--"/>
    <d v="1899-12-30T08:50:00"/>
    <d v="1899-12-30T01:00:00"/>
    <n v="75"/>
    <n v="75"/>
    <n v="0"/>
    <n v="0"/>
    <n v="0"/>
    <n v="0"/>
    <n v="0"/>
    <n v="0"/>
    <s v="--"/>
    <s v="--"/>
    <d v="1899-12-31T17:37:00"/>
    <d v="1899-12-30T00:00:00"/>
    <n v="0"/>
    <d v="1899-12-30T00:00:00"/>
    <s v="Não"/>
    <s v="00:55.56"/>
    <n v="21"/>
    <n v="0"/>
    <d v="1899-12-30T00:36:04"/>
    <d v="1899-12-30T00:41:37"/>
    <n v="18"/>
    <n v="36"/>
  </r>
  <r>
    <x v="0"/>
    <d v="2020-05-07T18:41:01"/>
    <s v="false"/>
    <s v="Musculação"/>
    <n v="0"/>
    <n v="290"/>
    <d v="1899-12-30T00:52:56"/>
    <n v="113"/>
    <n v="158"/>
    <s v="--"/>
    <s v="--"/>
    <s v="--"/>
    <s v="--"/>
    <s v="--"/>
    <s v="--"/>
    <s v="--"/>
    <n v="0"/>
    <n v="0"/>
    <n v="0"/>
    <n v="0"/>
    <n v="0"/>
    <n v="0"/>
    <s v="--"/>
    <s v="--"/>
    <d v="1900-01-01T04:56:00"/>
    <d v="1899-12-30T00:00:00"/>
    <n v="0"/>
    <d v="1899-12-30T00:00:00"/>
    <s v="Não"/>
    <s v="00:00.00"/>
    <n v="1"/>
    <n v="0"/>
    <d v="1899-12-30T00:00:00"/>
    <d v="1899-12-30T00:52:56"/>
    <s v="--"/>
    <s v="--"/>
  </r>
  <r>
    <x v="2"/>
    <d v="2020-05-06T06:41:37"/>
    <s v="false"/>
    <s v="Blumenau Corrida"/>
    <n v="9.24"/>
    <n v="822"/>
    <d v="1899-12-30T00:56:30"/>
    <n v="173"/>
    <n v="184"/>
    <s v="--"/>
    <s v="--"/>
    <s v="--"/>
    <d v="1899-12-30T06:07:00"/>
    <d v="1899-12-30T04:03:00"/>
    <n v="104"/>
    <n v="107"/>
    <n v="0"/>
    <n v="0"/>
    <n v="0"/>
    <n v="0"/>
    <n v="0"/>
    <n v="0"/>
    <s v="--"/>
    <s v="--"/>
    <d v="1900-01-01T08:30:00"/>
    <d v="1899-12-30T00:00:00"/>
    <n v="0"/>
    <d v="1899-12-30T00:00:00"/>
    <s v="Não"/>
    <s v="01:23.65"/>
    <n v="10"/>
    <n v="0"/>
    <d v="1899-12-30T00:56:28"/>
    <d v="1899-12-30T00:56:30"/>
    <n v="12"/>
    <n v="56"/>
  </r>
  <r>
    <x v="0"/>
    <d v="2020-05-05T06:31:09"/>
    <s v="false"/>
    <s v="Musculação"/>
    <n v="0"/>
    <n v="212"/>
    <d v="1899-12-30T01:00:23"/>
    <n v="100"/>
    <n v="122"/>
    <s v="--"/>
    <s v="--"/>
    <s v="--"/>
    <s v="--"/>
    <s v="--"/>
    <s v="--"/>
    <s v="--"/>
    <n v="0"/>
    <n v="0"/>
    <n v="0"/>
    <n v="0"/>
    <n v="0"/>
    <n v="0"/>
    <s v="--"/>
    <s v="--"/>
    <d v="1899-12-30T01:00:23"/>
    <d v="1899-12-30T00:00:00"/>
    <n v="0"/>
    <d v="1899-12-30T00:00:00"/>
    <s v="Não"/>
    <s v="00:00.00"/>
    <n v="1"/>
    <n v="0"/>
    <d v="1899-12-30T00:00:00"/>
    <d v="1899-12-30T01:00:23"/>
    <s v="--"/>
    <s v="--"/>
  </r>
  <r>
    <x v="2"/>
    <d v="2020-05-04T17:35:48"/>
    <s v="false"/>
    <s v="Blumenau Corrida"/>
    <n v="6"/>
    <n v="503"/>
    <d v="1899-12-30T00:36:54"/>
    <n v="167"/>
    <n v="183"/>
    <s v="--"/>
    <s v="--"/>
    <s v="--"/>
    <d v="1899-12-30T06:09:00"/>
    <d v="1899-12-30T01:49:00"/>
    <n v="65"/>
    <n v="69"/>
    <n v="0"/>
    <n v="0"/>
    <n v="0"/>
    <n v="0"/>
    <n v="0"/>
    <n v="0"/>
    <s v="--"/>
    <s v="--"/>
    <d v="1899-12-31T12:54:00"/>
    <d v="1899-12-30T00:00:00"/>
    <n v="0"/>
    <d v="1899-12-30T00:00:00"/>
    <s v="Não"/>
    <s v="02:57.84"/>
    <n v="5"/>
    <n v="0"/>
    <d v="1899-12-30T00:32:57"/>
    <d v="1899-12-30T00:36:54"/>
    <n v="22"/>
    <n v="55"/>
  </r>
  <r>
    <x v="2"/>
    <d v="2020-05-03T08:45:24"/>
    <s v="false"/>
    <s v="Blumenau Corrida"/>
    <n v="10.3"/>
    <n v="860"/>
    <d v="1899-12-30T01:00:01"/>
    <n v="172"/>
    <n v="184"/>
    <s v="--"/>
    <s v="--"/>
    <s v="--"/>
    <d v="1899-12-30T05:50:00"/>
    <d v="1899-12-30T03:17:00"/>
    <n v="110"/>
    <n v="109"/>
    <n v="0"/>
    <n v="0"/>
    <n v="0"/>
    <n v="0"/>
    <n v="0"/>
    <n v="0"/>
    <s v="--"/>
    <s v="--"/>
    <d v="1899-12-30T01:00:01"/>
    <d v="1899-12-30T00:00:00"/>
    <n v="0"/>
    <d v="1899-12-30T00:00:00"/>
    <s v="Não"/>
    <s v="01:39.89"/>
    <n v="11"/>
    <n v="0"/>
    <d v="1899-12-30T00:59:58"/>
    <d v="1899-12-30T01:00:01"/>
    <n v="14"/>
    <n v="60"/>
  </r>
  <r>
    <x v="2"/>
    <d v="2020-05-01T08:21:11"/>
    <s v="false"/>
    <s v="Blumenau Corrida"/>
    <n v="11.6"/>
    <n v="1036"/>
    <d v="1899-12-30T01:12:38"/>
    <n v="171"/>
    <n v="183"/>
    <s v="--"/>
    <s v="--"/>
    <s v="--"/>
    <d v="1899-12-30T06:16:00"/>
    <d v="1899-12-30T04:36:00"/>
    <n v="178"/>
    <n v="184"/>
    <n v="0"/>
    <n v="0"/>
    <n v="0"/>
    <n v="0"/>
    <n v="0"/>
    <n v="0"/>
    <s v="--"/>
    <s v="--"/>
    <d v="1899-12-30T01:12:38"/>
    <d v="1899-12-30T00:00:00"/>
    <n v="0"/>
    <d v="1899-12-30T00:00:00"/>
    <s v="Não"/>
    <s v="00:00.00"/>
    <n v="1"/>
    <n v="0"/>
    <d v="1899-12-30T01:12:38"/>
    <d v="1899-12-30T01:12:38"/>
    <n v="20"/>
    <n v="116"/>
  </r>
  <r>
    <x v="0"/>
    <d v="2020-04-30T18:43:03"/>
    <s v="false"/>
    <s v="Musculação"/>
    <n v="0"/>
    <n v="216"/>
    <d v="1899-12-30T00:41:17"/>
    <n v="111"/>
    <n v="161"/>
    <s v="--"/>
    <s v="--"/>
    <s v="--"/>
    <s v="--"/>
    <s v="--"/>
    <s v="--"/>
    <s v="--"/>
    <n v="0"/>
    <n v="0"/>
    <n v="0"/>
    <n v="0"/>
    <n v="0"/>
    <n v="0"/>
    <s v="--"/>
    <s v="--"/>
    <d v="1899-12-31T17:17:00"/>
    <d v="1899-12-30T00:00:00"/>
    <n v="0"/>
    <d v="1899-12-30T00:00:00"/>
    <s v="Não"/>
    <s v="00:00.00"/>
    <n v="1"/>
    <n v="0"/>
    <d v="1899-12-30T00:00:00"/>
    <d v="1899-12-30T00:41:17"/>
    <s v="--"/>
    <s v="--"/>
  </r>
  <r>
    <x v="2"/>
    <d v="2020-04-29T06:31:42"/>
    <s v="false"/>
    <s v="Blumenau Corrida"/>
    <n v="6.41"/>
    <n v="586"/>
    <d v="1899-12-30T00:51:44"/>
    <n v="153"/>
    <n v="182"/>
    <s v="--"/>
    <s v="--"/>
    <s v="--"/>
    <d v="1899-12-30T08:04:00"/>
    <d v="1899-12-30T03:47:00"/>
    <n v="18"/>
    <n v="30"/>
    <n v="0"/>
    <n v="0"/>
    <n v="0"/>
    <n v="0"/>
    <n v="0"/>
    <n v="0"/>
    <s v="--"/>
    <s v="--"/>
    <d v="1900-01-01T03:44:00"/>
    <d v="1899-12-30T00:00:00"/>
    <n v="0"/>
    <d v="1899-12-30T00:00:00"/>
    <s v="Não"/>
    <s v="00:05.33"/>
    <n v="22"/>
    <n v="0"/>
    <d v="1899-12-30T00:40:38"/>
    <d v="1899-12-30T00:51:44"/>
    <n v="12"/>
    <n v="31"/>
  </r>
  <r>
    <x v="0"/>
    <d v="2020-04-28T06:29:00"/>
    <s v="false"/>
    <s v="Musculação"/>
    <n v="0"/>
    <n v="179"/>
    <d v="1899-12-30T00:56:14"/>
    <n v="98"/>
    <n v="120"/>
    <s v="--"/>
    <s v="--"/>
    <s v="--"/>
    <s v="--"/>
    <s v="--"/>
    <s v="--"/>
    <s v="--"/>
    <n v="0"/>
    <n v="0"/>
    <n v="0"/>
    <n v="0"/>
    <n v="0"/>
    <n v="0"/>
    <s v="--"/>
    <s v="--"/>
    <d v="1900-01-01T08:14:00"/>
    <d v="1899-12-30T00:00:00"/>
    <n v="0"/>
    <d v="1899-12-30T00:00:00"/>
    <s v="Não"/>
    <s v="00:00.00"/>
    <n v="1"/>
    <n v="0"/>
    <d v="1899-12-30T00:00:00"/>
    <d v="1899-12-30T00:56:14"/>
    <s v="--"/>
    <s v="--"/>
  </r>
  <r>
    <x v="2"/>
    <d v="2020-04-27T06:30:05"/>
    <s v="false"/>
    <s v="Blumenau Corrida"/>
    <n v="7"/>
    <n v="577"/>
    <d v="1899-12-30T00:45:17"/>
    <n v="162"/>
    <n v="182"/>
    <s v="--"/>
    <s v="--"/>
    <s v="--"/>
    <d v="1899-12-30T06:28:00"/>
    <d v="1899-12-30T02:33:00"/>
    <n v="24"/>
    <n v="40"/>
    <n v="0"/>
    <n v="0"/>
    <n v="0"/>
    <n v="0"/>
    <n v="0"/>
    <n v="0"/>
    <s v="--"/>
    <s v="--"/>
    <d v="1899-12-31T21:17:00"/>
    <d v="1899-12-30T00:00:00"/>
    <n v="0"/>
    <d v="1899-12-30T00:00:00"/>
    <s v="Não"/>
    <s v="01:00.28"/>
    <n v="9"/>
    <n v="0"/>
    <d v="1899-12-30T00:40:52"/>
    <d v="1899-12-30T00:45:17"/>
    <n v="12"/>
    <n v="28"/>
  </r>
  <r>
    <x v="2"/>
    <d v="2020-04-25T07:36:09"/>
    <s v="false"/>
    <s v="Blumenau Corrida"/>
    <n v="9.44"/>
    <n v="871"/>
    <d v="1899-12-30T01:00:01"/>
    <n v="173"/>
    <n v="186"/>
    <s v="--"/>
    <s v="--"/>
    <s v="--"/>
    <d v="1899-12-30T06:21:00"/>
    <d v="1899-12-30T02:31:00"/>
    <n v="143"/>
    <n v="147"/>
    <n v="0"/>
    <n v="0"/>
    <n v="0"/>
    <n v="0"/>
    <n v="0"/>
    <n v="0"/>
    <s v="--"/>
    <s v="--"/>
    <d v="1899-12-30T01:00:01"/>
    <d v="1899-12-30T00:00:00"/>
    <n v="0"/>
    <d v="1899-12-30T00:00:00"/>
    <s v="Não"/>
    <s v="02:36.71"/>
    <n v="10"/>
    <n v="0"/>
    <d v="1899-12-30T00:59:34"/>
    <d v="1899-12-30T01:00:01"/>
    <n v="21"/>
    <n v="71"/>
  </r>
  <r>
    <x v="2"/>
    <d v="2020-04-24T17:27:20"/>
    <s v="false"/>
    <s v="Blumenau Corrida"/>
    <n v="8"/>
    <n v="708"/>
    <d v="1899-12-30T00:48:39"/>
    <n v="173"/>
    <n v="184"/>
    <s v="--"/>
    <s v="--"/>
    <s v="--"/>
    <d v="1899-12-30T06:05:00"/>
    <d v="1899-12-30T02:41:00"/>
    <n v="117"/>
    <n v="116"/>
    <n v="0"/>
    <n v="0"/>
    <n v="0"/>
    <n v="0"/>
    <n v="0"/>
    <n v="0"/>
    <s v="--"/>
    <s v="--"/>
    <d v="1900-01-01T00:39:00"/>
    <d v="1899-12-30T00:00:00"/>
    <n v="0"/>
    <d v="1899-12-30T00:00:00"/>
    <s v="Não"/>
    <s v="05:47.12"/>
    <n v="8"/>
    <n v="0"/>
    <d v="1899-12-30T00:48:37"/>
    <d v="1899-12-30T00:48:39"/>
    <n v="21"/>
    <n v="60"/>
  </r>
  <r>
    <x v="0"/>
    <d v="2020-04-23T06:30:02"/>
    <s v="false"/>
    <s v="Musculação"/>
    <n v="0"/>
    <n v="355"/>
    <d v="1899-12-30T00:56:05"/>
    <n v="119"/>
    <n v="161"/>
    <s v="--"/>
    <s v="--"/>
    <s v="--"/>
    <s v="--"/>
    <s v="--"/>
    <s v="--"/>
    <s v="--"/>
    <n v="0"/>
    <n v="0"/>
    <n v="0"/>
    <n v="0"/>
    <n v="0"/>
    <n v="0"/>
    <s v="--"/>
    <s v="--"/>
    <d v="1900-01-01T08:05:00"/>
    <d v="1899-12-30T00:00:00"/>
    <n v="0"/>
    <d v="1899-12-30T00:00:00"/>
    <s v="Não"/>
    <s v="00:00.00"/>
    <n v="1"/>
    <n v="0"/>
    <d v="1899-12-30T00:00:00"/>
    <d v="1899-12-30T00:56:05"/>
    <s v="--"/>
    <s v="--"/>
  </r>
  <r>
    <x v="2"/>
    <d v="2020-04-22T06:30:38"/>
    <s v="false"/>
    <s v="Blumenau Corrida"/>
    <n v="9.01"/>
    <n v="758"/>
    <d v="1899-12-30T00:54:32"/>
    <n v="169"/>
    <n v="184"/>
    <s v="--"/>
    <s v="--"/>
    <s v="--"/>
    <d v="1899-12-30T06:03:00"/>
    <d v="1899-12-30T03:08:00"/>
    <n v="138"/>
    <n v="140"/>
    <n v="0"/>
    <n v="0"/>
    <n v="0"/>
    <n v="0"/>
    <n v="0"/>
    <n v="0"/>
    <s v="--"/>
    <s v="--"/>
    <d v="1900-01-01T06:32:00"/>
    <d v="1899-12-30T00:00:00"/>
    <n v="0"/>
    <d v="1899-12-30T00:00:00"/>
    <s v="Não"/>
    <s v="00:08.21"/>
    <n v="13"/>
    <n v="0"/>
    <d v="1899-12-30T00:54:29"/>
    <d v="1899-12-30T00:54:32"/>
    <n v="21"/>
    <n v="59"/>
  </r>
  <r>
    <x v="2"/>
    <d v="2020-04-20T06:59:59"/>
    <s v="false"/>
    <s v="Blumenau Corrida"/>
    <n v="5"/>
    <n v="426"/>
    <d v="1899-12-30T00:31:00"/>
    <n v="168"/>
    <n v="187"/>
    <s v="--"/>
    <s v="--"/>
    <s v="--"/>
    <d v="1899-12-30T06:12:00"/>
    <d v="1899-12-30T04:13:00"/>
    <n v="11"/>
    <n v="25"/>
    <n v="0"/>
    <n v="0"/>
    <n v="0"/>
    <n v="0"/>
    <n v="0"/>
    <n v="0"/>
    <s v="--"/>
    <s v="--"/>
    <d v="1899-12-31T07:00:00"/>
    <d v="1899-12-30T00:00:00"/>
    <n v="0"/>
    <d v="1899-12-30T00:00:00"/>
    <s v="Não"/>
    <s v="01:09.44"/>
    <n v="7"/>
    <n v="0"/>
    <d v="1899-12-30T00:26:20"/>
    <d v="1899-12-30T00:31:00"/>
    <n v="12"/>
    <n v="30"/>
  </r>
  <r>
    <x v="2"/>
    <d v="2020-04-18T07:17:43"/>
    <s v="false"/>
    <s v="Blumenau Corrida"/>
    <n v="9.69"/>
    <n v="881"/>
    <d v="1899-12-30T01:00:02"/>
    <n v="174"/>
    <n v="184"/>
    <s v="--"/>
    <s v="--"/>
    <s v="--"/>
    <d v="1899-12-30T06:12:00"/>
    <d v="1899-12-30T02:25:00"/>
    <n v="147"/>
    <n v="151"/>
    <n v="0"/>
    <n v="0"/>
    <n v="0"/>
    <n v="0"/>
    <n v="0"/>
    <n v="0"/>
    <s v="--"/>
    <s v="--"/>
    <d v="1899-12-30T01:00:02"/>
    <d v="1899-12-30T00:00:00"/>
    <n v="0"/>
    <d v="1899-12-30T00:00:00"/>
    <s v="Não"/>
    <s v="03:59.79"/>
    <n v="10"/>
    <n v="0"/>
    <d v="1899-12-30T01:00:00"/>
    <d v="1899-12-30T01:00:02"/>
    <n v="22"/>
    <n v="73"/>
  </r>
  <r>
    <x v="2"/>
    <d v="2020-04-17T06:50:24"/>
    <s v="false"/>
    <s v="Blumenau Corrida"/>
    <n v="5.16"/>
    <n v="433"/>
    <d v="1899-12-30T00:30:02"/>
    <n v="172"/>
    <n v="187"/>
    <s v="--"/>
    <s v="--"/>
    <s v="--"/>
    <d v="1899-12-30T05:49:00"/>
    <d v="1899-12-30T04:41:00"/>
    <n v="27"/>
    <n v="30"/>
    <n v="0"/>
    <n v="0"/>
    <n v="0"/>
    <n v="0"/>
    <n v="0"/>
    <n v="0"/>
    <s v="--"/>
    <s v="--"/>
    <d v="1899-12-31T06:02:00"/>
    <d v="1899-12-30T00:00:00"/>
    <n v="0"/>
    <d v="1899-12-30T00:00:00"/>
    <s v="Não"/>
    <s v="00:00.00"/>
    <n v="1"/>
    <n v="0"/>
    <d v="1899-12-30T00:30:01"/>
    <d v="1899-12-30T00:30:02"/>
    <n v="12"/>
    <n v="29"/>
  </r>
  <r>
    <x v="2"/>
    <d v="2020-04-16T06:30:58"/>
    <s v="false"/>
    <s v="Musculação"/>
    <n v="0"/>
    <n v="267"/>
    <d v="1899-12-30T00:43:50"/>
    <n v="117"/>
    <n v="150"/>
    <s v="--"/>
    <s v="--"/>
    <s v="--"/>
    <s v="--"/>
    <s v="--"/>
    <s v="--"/>
    <s v="--"/>
    <n v="0"/>
    <n v="0"/>
    <n v="0"/>
    <n v="0"/>
    <n v="0"/>
    <n v="0"/>
    <s v="--"/>
    <s v="--"/>
    <d v="1899-12-31T19:50:00"/>
    <d v="1899-12-30T00:00:00"/>
    <n v="0"/>
    <d v="1899-12-30T00:00:00"/>
    <s v="Não"/>
    <s v="00:00.00"/>
    <n v="1"/>
    <n v="0"/>
    <d v="1899-12-30T00:00:00"/>
    <d v="1899-12-30T00:43:50"/>
    <s v="--"/>
    <s v="--"/>
  </r>
  <r>
    <x v="2"/>
    <d v="2020-04-15T06:57:11"/>
    <s v="false"/>
    <s v="Blumenau Corrida"/>
    <n v="5.23"/>
    <n v="456"/>
    <d v="1899-12-30T00:32:06"/>
    <n v="172"/>
    <n v="191"/>
    <s v="--"/>
    <s v="--"/>
    <s v="--"/>
    <d v="1899-12-30T06:08:00"/>
    <d v="1899-12-30T04:24:00"/>
    <n v="18"/>
    <n v="33"/>
    <n v="0"/>
    <n v="0"/>
    <n v="0"/>
    <n v="0"/>
    <n v="0"/>
    <n v="0"/>
    <s v="--"/>
    <s v="--"/>
    <d v="1899-12-31T08:06:00"/>
    <d v="1899-12-30T00:00:00"/>
    <n v="0"/>
    <d v="1899-12-30T00:00:00"/>
    <s v="Não"/>
    <s v="00:04.61"/>
    <n v="12"/>
    <n v="0"/>
    <d v="1899-12-30T00:29:20"/>
    <d v="1899-12-30T00:32:06"/>
    <n v="12"/>
    <n v="30"/>
  </r>
  <r>
    <x v="2"/>
    <d v="2020-04-14T07:28:53"/>
    <s v="false"/>
    <s v="Musculação&quot; em casa&quot;"/>
    <n v="0"/>
    <n v="403"/>
    <d v="1899-12-30T00:43:43"/>
    <n v="138"/>
    <n v="170"/>
    <s v="--"/>
    <s v="--"/>
    <s v="--"/>
    <s v="--"/>
    <s v="--"/>
    <s v="--"/>
    <s v="--"/>
    <n v="0"/>
    <n v="0"/>
    <n v="0"/>
    <n v="0"/>
    <n v="0"/>
    <n v="0"/>
    <s v="--"/>
    <s v="--"/>
    <d v="1899-12-31T19:43:00"/>
    <d v="1899-12-30T00:00:00"/>
    <n v="0"/>
    <d v="1899-12-30T00:00:00"/>
    <s v="Não"/>
    <s v="00:00.00"/>
    <n v="1"/>
    <n v="0"/>
    <d v="1899-12-30T00:00:00"/>
    <d v="1899-12-30T00:43:43"/>
    <s v="--"/>
    <s v="--"/>
  </r>
  <r>
    <x v="2"/>
    <d v="2020-04-13T06:45:27"/>
    <s v="false"/>
    <s v="Blumenau Corrida"/>
    <n v="5.32"/>
    <n v="470"/>
    <d v="1899-12-30T00:30:01"/>
    <n v="180"/>
    <n v="194"/>
    <s v="--"/>
    <s v="--"/>
    <s v="--"/>
    <d v="1899-12-30T05:39:00"/>
    <d v="1899-12-30T05:13:00"/>
    <n v="42"/>
    <n v="48"/>
    <n v="0"/>
    <n v="0"/>
    <n v="0"/>
    <n v="0"/>
    <n v="0"/>
    <n v="0"/>
    <s v="--"/>
    <s v="--"/>
    <d v="1899-12-31T06:01:00"/>
    <d v="1899-12-30T00:00:00"/>
    <n v="0"/>
    <d v="1899-12-30T00:00:00"/>
    <s v="Não"/>
    <s v="00:00.00"/>
    <n v="1"/>
    <n v="0"/>
    <d v="1899-12-30T00:30:01"/>
    <d v="1899-12-30T00:30:01"/>
    <n v="12"/>
    <n v="38"/>
  </r>
  <r>
    <x v="2"/>
    <d v="2020-04-11T08:28:23"/>
    <s v="false"/>
    <s v="Blumenau Corrida"/>
    <n v="5.23"/>
    <n v="465"/>
    <d v="1899-12-30T00:30:01"/>
    <n v="179"/>
    <n v="192"/>
    <s v="--"/>
    <s v="--"/>
    <s v="--"/>
    <d v="1899-12-30T05:44:00"/>
    <d v="1899-12-30T01:04:00"/>
    <n v="45"/>
    <n v="50"/>
    <n v="0"/>
    <n v="0"/>
    <n v="0"/>
    <n v="0"/>
    <n v="0"/>
    <n v="0"/>
    <s v="--"/>
    <s v="--"/>
    <d v="1899-12-31T06:01:00"/>
    <d v="1899-12-30T00:00:00"/>
    <n v="0"/>
    <d v="1899-12-30T00:00:00"/>
    <s v="Não"/>
    <s v="00:00.00"/>
    <n v="1"/>
    <n v="0"/>
    <d v="1899-12-30T00:30:01"/>
    <d v="1899-12-30T00:30:01"/>
    <n v="22"/>
    <n v="45"/>
  </r>
  <r>
    <x v="2"/>
    <d v="2020-04-08T07:46:34"/>
    <s v="false"/>
    <s v="Blumenau Corrida"/>
    <n v="5.19"/>
    <n v="346"/>
    <d v="1899-12-30T00:40:47"/>
    <s v="--"/>
    <s v="--"/>
    <s v="--"/>
    <s v="--"/>
    <s v="--"/>
    <d v="1899-12-30T07:52:00"/>
    <d v="1899-12-30T01:03:00"/>
    <n v="21"/>
    <n v="20"/>
    <n v="0"/>
    <n v="0"/>
    <n v="0"/>
    <n v="0"/>
    <n v="0"/>
    <n v="0"/>
    <s v="--"/>
    <s v="--"/>
    <d v="1899-12-31T16:47:00"/>
    <d v="1899-12-30T00:00:00"/>
    <n v="0"/>
    <d v="1899-12-30T00:00:00"/>
    <s v="Não"/>
    <s v="02:01.44"/>
    <n v="14"/>
    <n v="0"/>
    <d v="1899-12-30T00:40:46"/>
    <d v="1899-12-30T00:40:47"/>
    <n v="18"/>
    <n v="26"/>
  </r>
  <r>
    <x v="2"/>
    <d v="2020-04-06T08:28:29"/>
    <s v="false"/>
    <s v="Blumenau Corrida"/>
    <n v="3.57"/>
    <n v="312"/>
    <d v="1899-12-30T00:33:33"/>
    <n v="139"/>
    <n v="178"/>
    <s v="--"/>
    <s v="--"/>
    <s v="--"/>
    <d v="1899-12-30T09:24:00"/>
    <d v="1899-12-30T00:35:00"/>
    <n v="16"/>
    <n v="16"/>
    <n v="0"/>
    <n v="0"/>
    <n v="0"/>
    <n v="0"/>
    <n v="0"/>
    <n v="0"/>
    <s v="--"/>
    <s v="--"/>
    <d v="1899-12-31T09:33:00"/>
    <d v="1899-12-30T00:00:00"/>
    <n v="0"/>
    <d v="1899-12-30T00:00:00"/>
    <s v="Não"/>
    <s v="02:49.21"/>
    <n v="8"/>
    <n v="0"/>
    <d v="1899-12-30T00:32:13"/>
    <d v="1899-12-30T00:33:33"/>
    <n v="18"/>
    <n v="25"/>
  </r>
  <r>
    <x v="2"/>
    <d v="2020-03-14T06:54:48"/>
    <s v="false"/>
    <s v="Blumenau Corrida"/>
    <n v="10.01"/>
    <n v="711"/>
    <d v="1899-12-30T01:05:37"/>
    <s v="--"/>
    <s v="--"/>
    <s v="--"/>
    <s v="--"/>
    <s v="--"/>
    <d v="1899-12-30T06:33:00"/>
    <d v="1899-12-30T01:44:00"/>
    <n v="133"/>
    <n v="134"/>
    <n v="0"/>
    <n v="0"/>
    <n v="0"/>
    <n v="0"/>
    <n v="0"/>
    <n v="0"/>
    <s v="--"/>
    <s v="--"/>
    <d v="1899-12-30T01:05:37"/>
    <d v="1899-12-30T00:00:00"/>
    <n v="0"/>
    <d v="1899-12-30T00:00:00"/>
    <s v="Não"/>
    <s v="00:00.00"/>
    <n v="1"/>
    <n v="0"/>
    <d v="1899-12-30T01:05:37"/>
    <d v="1899-12-30T01:05:37"/>
    <n v="21"/>
    <n v="60"/>
  </r>
  <r>
    <x v="2"/>
    <d v="2020-03-09T19:05:22"/>
    <s v="false"/>
    <s v="Blumenau Corrida"/>
    <n v="6.17"/>
    <n v="449"/>
    <d v="1899-12-30T00:35:30"/>
    <s v="--"/>
    <s v="--"/>
    <s v="--"/>
    <s v="--"/>
    <s v="--"/>
    <d v="1899-12-30T05:45:00"/>
    <d v="1899-12-30T05:19:00"/>
    <n v="13"/>
    <n v="15"/>
    <n v="0"/>
    <n v="0"/>
    <n v="0"/>
    <n v="0"/>
    <n v="0"/>
    <n v="0"/>
    <s v="--"/>
    <s v="--"/>
    <d v="1899-12-31T11:30:00"/>
    <d v="1899-12-30T00:00:00"/>
    <n v="0"/>
    <d v="1899-12-30T00:00:00"/>
    <s v="Não"/>
    <s v="05:40.48"/>
    <n v="6"/>
    <n v="0"/>
    <d v="1899-12-30T00:35:29"/>
    <d v="1899-12-30T00:35:30"/>
    <n v="13"/>
    <n v="21"/>
  </r>
  <r>
    <x v="2"/>
    <d v="2020-03-04T19:09:53"/>
    <s v="false"/>
    <s v="Blumenau Corrida"/>
    <n v="3.3"/>
    <n v="193"/>
    <d v="1899-12-30T00:31:07"/>
    <s v="--"/>
    <s v="--"/>
    <s v="--"/>
    <s v="--"/>
    <s v="--"/>
    <d v="1899-12-30T09:27:00"/>
    <d v="1899-12-30T06:16:00"/>
    <n v="7"/>
    <n v="10"/>
    <n v="0"/>
    <n v="0"/>
    <n v="0"/>
    <n v="0"/>
    <n v="0"/>
    <n v="0"/>
    <s v="--"/>
    <s v="--"/>
    <d v="1899-12-31T07:07:00"/>
    <d v="1899-12-30T00:00:00"/>
    <n v="0"/>
    <d v="1899-12-30T00:00:00"/>
    <s v="Não"/>
    <s v="00:00.00"/>
    <n v="1"/>
    <n v="0"/>
    <d v="1899-12-30T00:31:06"/>
    <d v="1899-12-30T00:33:17"/>
    <n v="13"/>
    <n v="20"/>
  </r>
  <r>
    <x v="2"/>
    <d v="2020-03-02T19:08:10"/>
    <s v="false"/>
    <s v="Blumenau Corrida"/>
    <n v="4.5"/>
    <n v="333"/>
    <d v="1899-12-30T00:27:37"/>
    <s v="--"/>
    <s v="--"/>
    <s v="--"/>
    <s v="--"/>
    <s v="--"/>
    <d v="1899-12-30T06:08:00"/>
    <d v="1899-12-30T03:10:00"/>
    <n v="17"/>
    <n v="14"/>
    <n v="0"/>
    <n v="0"/>
    <n v="0"/>
    <n v="0"/>
    <n v="0"/>
    <n v="0"/>
    <s v="--"/>
    <s v="--"/>
    <d v="1899-12-31T03:37:00"/>
    <d v="1899-12-30T00:00:00"/>
    <n v="0"/>
    <d v="1899-12-30T00:00:00"/>
    <s v="Não"/>
    <s v="00:02.13"/>
    <n v="18"/>
    <n v="0"/>
    <d v="1899-12-30T00:25:14"/>
    <d v="1899-12-30T00:40:04"/>
    <n v="17"/>
    <n v="26"/>
  </r>
  <r>
    <x v="2"/>
    <d v="2020-02-29T06:48:19"/>
    <s v="false"/>
    <s v="Blumenau Corrida"/>
    <n v="10"/>
    <n v="733"/>
    <d v="1899-12-30T01:00:44"/>
    <s v="--"/>
    <s v="--"/>
    <s v="--"/>
    <s v="--"/>
    <s v="--"/>
    <d v="1899-12-30T06:04:00"/>
    <d v="1899-12-30T02:22:00"/>
    <n v="142"/>
    <n v="145"/>
    <n v="0"/>
    <n v="0"/>
    <n v="0"/>
    <n v="0"/>
    <n v="0"/>
    <n v="0"/>
    <s v="--"/>
    <s v="--"/>
    <d v="1899-12-30T01:00:44"/>
    <d v="1899-12-30T00:00:00"/>
    <n v="0"/>
    <d v="1899-12-30T00:00:00"/>
    <s v="Não"/>
    <s v="00:00.00"/>
    <n v="1"/>
    <n v="0"/>
    <d v="1899-12-30T01:00:44"/>
    <d v="1899-12-30T01:00:44"/>
    <n v="22"/>
    <n v="60"/>
  </r>
  <r>
    <x v="2"/>
    <d v="2020-02-26T19:13:49"/>
    <s v="false"/>
    <s v="Blumenau Corrida"/>
    <n v="3.47"/>
    <n v="192"/>
    <d v="1899-12-30T00:35:35"/>
    <s v="--"/>
    <s v="--"/>
    <s v="--"/>
    <s v="--"/>
    <s v="--"/>
    <d v="1899-12-30T10:16:00"/>
    <d v="1899-12-30T06:26:00"/>
    <n v="61"/>
    <n v="61"/>
    <n v="0"/>
    <n v="0"/>
    <n v="0"/>
    <n v="0"/>
    <n v="0"/>
    <n v="0"/>
    <s v="--"/>
    <s v="--"/>
    <d v="1899-12-31T11:35:00"/>
    <d v="1899-12-30T00:00:00"/>
    <n v="0"/>
    <d v="1899-12-30T00:00:00"/>
    <s v="Não"/>
    <s v="00:37.96"/>
    <n v="7"/>
    <n v="0"/>
    <d v="1899-12-30T00:33:45"/>
    <d v="1899-12-30T00:35:35"/>
    <n v="17"/>
    <n v="28"/>
  </r>
  <r>
    <x v="2"/>
    <d v="2020-02-24T19:11:49"/>
    <s v="false"/>
    <s v="Blumenau Corrida"/>
    <n v="1.53"/>
    <n v="80"/>
    <d v="1899-12-30T00:18:36"/>
    <s v="--"/>
    <s v="--"/>
    <s v="--"/>
    <s v="--"/>
    <s v="--"/>
    <d v="1899-12-30T12:09:00"/>
    <d v="1899-12-30T08:52:00"/>
    <n v="13"/>
    <s v="--"/>
    <n v="0"/>
    <n v="0"/>
    <n v="0"/>
    <n v="0"/>
    <n v="0"/>
    <n v="0"/>
    <s v="--"/>
    <s v="--"/>
    <d v="1899-12-30T18:36:00"/>
    <d v="1899-12-30T00:00:00"/>
    <n v="0"/>
    <d v="1899-12-30T00:00:00"/>
    <s v="Não"/>
    <s v="00:00.00"/>
    <n v="1"/>
    <n v="0"/>
    <d v="1899-12-30T00:18:36"/>
    <d v="1899-12-30T00:18:36"/>
    <n v="14"/>
    <n v="29"/>
  </r>
  <r>
    <x v="2"/>
    <d v="2020-02-24T18:51:28"/>
    <s v="false"/>
    <s v="Blumenau Corrida"/>
    <n v="3.06"/>
    <n v="192"/>
    <d v="1899-12-30T00:20:06"/>
    <s v="--"/>
    <s v="--"/>
    <s v="--"/>
    <s v="--"/>
    <s v="--"/>
    <d v="1899-12-30T06:34:00"/>
    <d v="1899-12-30T04:03:00"/>
    <n v="6"/>
    <n v="6"/>
    <n v="0"/>
    <n v="0"/>
    <n v="0"/>
    <n v="0"/>
    <n v="0"/>
    <n v="0"/>
    <s v="--"/>
    <s v="--"/>
    <d v="1899-12-30T20:06:00"/>
    <d v="1899-12-30T00:00:00"/>
    <n v="0"/>
    <d v="1899-12-30T00:00:00"/>
    <s v="Não"/>
    <s v="00:58.40"/>
    <n v="20"/>
    <n v="0"/>
    <d v="1899-12-30T00:20:01"/>
    <d v="1899-12-30T00:20:06"/>
    <n v="14"/>
    <n v="18"/>
  </r>
  <r>
    <x v="2"/>
    <d v="2020-02-24T18:35:14"/>
    <s v="false"/>
    <s v="Blumenau Corrida"/>
    <n v="2"/>
    <n v="149"/>
    <d v="1899-12-30T00:11:42"/>
    <s v="--"/>
    <s v="--"/>
    <s v="--"/>
    <s v="--"/>
    <s v="--"/>
    <d v="1899-12-30T05:51:00"/>
    <d v="1899-12-30T04:02:00"/>
    <n v="3"/>
    <n v="18"/>
    <n v="0"/>
    <n v="0"/>
    <n v="0"/>
    <n v="0"/>
    <n v="0"/>
    <n v="0"/>
    <s v="--"/>
    <s v="--"/>
    <d v="1899-12-30T11:42:00"/>
    <d v="1899-12-30T00:00:00"/>
    <n v="0"/>
    <d v="1899-12-30T00:00:00"/>
    <s v="Não"/>
    <s v="00:00.00"/>
    <n v="1"/>
    <n v="0"/>
    <d v="1899-12-30T00:11:42"/>
    <d v="1899-12-30T00:11:42"/>
    <n v="12"/>
    <n v="28"/>
  </r>
  <r>
    <x v="2"/>
    <d v="2020-02-21T13:08:18"/>
    <s v="false"/>
    <s v="Corrida"/>
    <n v="0"/>
    <s v="--"/>
    <d v="1899-12-30T00:00:07"/>
    <s v="--"/>
    <s v="--"/>
    <s v="--"/>
    <s v="--"/>
    <s v="--"/>
    <s v="--"/>
    <s v="--"/>
    <s v="--"/>
    <s v="--"/>
    <n v="0"/>
    <n v="0"/>
    <n v="0"/>
    <n v="0"/>
    <n v="0"/>
    <n v="0"/>
    <s v="--"/>
    <s v="--"/>
    <d v="1899-12-30T00:00:07"/>
    <d v="1899-12-30T00:00:00"/>
    <n v="0"/>
    <d v="1899-12-30T00:00:00"/>
    <s v="Não"/>
    <s v="00:00.00"/>
    <n v="1"/>
    <n v="0"/>
    <d v="1899-12-30T00:00:00"/>
    <d v="1899-12-30T00:00:07"/>
    <s v="--"/>
    <s v="--"/>
  </r>
  <r>
    <x v="2"/>
    <d v="2020-02-19T19:08:03"/>
    <s v="false"/>
    <s v="Blumenau Corrida"/>
    <n v="5.37"/>
    <n v="362"/>
    <d v="1899-12-30T00:47:58"/>
    <s v="--"/>
    <s v="--"/>
    <s v="--"/>
    <s v="--"/>
    <s v="--"/>
    <d v="1899-12-30T08:56:00"/>
    <d v="1899-12-30T03:58:00"/>
    <n v="148"/>
    <n v="138"/>
    <n v="0"/>
    <n v="0"/>
    <n v="0"/>
    <n v="0"/>
    <n v="0"/>
    <n v="0"/>
    <s v="--"/>
    <s v="--"/>
    <d v="1899-12-31T23:58:00"/>
    <d v="1899-12-30T00:00:00"/>
    <n v="0"/>
    <d v="1899-12-30T00:00:00"/>
    <s v="Não"/>
    <s v="00:36.84"/>
    <n v="24"/>
    <n v="0"/>
    <d v="1899-12-30T00:47:54"/>
    <d v="1899-12-30T00:47:58"/>
    <n v="13"/>
    <n v="61"/>
  </r>
  <r>
    <x v="2"/>
    <d v="2020-02-15T06:59:00"/>
    <s v="false"/>
    <s v="Blumenau Corrida"/>
    <n v="10"/>
    <n v="726"/>
    <d v="1899-12-30T01:02:29"/>
    <s v="--"/>
    <s v="--"/>
    <s v="--"/>
    <s v="--"/>
    <s v="--"/>
    <d v="1899-12-30T06:15:00"/>
    <d v="1899-12-30T02:07:00"/>
    <n v="125"/>
    <n v="129"/>
    <n v="0"/>
    <n v="0"/>
    <n v="0"/>
    <n v="0"/>
    <n v="0"/>
    <n v="0"/>
    <s v="--"/>
    <s v="--"/>
    <d v="1899-12-30T01:02:29"/>
    <d v="1899-12-30T00:00:00"/>
    <n v="0"/>
    <d v="1899-12-30T00:00:00"/>
    <s v="Não"/>
    <s v="00:00.00"/>
    <n v="1"/>
    <n v="0"/>
    <d v="1899-12-30T01:02:29"/>
    <d v="1899-12-30T01:02:29"/>
    <n v="22"/>
    <n v="59"/>
  </r>
  <r>
    <x v="2"/>
    <d v="2020-02-12T19:16:23"/>
    <s v="false"/>
    <s v="Blumenau Corrida"/>
    <n v="4.17"/>
    <n v="293"/>
    <d v="1899-12-30T00:33:09"/>
    <s v="--"/>
    <s v="--"/>
    <s v="--"/>
    <s v="--"/>
    <s v="--"/>
    <d v="1899-12-30T07:57:00"/>
    <d v="1899-12-30T04:28:00"/>
    <n v="138"/>
    <n v="145"/>
    <n v="0"/>
    <n v="0"/>
    <n v="0"/>
    <n v="0"/>
    <n v="0"/>
    <n v="0"/>
    <s v="--"/>
    <s v="--"/>
    <d v="1899-12-31T09:09:00"/>
    <d v="1899-12-30T00:00:00"/>
    <n v="0"/>
    <d v="1899-12-30T00:00:00"/>
    <s v="Não"/>
    <s v="01:04.36"/>
    <n v="15"/>
    <n v="0"/>
    <d v="1899-12-30T00:31:16"/>
    <d v="1899-12-30T00:33:37"/>
    <n v="19"/>
    <n v="63"/>
  </r>
  <r>
    <x v="2"/>
    <d v="2020-02-10T19:10:00"/>
    <s v="false"/>
    <s v="Blumenau Corrida"/>
    <n v="6.22"/>
    <n v="449"/>
    <d v="1899-12-30T00:44:21"/>
    <s v="--"/>
    <s v="--"/>
    <s v="--"/>
    <s v="--"/>
    <s v="--"/>
    <d v="1899-12-30T07:08:00"/>
    <d v="1899-12-30T03:32:00"/>
    <n v="6"/>
    <n v="7"/>
    <n v="0"/>
    <n v="0"/>
    <n v="0"/>
    <n v="0"/>
    <n v="0"/>
    <n v="0"/>
    <s v="--"/>
    <s v="--"/>
    <d v="1899-12-31T20:21:00"/>
    <d v="1899-12-30T00:00:00"/>
    <n v="0"/>
    <d v="1899-12-30T00:00:00"/>
    <s v="Não"/>
    <s v="00:44.84"/>
    <n v="19"/>
    <n v="0"/>
    <d v="1899-12-30T00:44:18"/>
    <d v="1899-12-30T00:44:21"/>
    <n v="13"/>
    <n v="20"/>
  </r>
  <r>
    <x v="2"/>
    <d v="2020-02-09T07:46:49"/>
    <s v="false"/>
    <s v="Blumenau Corrida"/>
    <n v="7.36"/>
    <n v="516"/>
    <d v="1899-12-30T00:50:37"/>
    <s v="--"/>
    <s v="--"/>
    <s v="--"/>
    <s v="--"/>
    <s v="--"/>
    <d v="1899-12-30T06:53:00"/>
    <d v="1899-12-30T03:03:00"/>
    <n v="27"/>
    <n v="31"/>
    <n v="0"/>
    <n v="0"/>
    <n v="0"/>
    <n v="0"/>
    <n v="0"/>
    <n v="0"/>
    <s v="--"/>
    <s v="--"/>
    <d v="1900-01-01T02:37:00"/>
    <d v="1899-12-30T00:00:00"/>
    <n v="0"/>
    <d v="1899-12-30T00:00:00"/>
    <s v="Não"/>
    <s v="00:01.16"/>
    <n v="10"/>
    <n v="0"/>
    <d v="1899-12-30T00:50:34"/>
    <d v="1899-12-30T00:50:37"/>
    <n v="12"/>
    <n v="29"/>
  </r>
  <r>
    <x v="2"/>
    <d v="2020-02-05T19:09:03"/>
    <s v="false"/>
    <s v="Blumenau Corrida"/>
    <n v="5.18"/>
    <n v="363"/>
    <d v="1899-12-30T00:40:10"/>
    <s v="--"/>
    <s v="--"/>
    <s v="--"/>
    <s v="--"/>
    <s v="--"/>
    <d v="1899-12-30T07:45:00"/>
    <d v="1899-12-30T04:27:00"/>
    <n v="158"/>
    <n v="151"/>
    <n v="0"/>
    <n v="0"/>
    <n v="0"/>
    <n v="0"/>
    <n v="0"/>
    <n v="0"/>
    <s v="--"/>
    <s v="--"/>
    <d v="1899-12-31T16:10:00"/>
    <d v="1899-12-30T00:00:00"/>
    <n v="0"/>
    <d v="1899-12-30T00:00:00"/>
    <s v="Não"/>
    <s v="00:58.36"/>
    <n v="17"/>
    <n v="0"/>
    <d v="1899-12-30T00:37:49"/>
    <d v="1899-12-30T00:40:10"/>
    <n v="16"/>
    <n v="55"/>
  </r>
  <r>
    <x v="2"/>
    <d v="2020-02-02T07:56:37"/>
    <s v="false"/>
    <s v="Blumenau Corrida"/>
    <n v="9.2799999999999994"/>
    <n v="658"/>
    <d v="1899-12-30T01:02:55"/>
    <s v="--"/>
    <s v="--"/>
    <s v="--"/>
    <s v="--"/>
    <s v="--"/>
    <d v="1899-12-30T06:47:00"/>
    <d v="1899-12-30T05:04:00"/>
    <n v="92"/>
    <n v="92"/>
    <n v="0"/>
    <n v="0"/>
    <n v="0"/>
    <n v="0"/>
    <n v="0"/>
    <n v="0"/>
    <s v="--"/>
    <s v="--"/>
    <d v="1899-12-30T01:02:55"/>
    <d v="1899-12-30T00:00:00"/>
    <n v="0"/>
    <d v="1899-12-30T00:00:00"/>
    <s v="Não"/>
    <s v="00:00.00"/>
    <n v="1"/>
    <n v="0"/>
    <d v="1899-12-30T01:02:54"/>
    <d v="1899-12-30T01:02:55"/>
    <n v="12"/>
    <n v="56"/>
  </r>
  <r>
    <x v="2"/>
    <d v="2020-01-29T19:04:28"/>
    <s v="false"/>
    <s v="Blumenau Corrida"/>
    <n v="6.13"/>
    <n v="450"/>
    <d v="1899-12-30T00:35:34"/>
    <s v="--"/>
    <s v="--"/>
    <s v="--"/>
    <s v="--"/>
    <s v="--"/>
    <d v="1899-12-30T05:48:00"/>
    <d v="1899-12-30T05:03:00"/>
    <n v="15"/>
    <n v="16"/>
    <n v="0"/>
    <n v="0"/>
    <n v="0"/>
    <n v="0"/>
    <n v="0"/>
    <n v="0"/>
    <s v="--"/>
    <s v="--"/>
    <d v="1899-12-31T11:34:00"/>
    <d v="1899-12-30T00:00:00"/>
    <n v="0"/>
    <d v="1899-12-30T00:00:00"/>
    <s v="Não"/>
    <s v="00:00.00"/>
    <n v="1"/>
    <n v="0"/>
    <d v="1899-12-30T00:35:34"/>
    <d v="1899-12-30T00:35:34"/>
    <n v="13"/>
    <n v="20"/>
  </r>
  <r>
    <x v="2"/>
    <d v="2020-01-27T19:36:10"/>
    <s v="false"/>
    <s v="Blumenau Corrida"/>
    <n v="0.65"/>
    <n v="49"/>
    <d v="1899-12-30T00:04:18"/>
    <s v="--"/>
    <s v="--"/>
    <s v="--"/>
    <s v="--"/>
    <s v="--"/>
    <d v="1899-12-30T06:33:00"/>
    <d v="1899-12-30T05:30:00"/>
    <n v="8"/>
    <n v="7"/>
    <n v="0"/>
    <n v="0"/>
    <n v="0"/>
    <n v="0"/>
    <n v="0"/>
    <n v="0"/>
    <s v="--"/>
    <s v="--"/>
    <d v="1899-12-30T00:04:18"/>
    <d v="1899-12-30T00:00:00"/>
    <n v="0"/>
    <d v="1899-12-30T00:00:00"/>
    <s v="Não"/>
    <s v="00:00.00"/>
    <n v="1"/>
    <n v="0"/>
    <d v="1899-12-30T00:04:18"/>
    <d v="1899-12-30T00:04:18"/>
    <n v="17"/>
    <n v="26"/>
  </r>
  <r>
    <x v="2"/>
    <d v="2020-01-27T19:28:14"/>
    <s v="false"/>
    <s v="Blumenau Corrida"/>
    <n v="0.99"/>
    <n v="73"/>
    <d v="1899-12-30T00:04:06"/>
    <s v="--"/>
    <s v="--"/>
    <s v="--"/>
    <s v="--"/>
    <s v="--"/>
    <d v="1899-12-30T04:07:00"/>
    <d v="1899-12-30T03:39:00"/>
    <n v="8"/>
    <n v="17"/>
    <n v="0"/>
    <n v="0"/>
    <n v="0"/>
    <n v="0"/>
    <n v="0"/>
    <n v="0"/>
    <s v="--"/>
    <s v="--"/>
    <d v="1899-12-30T00:04:06"/>
    <d v="1899-12-30T00:00:00"/>
    <n v="0"/>
    <d v="1899-12-30T00:00:00"/>
    <s v="Não"/>
    <s v="00:00.00"/>
    <n v="1"/>
    <n v="0"/>
    <d v="1899-12-30T00:04:06"/>
    <d v="1899-12-30T00:04:06"/>
    <n v="17"/>
    <n v="27"/>
  </r>
  <r>
    <x v="2"/>
    <d v="2020-01-27T19:19:49"/>
    <s v="false"/>
    <s v="Blumenau Corrida"/>
    <n v="0.63"/>
    <n v="47"/>
    <d v="1899-12-30T00:04:02"/>
    <s v="--"/>
    <s v="--"/>
    <s v="--"/>
    <s v="--"/>
    <s v="--"/>
    <d v="1899-12-30T06:26:00"/>
    <d v="1899-12-30T05:55:00"/>
    <n v="8"/>
    <n v="9"/>
    <n v="0"/>
    <n v="0"/>
    <n v="0"/>
    <n v="0"/>
    <n v="0"/>
    <n v="0"/>
    <s v="--"/>
    <s v="--"/>
    <d v="1899-12-30T00:04:02"/>
    <d v="1899-12-30T00:00:00"/>
    <n v="0"/>
    <d v="1899-12-30T00:00:00"/>
    <s v="Não"/>
    <s v="00:00.00"/>
    <n v="1"/>
    <n v="0"/>
    <d v="1899-12-30T00:04:02"/>
    <d v="1899-12-30T00:04:02"/>
    <n v="17"/>
    <n v="27"/>
  </r>
  <r>
    <x v="2"/>
    <d v="2020-01-22T19:05:33"/>
    <s v="false"/>
    <s v="Blumenau Corrida"/>
    <n v="5.32"/>
    <n v="380"/>
    <d v="1899-12-30T00:34:44"/>
    <s v="--"/>
    <s v="--"/>
    <s v="--"/>
    <s v="--"/>
    <s v="--"/>
    <d v="1899-12-30T06:32:00"/>
    <d v="1899-12-30T04:26:00"/>
    <n v="107"/>
    <n v="117"/>
    <n v="0"/>
    <n v="0"/>
    <n v="0"/>
    <n v="0"/>
    <n v="0"/>
    <n v="0"/>
    <s v="--"/>
    <s v="--"/>
    <d v="1899-12-31T10:44:00"/>
    <d v="1899-12-30T00:00:00"/>
    <n v="0"/>
    <d v="1899-12-30T00:00:00"/>
    <s v="Não"/>
    <s v="00:00.85"/>
    <n v="15"/>
    <n v="0"/>
    <d v="1899-12-30T00:34:41"/>
    <d v="1899-12-30T00:40:49"/>
    <n v="13"/>
    <n v="54"/>
  </r>
  <r>
    <x v="2"/>
    <d v="2020-01-20T19:05:50"/>
    <s v="false"/>
    <s v="Blumenau Corrida"/>
    <n v="6.96"/>
    <n v="503"/>
    <d v="1899-12-30T00:47:17"/>
    <s v="--"/>
    <s v="--"/>
    <s v="--"/>
    <s v="--"/>
    <s v="--"/>
    <d v="1899-12-30T06:47:00"/>
    <d v="1899-12-30T04:12:00"/>
    <n v="56"/>
    <n v="49"/>
    <n v="0"/>
    <n v="0"/>
    <n v="0"/>
    <n v="0"/>
    <n v="0"/>
    <n v="0"/>
    <s v="--"/>
    <s v="--"/>
    <d v="1899-12-31T23:17:00"/>
    <d v="1899-12-30T00:00:00"/>
    <n v="0"/>
    <d v="1899-12-30T00:00:00"/>
    <s v="Não"/>
    <s v="01:00.45"/>
    <n v="15"/>
    <n v="0"/>
    <d v="1899-12-30T00:45:51"/>
    <d v="1899-12-30T00:47:17"/>
    <n v="9"/>
    <n v="24"/>
  </r>
  <r>
    <x v="2"/>
    <d v="2020-01-18T07:26:32"/>
    <s v="false"/>
    <s v="Blumenau Corrida"/>
    <n v="7.71"/>
    <n v="565"/>
    <d v="1899-12-30T00:50:19"/>
    <s v="--"/>
    <s v="--"/>
    <s v="--"/>
    <s v="--"/>
    <s v="--"/>
    <d v="1899-12-30T06:31:00"/>
    <d v="1899-12-30T03:45:00"/>
    <n v="117"/>
    <n v="122"/>
    <n v="0"/>
    <n v="0"/>
    <n v="0"/>
    <n v="0"/>
    <n v="0"/>
    <n v="0"/>
    <s v="--"/>
    <s v="--"/>
    <d v="1900-01-01T02:19:00"/>
    <d v="1899-12-30T00:00:00"/>
    <n v="0"/>
    <d v="1899-12-30T00:00:00"/>
    <s v="Não"/>
    <s v="00:00.00"/>
    <n v="1"/>
    <n v="0"/>
    <d v="1899-12-30T00:50:19"/>
    <d v="1899-12-30T00:50:19"/>
    <n v="22"/>
    <n v="65"/>
  </r>
  <r>
    <x v="2"/>
    <d v="2020-01-15T19:43:08"/>
    <s v="false"/>
    <s v="Blumenau Corrida"/>
    <n v="0.41"/>
    <n v="30"/>
    <d v="1899-12-30T00:02:13"/>
    <s v="--"/>
    <s v="--"/>
    <s v="--"/>
    <s v="--"/>
    <s v="--"/>
    <d v="1899-12-30T05:24:00"/>
    <d v="1899-12-30T05:01:00"/>
    <s v="--"/>
    <s v="--"/>
    <n v="0"/>
    <n v="0"/>
    <n v="0"/>
    <n v="0"/>
    <n v="0"/>
    <n v="0"/>
    <s v="--"/>
    <s v="--"/>
    <d v="1899-12-30T00:02:13"/>
    <d v="1899-12-30T00:00:00"/>
    <n v="0"/>
    <d v="1899-12-30T00:00:00"/>
    <s v="Não"/>
    <s v="00:00.00"/>
    <n v="1"/>
    <n v="0"/>
    <d v="1899-12-30T00:02:13"/>
    <d v="1899-12-30T00:02:13"/>
    <n v="14"/>
    <n v="15"/>
  </r>
  <r>
    <x v="2"/>
    <d v="2020-01-15T19:05:45"/>
    <s v="false"/>
    <s v="Blumenau Corrida"/>
    <n v="5.66"/>
    <n v="410"/>
    <d v="1899-12-30T00:35:17"/>
    <s v="--"/>
    <s v="--"/>
    <s v="--"/>
    <s v="--"/>
    <s v="--"/>
    <d v="1899-12-30T06:14:00"/>
    <d v="1899-12-30T04:15:00"/>
    <s v="--"/>
    <s v="--"/>
    <n v="0"/>
    <n v="0"/>
    <n v="0"/>
    <n v="0"/>
    <n v="0"/>
    <n v="0"/>
    <s v="--"/>
    <s v="--"/>
    <d v="1899-12-31T11:17:00"/>
    <d v="1899-12-30T00:00:00"/>
    <n v="0"/>
    <d v="1899-12-30T00:00:00"/>
    <s v="Não"/>
    <s v="01:29.64"/>
    <n v="11"/>
    <n v="0"/>
    <d v="1899-12-30T00:32:51"/>
    <d v="1899-12-30T00:35:17"/>
    <n v="14"/>
    <n v="15"/>
  </r>
  <r>
    <x v="2"/>
    <d v="2020-01-13T19:13:36"/>
    <s v="false"/>
    <s v="Blumenau Correr"/>
    <n v="5.42"/>
    <n v="398"/>
    <d v="1899-12-30T00:30:32"/>
    <s v="--"/>
    <s v="--"/>
    <s v="--"/>
    <s v="--"/>
    <s v="--"/>
    <d v="1899-12-30T05:38:00"/>
    <d v="1899-12-30T03:36:00"/>
    <n v="41"/>
    <n v="40"/>
    <n v="0"/>
    <n v="0"/>
    <n v="0"/>
    <n v="0"/>
    <n v="0"/>
    <n v="0"/>
    <s v="--"/>
    <s v="--"/>
    <d v="1899-12-31T06:32:00"/>
    <d v="1899-12-30T00:00:00"/>
    <n v="0"/>
    <d v="1899-12-30T00:00:00"/>
    <s v="Não"/>
    <s v="00:00.00"/>
    <n v="1"/>
    <n v="0"/>
    <d v="1899-12-30T00:30:32"/>
    <d v="1899-12-30T00:32:25"/>
    <n v="15"/>
    <n v="24"/>
  </r>
  <r>
    <x v="2"/>
    <d v="2020-01-13T19:05:33"/>
    <s v="false"/>
    <s v="Blumenau Correr"/>
    <n v="0.69"/>
    <n v="51"/>
    <d v="1899-12-30T00:04:35"/>
    <s v="--"/>
    <s v="--"/>
    <s v="--"/>
    <s v="--"/>
    <s v="--"/>
    <d v="1899-12-30T06:39:00"/>
    <d v="1899-12-30T05:54:00"/>
    <n v="7"/>
    <n v="6"/>
    <n v="0"/>
    <n v="0"/>
    <n v="0"/>
    <n v="0"/>
    <n v="0"/>
    <n v="0"/>
    <s v="--"/>
    <s v="--"/>
    <d v="1899-12-30T00:04:35"/>
    <d v="1899-12-30T00:00:00"/>
    <n v="0"/>
    <d v="1899-12-30T00:00:00"/>
    <s v="Não"/>
    <s v="00:00.00"/>
    <n v="1"/>
    <n v="0"/>
    <d v="1899-12-30T00:04:35"/>
    <d v="1899-12-30T00:04:35"/>
    <n v="9"/>
    <n v="20"/>
  </r>
  <r>
    <x v="2"/>
    <d v="2020-01-11T07:30:46"/>
    <s v="false"/>
    <s v="Blumenau Correr"/>
    <n v="1.75"/>
    <n v="92"/>
    <d v="1899-12-30T00:22:10"/>
    <s v="--"/>
    <s v="--"/>
    <s v="--"/>
    <s v="--"/>
    <s v="--"/>
    <d v="1899-12-30T12:39:00"/>
    <d v="1899-12-30T08:29:00"/>
    <n v="18"/>
    <n v="15"/>
    <n v="0"/>
    <n v="0"/>
    <n v="0"/>
    <n v="0"/>
    <n v="0"/>
    <n v="0"/>
    <s v="--"/>
    <s v="--"/>
    <d v="1899-12-30T22:10:00"/>
    <d v="1899-12-30T00:00:00"/>
    <n v="0"/>
    <d v="1899-12-30T00:00:00"/>
    <s v="Não"/>
    <s v="00:00.00"/>
    <n v="1"/>
    <n v="0"/>
    <d v="1899-12-30T00:22:10"/>
    <d v="1899-12-30T00:22:10"/>
    <n v="14"/>
    <n v="28"/>
  </r>
  <r>
    <x v="2"/>
    <d v="2020-01-11T06:50:57"/>
    <s v="false"/>
    <s v="Blumenau Correr"/>
    <n v="4.8099999999999996"/>
    <n v="343"/>
    <d v="1899-12-30T00:38:59"/>
    <s v="--"/>
    <s v="--"/>
    <s v="--"/>
    <s v="--"/>
    <s v="--"/>
    <d v="1899-12-30T08:07:00"/>
    <d v="1899-12-30T04:22:00"/>
    <n v="6"/>
    <n v="5"/>
    <n v="0"/>
    <n v="0"/>
    <n v="0"/>
    <n v="0"/>
    <n v="0"/>
    <n v="0"/>
    <s v="--"/>
    <s v="--"/>
    <d v="1899-12-31T14:59:00"/>
    <d v="1899-12-30T00:00:00"/>
    <n v="0"/>
    <d v="1899-12-30T00:00:00"/>
    <s v="Não"/>
    <s v="00:02.29"/>
    <n v="16"/>
    <n v="0"/>
    <d v="1899-12-30T00:35:38"/>
    <d v="1899-12-30T00:38:59"/>
    <n v="14"/>
    <n v="18"/>
  </r>
  <r>
    <x v="2"/>
    <d v="2020-01-11T06:41:08"/>
    <s v="false"/>
    <s v="Blumenau Correr"/>
    <n v="1.42"/>
    <n v="104"/>
    <d v="1899-12-30T00:08:19"/>
    <s v="--"/>
    <s v="--"/>
    <s v="--"/>
    <s v="--"/>
    <s v="--"/>
    <d v="1899-12-30T05:52:00"/>
    <d v="1899-12-30T04:03:00"/>
    <n v="8"/>
    <n v="19"/>
    <n v="0"/>
    <n v="0"/>
    <n v="0"/>
    <n v="0"/>
    <n v="0"/>
    <n v="0"/>
    <s v="--"/>
    <s v="--"/>
    <d v="1899-12-30T00:08:19"/>
    <d v="1899-12-30T00:00:00"/>
    <n v="0"/>
    <d v="1899-12-30T00:00:00"/>
    <s v="Não"/>
    <s v="00:00.00"/>
    <n v="1"/>
    <n v="0"/>
    <d v="1899-12-30T00:08:19"/>
    <d v="1899-12-30T00:08:19"/>
    <n v="14"/>
    <n v="28"/>
  </r>
  <r>
    <x v="2"/>
    <d v="2020-01-06T19:17:39"/>
    <s v="false"/>
    <s v="Blumenau Correr"/>
    <n v="4.04"/>
    <n v="287"/>
    <d v="1899-12-30T00:27:06"/>
    <s v="--"/>
    <s v="--"/>
    <s v="--"/>
    <s v="--"/>
    <s v="--"/>
    <d v="1899-12-30T06:43:00"/>
    <d v="1899-12-30T03:46:00"/>
    <n v="43"/>
    <n v="36"/>
    <n v="0"/>
    <n v="0"/>
    <n v="0"/>
    <n v="0"/>
    <n v="0"/>
    <n v="0"/>
    <s v="--"/>
    <s v="--"/>
    <d v="1899-12-31T03:06:00"/>
    <d v="1899-12-30T00:00:00"/>
    <n v="0"/>
    <d v="1899-12-30T00:00:00"/>
    <s v="Não"/>
    <s v="00:53.56"/>
    <n v="23"/>
    <n v="0"/>
    <d v="1899-12-30T00:26:27"/>
    <d v="1899-12-30T00:27:06"/>
    <n v="17"/>
    <n v="26"/>
  </r>
  <r>
    <x v="2"/>
    <d v="2020-01-06T19:11:51"/>
    <s v="false"/>
    <s v="Blumenau Correr"/>
    <n v="0.63"/>
    <n v="45"/>
    <d v="1899-12-30T00:03:45"/>
    <s v="--"/>
    <s v="--"/>
    <s v="--"/>
    <s v="--"/>
    <s v="--"/>
    <d v="1899-12-30T05:59:00"/>
    <d v="1899-12-30T05:10:00"/>
    <n v="2"/>
    <s v="--"/>
    <n v="0"/>
    <n v="0"/>
    <n v="0"/>
    <n v="0"/>
    <n v="0"/>
    <n v="0"/>
    <s v="--"/>
    <s v="--"/>
    <d v="1899-12-30T00:03:45"/>
    <d v="1899-12-30T00:00:00"/>
    <n v="0"/>
    <d v="1899-12-30T00:00:00"/>
    <s v="Não"/>
    <s v="00:00.00"/>
    <n v="1"/>
    <n v="0"/>
    <d v="1899-12-30T00:03:45"/>
    <d v="1899-12-30T00:03:45"/>
    <n v="17"/>
    <n v="21"/>
  </r>
  <r>
    <x v="2"/>
    <d v="2019-12-02T18:16:17"/>
    <s v="false"/>
    <s v="Blumenau Correr"/>
    <n v="8"/>
    <n v="567"/>
    <d v="1899-12-30T00:48:43"/>
    <s v="--"/>
    <s v="--"/>
    <s v="--"/>
    <s v="--"/>
    <s v="--"/>
    <d v="1899-12-30T06:05:00"/>
    <d v="1899-12-30T04:38:00"/>
    <n v="26"/>
    <n v="30"/>
    <n v="0"/>
    <n v="0"/>
    <n v="0"/>
    <n v="0"/>
    <n v="0"/>
    <n v="0"/>
    <s v="--"/>
    <s v="--"/>
    <d v="1900-01-01T00:43:00"/>
    <d v="1899-12-30T00:00:00"/>
    <n v="0"/>
    <d v="1899-12-30T00:00:00"/>
    <s v="Não"/>
    <s v="02:02.08"/>
    <n v="11"/>
    <n v="0"/>
    <d v="1899-12-30T00:48:41"/>
    <d v="1899-12-30T00:48:43"/>
    <n v="12"/>
    <n v="29"/>
  </r>
  <r>
    <x v="2"/>
    <d v="2019-11-20T20:08:06"/>
    <s v="false"/>
    <s v="Blumenau Correr"/>
    <n v="4"/>
    <n v="292"/>
    <d v="1899-12-30T00:22:08"/>
    <s v="--"/>
    <s v="--"/>
    <s v="--"/>
    <s v="--"/>
    <s v="--"/>
    <d v="1899-12-30T05:32:00"/>
    <d v="1899-12-30T05:08:00"/>
    <n v="44"/>
    <n v="42"/>
    <n v="0"/>
    <n v="0"/>
    <n v="0"/>
    <n v="0"/>
    <n v="0"/>
    <n v="0"/>
    <s v="--"/>
    <s v="--"/>
    <d v="1899-12-30T22:08:00"/>
    <d v="1899-12-30T00:00:00"/>
    <n v="0"/>
    <d v="1899-12-30T00:00:00"/>
    <s v="Não"/>
    <s v="00:00.00"/>
    <n v="1"/>
    <n v="0"/>
    <d v="1899-12-30T00:22:08"/>
    <d v="1899-12-30T00:22:08"/>
    <n v="17"/>
    <n v="27"/>
  </r>
  <r>
    <x v="2"/>
    <d v="2019-11-13T20:11:10"/>
    <s v="false"/>
    <s v="Blumenau Correr"/>
    <n v="5"/>
    <n v="360"/>
    <d v="1899-12-30T00:26:25"/>
    <s v="--"/>
    <s v="--"/>
    <s v="--"/>
    <s v="--"/>
    <s v="--"/>
    <d v="1899-12-30T05:17:00"/>
    <d v="1899-12-30T04:42:00"/>
    <n v="51"/>
    <n v="44"/>
    <n v="0"/>
    <n v="0"/>
    <n v="0"/>
    <n v="0"/>
    <n v="0"/>
    <n v="0"/>
    <s v="--"/>
    <s v="--"/>
    <d v="1899-12-31T02:25:00"/>
    <d v="1899-12-30T00:00:00"/>
    <n v="0"/>
    <d v="1899-12-30T00:00:00"/>
    <s v="Não"/>
    <s v="00:00.77"/>
    <n v="6"/>
    <n v="0"/>
    <d v="1899-12-30T00:26:24"/>
    <d v="1899-12-30T00:26:25"/>
    <n v="17"/>
    <n v="26"/>
  </r>
  <r>
    <x v="2"/>
    <d v="2019-11-12T22:06:05"/>
    <s v="false"/>
    <s v="Correr"/>
    <n v="0"/>
    <s v="--"/>
    <d v="1899-12-30T00:56:46"/>
    <s v="--"/>
    <s v="--"/>
    <s v="--"/>
    <s v="--"/>
    <s v="--"/>
    <s v="--"/>
    <s v="--"/>
    <s v="--"/>
    <s v="--"/>
    <n v="0"/>
    <n v="0"/>
    <n v="0"/>
    <n v="0"/>
    <n v="0"/>
    <n v="0"/>
    <s v="--"/>
    <s v="--"/>
    <d v="1900-01-01T08:46:00"/>
    <d v="1899-12-30T00:00:00"/>
    <n v="0"/>
    <d v="1899-12-30T00:00:00"/>
    <s v="Não"/>
    <s v="00:00.00"/>
    <n v="1"/>
    <n v="0"/>
    <d v="1899-12-30T00:00:00"/>
    <d v="1899-12-30T00:56:46"/>
    <s v="--"/>
    <s v="--"/>
  </r>
  <r>
    <x v="2"/>
    <d v="2019-11-11T20:13:32"/>
    <s v="false"/>
    <s v="Blumenau Correr"/>
    <n v="6"/>
    <n v="437"/>
    <d v="1899-12-30T00:34:36"/>
    <s v="--"/>
    <s v="--"/>
    <s v="--"/>
    <s v="--"/>
    <s v="--"/>
    <d v="1899-12-30T05:46:00"/>
    <d v="1899-12-30T04:55:00"/>
    <n v="70"/>
    <n v="67"/>
    <n v="0"/>
    <n v="0"/>
    <n v="0"/>
    <n v="0"/>
    <n v="0"/>
    <n v="0"/>
    <s v="--"/>
    <s v="--"/>
    <d v="1899-12-31T10:36:00"/>
    <d v="1899-12-30T00:00:00"/>
    <n v="0"/>
    <d v="1899-12-30T00:00:00"/>
    <s v="Não"/>
    <s v="00:00.81"/>
    <n v="8"/>
    <n v="0"/>
    <d v="1899-12-30T00:34:36"/>
    <d v="1899-12-30T00:34:36"/>
    <n v="15"/>
    <n v="27"/>
  </r>
  <r>
    <x v="2"/>
    <d v="2019-11-08T19:33:01"/>
    <s v="false"/>
    <s v="Blumenau Corrida"/>
    <n v="0.97"/>
    <n v="65"/>
    <d v="1899-12-30T00:04:56"/>
    <s v="--"/>
    <s v="--"/>
    <s v="--"/>
    <n v="151"/>
    <n v="173"/>
    <d v="1899-12-30T05:06:00"/>
    <d v="1899-12-30T02:24:00"/>
    <s v="--"/>
    <s v="--"/>
    <n v="1.3"/>
    <n v="0"/>
    <n v="0"/>
    <n v="0"/>
    <n v="0"/>
    <n v="0"/>
    <s v="--"/>
    <s v="--"/>
    <d v="1899-12-30T00:04:56"/>
    <d v="1899-12-30T00:00:00"/>
    <n v="0"/>
    <d v="1899-12-30T00:00:00"/>
    <s v="Não"/>
    <s v="00:00.00"/>
    <n v="1"/>
    <n v="0"/>
    <d v="1899-12-30T00:04:30"/>
    <d v="1899-12-30T00:05:02"/>
    <n v="11"/>
    <n v="13"/>
  </r>
  <r>
    <x v="2"/>
    <d v="2019-11-08T19:16:29"/>
    <s v="false"/>
    <s v="Blumenau Corrida"/>
    <n v="2.31"/>
    <n v="172"/>
    <d v="1899-12-30T00:11:05"/>
    <s v="--"/>
    <s v="--"/>
    <s v="--"/>
    <n v="169"/>
    <n v="177"/>
    <d v="1899-12-30T04:47:00"/>
    <d v="1899-12-30T03:57:00"/>
    <s v="--"/>
    <s v="--"/>
    <n v="1.24"/>
    <n v="0"/>
    <n v="0"/>
    <n v="0"/>
    <n v="0"/>
    <n v="0"/>
    <s v="--"/>
    <s v="--"/>
    <d v="1899-12-30T11:05:00"/>
    <d v="1899-12-30T00:00:00"/>
    <n v="0"/>
    <d v="1899-12-30T00:00:00"/>
    <s v="Não"/>
    <s v="01:41.76"/>
    <n v="3"/>
    <n v="0"/>
    <d v="1899-12-30T00:10:58"/>
    <d v="1899-12-30T00:14:25"/>
    <n v="11"/>
    <n v="13"/>
  </r>
  <r>
    <x v="2"/>
    <d v="2019-11-08T19:06:10"/>
    <s v="false"/>
    <s v="Blumenau Corrida"/>
    <n v="1.02"/>
    <n v="73"/>
    <d v="1899-12-30T00:05:51"/>
    <s v="--"/>
    <s v="--"/>
    <s v="--"/>
    <n v="159"/>
    <n v="164"/>
    <d v="1899-12-30T05:45:00"/>
    <d v="1899-12-30T05:31:00"/>
    <s v="--"/>
    <s v="--"/>
    <n v="1.0900000000000001"/>
    <n v="0"/>
    <n v="0"/>
    <n v="0"/>
    <n v="0"/>
    <n v="0"/>
    <s v="--"/>
    <s v="--"/>
    <d v="1899-12-30T00:05:51"/>
    <d v="1899-12-30T00:00:00"/>
    <n v="0"/>
    <d v="1899-12-30T00:00:00"/>
    <s v="Não"/>
    <s v="00:06.54"/>
    <n v="2"/>
    <n v="0"/>
    <d v="1899-12-30T00:05:50"/>
    <d v="1899-12-30T00:05:51"/>
    <n v="10"/>
    <n v="13"/>
  </r>
  <r>
    <x v="2"/>
    <d v="2019-11-06T18:03:39"/>
    <s v="false"/>
    <s v="Blumenau Corrida"/>
    <n v="2.34"/>
    <n v="79"/>
    <d v="1899-12-30T00:11:26"/>
    <s v="--"/>
    <s v="--"/>
    <s v="--"/>
    <n v="173"/>
    <n v="185"/>
    <d v="1899-12-30T04:53:00"/>
    <d v="1899-12-30T02:49:00"/>
    <s v="--"/>
    <s v="--"/>
    <n v="1.19"/>
    <n v="0"/>
    <n v="0"/>
    <n v="0"/>
    <n v="0"/>
    <n v="0"/>
    <s v="--"/>
    <s v="--"/>
    <d v="1899-12-30T11:26:00"/>
    <d v="1899-12-30T00:00:00"/>
    <n v="0"/>
    <d v="1899-12-30T00:00:00"/>
    <s v="Não"/>
    <s v="01:43.26"/>
    <n v="3"/>
    <n v="0"/>
    <d v="1899-12-30T00:10:41"/>
    <d v="1899-12-30T00:12:00"/>
    <n v="11"/>
    <n v="13"/>
  </r>
  <r>
    <x v="2"/>
    <d v="2019-11-06T18:01:54"/>
    <s v="false"/>
    <s v="Blumenau Corrida"/>
    <n v="0.16"/>
    <s v="--"/>
    <d v="1899-12-30T00:00:52"/>
    <s v="--"/>
    <s v="--"/>
    <s v="--"/>
    <n v="118"/>
    <n v="118"/>
    <d v="1899-12-30T05:20:00"/>
    <s v="--"/>
    <s v="--"/>
    <s v="--"/>
    <n v="1.59"/>
    <n v="0"/>
    <n v="0"/>
    <n v="0"/>
    <n v="0"/>
    <n v="0"/>
    <s v="--"/>
    <s v="--"/>
    <d v="1899-12-30T00:00:52"/>
    <d v="1899-12-30T00:00:00"/>
    <n v="0"/>
    <d v="1899-12-30T00:00:00"/>
    <s v="Não"/>
    <s v="00:00.00"/>
    <n v="1"/>
    <n v="0"/>
    <d v="1899-12-30T00:00:00"/>
    <d v="1899-12-30T00:00:57"/>
    <n v="11"/>
    <n v="13"/>
  </r>
  <r>
    <x v="2"/>
    <d v="2019-11-06T17:53:13"/>
    <s v="false"/>
    <s v="Blumenau Corrida"/>
    <n v="0.4"/>
    <n v="14"/>
    <d v="1899-12-30T00:02:19"/>
    <s v="--"/>
    <s v="--"/>
    <s v="--"/>
    <n v="157"/>
    <n v="171"/>
    <d v="1899-12-30T05:50:00"/>
    <d v="1899-12-30T04:59:00"/>
    <s v="--"/>
    <s v="--"/>
    <n v="1.0900000000000001"/>
    <n v="0"/>
    <n v="0"/>
    <n v="0"/>
    <n v="0"/>
    <n v="0"/>
    <s v="--"/>
    <s v="--"/>
    <d v="1899-12-30T00:02:19"/>
    <d v="1899-12-30T00:00:00"/>
    <n v="0"/>
    <d v="1899-12-30T00:00:00"/>
    <s v="Não"/>
    <s v="00:00.00"/>
    <n v="1"/>
    <n v="0"/>
    <d v="1899-12-30T00:02:19"/>
    <d v="1899-12-30T00:02:19"/>
    <n v="11"/>
    <n v="13"/>
  </r>
  <r>
    <x v="2"/>
    <d v="2019-11-05T17:47:59"/>
    <s v="false"/>
    <s v="Blumenau Corrida"/>
    <n v="5.09"/>
    <n v="186"/>
    <d v="1899-12-30T00:30:03"/>
    <s v="--"/>
    <s v="--"/>
    <s v="--"/>
    <n v="164"/>
    <n v="171"/>
    <d v="1899-12-30T05:54:00"/>
    <d v="1899-12-30T04:31:00"/>
    <n v="1"/>
    <n v="1"/>
    <n v="1.03"/>
    <n v="0"/>
    <n v="0"/>
    <n v="0"/>
    <n v="0"/>
    <n v="0"/>
    <s v="--"/>
    <s v="--"/>
    <d v="1899-12-31T06:03:00"/>
    <d v="1899-12-30T00:00:00"/>
    <n v="0"/>
    <d v="1899-12-30T00:00:00"/>
    <s v="Não"/>
    <s v="00:34.37"/>
    <n v="6"/>
    <n v="0"/>
    <d v="1899-12-30T00:30:02"/>
    <d v="1899-12-30T00:30:03"/>
    <n v="10"/>
    <n v="1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x v="0"/>
    <d v="2021-07-19T06:49:42"/>
    <s v="false"/>
    <s v="Força"/>
    <n v="0"/>
    <n v="170"/>
    <d v="1899-12-30T00:36:12"/>
    <n v="107"/>
    <n v="152"/>
    <n v="1.1000000000000001"/>
    <s v="--"/>
    <s v="--"/>
    <s v="--"/>
    <s v="--"/>
    <s v="--"/>
    <s v="--"/>
    <n v="0"/>
    <n v="0"/>
    <n v="0"/>
    <n v="0"/>
    <n v="0"/>
    <n v="0"/>
    <n v="166"/>
    <n v="20"/>
    <d v="1899-12-31T12:12:00"/>
    <d v="1899-12-30T00:00:00"/>
    <n v="0"/>
    <d v="1899-12-30T00:00:00"/>
    <s v="Não"/>
    <s v="36:12.03"/>
    <n v="1"/>
    <n v="0"/>
    <d v="1899-12-30T00:18:51"/>
    <d v="1899-12-30T00:36:12"/>
    <s v="--"/>
    <s v="--"/>
  </r>
  <r>
    <x v="1"/>
    <d v="2021-07-18T08:38:18"/>
    <s v="false"/>
    <s v="Blumenau Ciclismo"/>
    <n v="18.04"/>
    <n v="636"/>
    <d v="1899-12-30T02:03:44"/>
    <n v="116"/>
    <n v="163"/>
    <n v="2.2000000000000002"/>
    <s v="--"/>
    <s v="--"/>
    <n v="8.6999999999999993"/>
    <n v="24.6"/>
    <n v="142"/>
    <n v="145"/>
    <n v="0"/>
    <n v="0"/>
    <n v="0"/>
    <n v="0"/>
    <n v="0"/>
    <n v="0"/>
    <s v="--"/>
    <s v="--"/>
    <d v="1899-12-30T02:03:44"/>
    <d v="1899-12-30T00:00:00"/>
    <n v="0"/>
    <d v="1899-12-30T00:00:00"/>
    <s v="Não"/>
    <s v="12:25.05"/>
    <n v="4"/>
    <n v="0"/>
    <d v="1899-12-30T01:29:55"/>
    <d v="1899-12-30T02:03:44"/>
    <n v="3"/>
    <n v="41"/>
  </r>
  <r>
    <x v="2"/>
    <d v="2021-07-17T07:12:56"/>
    <s v="false"/>
    <s v="Pomerode Corrida"/>
    <n v="6.05"/>
    <n v="602"/>
    <d v="1899-12-30T00:49:39"/>
    <n v="176"/>
    <n v="218"/>
    <n v="4.5999999999999996"/>
    <n v="113"/>
    <n v="243"/>
    <d v="1899-12-30T08:13:00"/>
    <d v="1899-12-30T04:08:00"/>
    <n v="293"/>
    <n v="294"/>
    <n v="1.01"/>
    <n v="0"/>
    <n v="0"/>
    <n v="0"/>
    <n v="0"/>
    <n v="0"/>
    <s v="--"/>
    <s v="--"/>
    <d v="1900-01-01T01:39:00"/>
    <d v="1899-12-30T00:00:00"/>
    <n v="0"/>
    <d v="1899-12-30T00:00:00"/>
    <s v="Não"/>
    <s v="00:30.41"/>
    <n v="8"/>
    <n v="0"/>
    <d v="1899-12-30T00:42:10"/>
    <d v="1899-12-30T00:49:39"/>
    <n v="84"/>
    <n v="380"/>
  </r>
  <r>
    <x v="0"/>
    <d v="2021-07-13T06:56:10"/>
    <s v="false"/>
    <s v="Força"/>
    <n v="0"/>
    <n v="219"/>
    <d v="1899-12-30T00:37:39"/>
    <n v="117"/>
    <n v="160"/>
    <n v="1.7"/>
    <s v="--"/>
    <s v="--"/>
    <s v="--"/>
    <s v="--"/>
    <s v="--"/>
    <s v="--"/>
    <n v="0"/>
    <n v="0"/>
    <n v="0"/>
    <n v="0"/>
    <n v="0"/>
    <n v="0"/>
    <n v="159"/>
    <n v="20"/>
    <d v="1899-12-31T13:39:00"/>
    <d v="1899-12-30T00:00:00"/>
    <n v="0"/>
    <d v="1899-12-30T00:00:00"/>
    <s v="Não"/>
    <s v="37:38.93"/>
    <n v="1"/>
    <n v="0"/>
    <d v="1899-12-30T00:18:40"/>
    <d v="1899-12-30T00:37:39"/>
    <s v="--"/>
    <s v="--"/>
  </r>
  <r>
    <x v="2"/>
    <d v="2021-07-12T06:40:44"/>
    <s v="false"/>
    <s v="Blumenau Corrida"/>
    <n v="5.91"/>
    <n v="396"/>
    <d v="1899-12-30T00:40:01"/>
    <n v="153"/>
    <n v="189"/>
    <n v="3.2"/>
    <n v="137"/>
    <n v="181"/>
    <d v="1899-12-30T06:46:00"/>
    <d v="1899-12-30T03:52:00"/>
    <n v="36"/>
    <n v="36"/>
    <n v="1.06"/>
    <n v="0"/>
    <n v="0"/>
    <n v="0"/>
    <n v="0"/>
    <n v="0"/>
    <s v="--"/>
    <s v="--"/>
    <d v="1899-12-31T16:01:00"/>
    <d v="1899-12-30T00:00:00"/>
    <n v="0"/>
    <d v="1899-12-30T00:00:00"/>
    <s v="Não"/>
    <s v="00:01.43"/>
    <n v="8"/>
    <n v="0"/>
    <d v="1899-12-30T00:39:11"/>
    <d v="1899-12-30T00:40:47"/>
    <n v="11"/>
    <n v="21"/>
  </r>
  <r>
    <x v="2"/>
    <d v="2021-07-10T07:48:19"/>
    <s v="false"/>
    <s v="Blumenau Corrida"/>
    <n v="16.010000000000002"/>
    <n v="1233"/>
    <d v="1899-12-30T01:44:30"/>
    <n v="174"/>
    <n v="206"/>
    <n v="5"/>
    <n v="150"/>
    <n v="247"/>
    <d v="1899-12-30T06:32:00"/>
    <d v="1899-12-30T05:25:00"/>
    <n v="305"/>
    <n v="307"/>
    <n v="1.02"/>
    <n v="0"/>
    <n v="0"/>
    <n v="0"/>
    <n v="0"/>
    <n v="0"/>
    <s v="--"/>
    <s v="--"/>
    <d v="1899-12-30T01:44:30"/>
    <d v="1899-12-30T00:00:00"/>
    <n v="0"/>
    <d v="1899-12-30T00:00:00"/>
    <s v="Não"/>
    <s v="00:03.65"/>
    <n v="17"/>
    <n v="0"/>
    <d v="1899-12-30T01:44:25"/>
    <d v="1899-12-30T01:44:30"/>
    <n v="17"/>
    <n v="125"/>
  </r>
  <r>
    <x v="0"/>
    <d v="2021-07-09T07:01:28"/>
    <s v="false"/>
    <s v="Força"/>
    <n v="0"/>
    <n v="333"/>
    <d v="1899-12-30T00:53:49"/>
    <n v="125"/>
    <n v="168"/>
    <n v="2.2000000000000002"/>
    <s v="--"/>
    <s v="--"/>
    <s v="--"/>
    <s v="--"/>
    <s v="--"/>
    <s v="--"/>
    <n v="0"/>
    <n v="0"/>
    <n v="0"/>
    <n v="0"/>
    <n v="0"/>
    <n v="0"/>
    <n v="265"/>
    <n v="24"/>
    <d v="1900-01-01T05:49:00"/>
    <d v="1899-12-30T00:00:00"/>
    <n v="0"/>
    <d v="1899-12-30T00:00:00"/>
    <s v="Não"/>
    <s v="53:48.75"/>
    <n v="1"/>
    <n v="0"/>
    <d v="1899-12-30T00:29:18"/>
    <d v="1899-12-30T00:53:49"/>
    <s v="--"/>
    <s v="--"/>
  </r>
  <r>
    <x v="2"/>
    <d v="2021-07-08T17:49:32"/>
    <s v="false"/>
    <s v="Blumenau - 10k - 90 a 95%"/>
    <n v="10.01"/>
    <n v="744"/>
    <d v="1899-12-30T01:01:52"/>
    <n v="172"/>
    <n v="188"/>
    <n v="5"/>
    <n v="160"/>
    <n v="168"/>
    <d v="1899-12-30T06:11:00"/>
    <d v="1899-12-30T05:04:00"/>
    <n v="64"/>
    <n v="78"/>
    <n v="1.01"/>
    <n v="0"/>
    <n v="0"/>
    <n v="0"/>
    <n v="0"/>
    <n v="0"/>
    <s v="--"/>
    <s v="--"/>
    <d v="1899-12-30T01:01:52"/>
    <d v="1899-12-30T00:00:00"/>
    <n v="0"/>
    <d v="1899-12-30T00:00:00"/>
    <s v="Não"/>
    <s v="00:05.04"/>
    <n v="11"/>
    <n v="0"/>
    <d v="1899-12-30T01:01:43"/>
    <d v="1899-12-30T01:01:52"/>
    <n v="9"/>
    <n v="49"/>
  </r>
  <r>
    <x v="2"/>
    <d v="2021-07-03T08:08:16"/>
    <s v="false"/>
    <s v="Blumenau Corrida"/>
    <n v="14.12"/>
    <n v="1047"/>
    <d v="1899-12-30T01:30:02"/>
    <n v="170"/>
    <n v="201"/>
    <n v="5"/>
    <n v="153"/>
    <n v="244"/>
    <d v="1899-12-30T06:23:00"/>
    <d v="1899-12-30T05:32:00"/>
    <n v="175"/>
    <n v="177"/>
    <n v="1.03"/>
    <n v="0"/>
    <n v="0"/>
    <n v="0"/>
    <n v="0"/>
    <n v="0"/>
    <s v="--"/>
    <s v="--"/>
    <d v="1899-12-30T01:30:02"/>
    <d v="1899-12-30T00:00:00"/>
    <n v="0"/>
    <d v="1899-12-30T00:00:00"/>
    <s v="Não"/>
    <s v="00:36.10"/>
    <n v="15"/>
    <n v="0"/>
    <d v="1899-12-30T01:29:59"/>
    <d v="1899-12-30T01:30:02"/>
    <n v="15"/>
    <n v="64"/>
  </r>
  <r>
    <x v="0"/>
    <d v="2021-07-02T07:02:14"/>
    <s v="false"/>
    <s v="Força"/>
    <n v="0"/>
    <n v="280"/>
    <d v="1899-12-30T00:49:59"/>
    <n v="119"/>
    <n v="168"/>
    <n v="2.1"/>
    <s v="--"/>
    <s v="--"/>
    <s v="--"/>
    <s v="--"/>
    <s v="--"/>
    <s v="--"/>
    <n v="0"/>
    <n v="0"/>
    <n v="0"/>
    <n v="0"/>
    <n v="0"/>
    <n v="0"/>
    <n v="236"/>
    <n v="24"/>
    <d v="1900-01-01T01:59:00"/>
    <d v="1899-12-30T00:00:00"/>
    <n v="0"/>
    <d v="1899-12-30T00:00:00"/>
    <s v="Não"/>
    <s v="49:58.81"/>
    <n v="1"/>
    <n v="0"/>
    <d v="1899-12-30T00:26:15"/>
    <d v="1899-12-30T00:49:59"/>
    <s v="--"/>
    <s v="--"/>
  </r>
  <r>
    <x v="3"/>
    <d v="2021-07-01T18:17:01"/>
    <s v="false"/>
    <s v="8k - 95 a 100%"/>
    <n v="8.01"/>
    <n v="610"/>
    <d v="1899-12-30T00:51:57"/>
    <n v="165"/>
    <n v="176"/>
    <n v="4.3"/>
    <n v="157"/>
    <n v="180"/>
    <d v="1899-12-30T06:29:00"/>
    <d v="1899-12-30T05:31:00"/>
    <s v="--"/>
    <s v="--"/>
    <n v="0.98"/>
    <n v="0"/>
    <n v="0"/>
    <n v="0"/>
    <n v="0"/>
    <n v="0"/>
    <s v="--"/>
    <s v="--"/>
    <d v="1900-01-01T03:57:00"/>
    <d v="1899-12-30T00:00:00"/>
    <n v="0"/>
    <d v="1899-12-30T00:00:00"/>
    <s v="Não"/>
    <s v="00:02.87"/>
    <n v="9"/>
    <n v="0"/>
    <d v="1899-12-30T00:51:31"/>
    <d v="1899-12-30T00:51:57"/>
    <s v="--"/>
    <s v="--"/>
  </r>
  <r>
    <x v="0"/>
    <d v="2021-06-30T07:01:20"/>
    <s v="false"/>
    <s v="Força"/>
    <n v="0"/>
    <n v="313"/>
    <d v="1899-12-30T00:51:16"/>
    <n v="124"/>
    <n v="142"/>
    <n v="2"/>
    <s v="--"/>
    <s v="--"/>
    <s v="--"/>
    <s v="--"/>
    <s v="--"/>
    <s v="--"/>
    <n v="0"/>
    <n v="0"/>
    <n v="0"/>
    <n v="0"/>
    <n v="0"/>
    <n v="0"/>
    <n v="173"/>
    <n v="24"/>
    <d v="1900-01-01T03:16:00"/>
    <d v="1899-12-30T00:00:00"/>
    <n v="0"/>
    <d v="1899-12-30T00:00:00"/>
    <s v="Não"/>
    <s v="51:15.65"/>
    <n v="1"/>
    <n v="0"/>
    <d v="1899-12-30T00:26:38"/>
    <d v="1899-12-30T00:51:16"/>
    <s v="--"/>
    <s v="--"/>
  </r>
  <r>
    <x v="3"/>
    <d v="2021-06-29T17:25:46"/>
    <s v="false"/>
    <s v="6 x 1km com intervalo 3min parad"/>
    <n v="8.1"/>
    <n v="615"/>
    <d v="1899-12-30T01:04:46"/>
    <n v="151"/>
    <n v="183"/>
    <n v="3.5"/>
    <n v="123"/>
    <n v="210"/>
    <d v="1899-12-30T08:00:00"/>
    <d v="1899-12-30T04:54:00"/>
    <s v="--"/>
    <s v="--"/>
    <n v="0.84"/>
    <n v="0"/>
    <n v="0"/>
    <n v="0"/>
    <n v="0"/>
    <n v="0"/>
    <s v="--"/>
    <s v="--"/>
    <d v="1899-12-30T01:04:46"/>
    <d v="1899-12-30T00:00:00"/>
    <n v="0"/>
    <d v="1899-12-30T00:00:00"/>
    <s v="Não"/>
    <s v="00:02.70"/>
    <n v="15"/>
    <n v="0"/>
    <d v="1899-12-30T00:47:13"/>
    <d v="1899-12-30T01:04:46"/>
    <s v="--"/>
    <s v="--"/>
  </r>
  <r>
    <x v="0"/>
    <d v="2021-06-28T07:02:15"/>
    <s v="false"/>
    <s v="Força"/>
    <n v="0"/>
    <n v="313"/>
    <d v="1899-12-30T00:49:20"/>
    <n v="124"/>
    <n v="174"/>
    <n v="2.4"/>
    <s v="--"/>
    <s v="--"/>
    <s v="--"/>
    <s v="--"/>
    <s v="--"/>
    <s v="--"/>
    <n v="0"/>
    <n v="0"/>
    <n v="0"/>
    <n v="0"/>
    <n v="0"/>
    <n v="0"/>
    <n v="266"/>
    <n v="24"/>
    <d v="1900-01-01T01:20:00"/>
    <d v="1899-12-30T00:00:00"/>
    <n v="0"/>
    <d v="1899-12-30T00:00:00"/>
    <s v="Não"/>
    <s v="49:19.86"/>
    <n v="1"/>
    <n v="0"/>
    <d v="1899-12-30T00:25:07"/>
    <d v="1899-12-30T00:49:20"/>
    <s v="--"/>
    <s v="--"/>
  </r>
  <r>
    <x v="2"/>
    <d v="2021-06-27T09:01:30"/>
    <s v="false"/>
    <s v="Blumenau Corrida"/>
    <n v="13.95"/>
    <n v="1038"/>
    <d v="1899-12-30T01:30:02"/>
    <n v="171"/>
    <n v="201"/>
    <n v="5"/>
    <n v="150"/>
    <n v="241"/>
    <d v="1899-12-30T06:27:00"/>
    <d v="1899-12-30T05:37:00"/>
    <n v="169"/>
    <n v="178"/>
    <n v="1.03"/>
    <n v="0"/>
    <n v="0"/>
    <n v="0"/>
    <n v="0"/>
    <n v="0"/>
    <s v="--"/>
    <s v="--"/>
    <d v="1899-12-30T01:30:02"/>
    <d v="1899-12-30T00:00:00"/>
    <n v="0"/>
    <d v="1899-12-30T00:00:00"/>
    <s v="Não"/>
    <s v="05:45.15"/>
    <n v="14"/>
    <n v="0"/>
    <d v="1899-12-30T01:29:51"/>
    <d v="1899-12-30T01:30:02"/>
    <n v="10"/>
    <n v="57"/>
  </r>
  <r>
    <x v="0"/>
    <d v="2021-06-25T07:05:29"/>
    <s v="false"/>
    <s v="Força"/>
    <n v="0"/>
    <n v="319"/>
    <d v="1899-12-30T00:52:39"/>
    <n v="124"/>
    <n v="148"/>
    <n v="2"/>
    <s v="--"/>
    <s v="--"/>
    <s v="--"/>
    <s v="--"/>
    <s v="--"/>
    <s v="--"/>
    <n v="0"/>
    <n v="0"/>
    <n v="0"/>
    <n v="0"/>
    <n v="0"/>
    <n v="0"/>
    <n v="157"/>
    <n v="24"/>
    <d v="1900-01-01T04:39:00"/>
    <d v="1899-12-30T00:00:00"/>
    <n v="0"/>
    <d v="1899-12-30T00:00:00"/>
    <s v="Não"/>
    <s v="52:38.80"/>
    <n v="1"/>
    <n v="0"/>
    <d v="1899-12-30T00:25:11"/>
    <d v="1899-12-30T00:52:39"/>
    <s v="--"/>
    <s v="--"/>
  </r>
  <r>
    <x v="3"/>
    <d v="2021-06-24T18:03:30"/>
    <s v="false"/>
    <s v="10k - 90 a 95%"/>
    <n v="10.01"/>
    <n v="704"/>
    <d v="1899-12-30T00:59:41"/>
    <n v="167"/>
    <n v="185"/>
    <n v="4.9000000000000004"/>
    <n v="160"/>
    <n v="176"/>
    <d v="1899-12-30T05:58:00"/>
    <d v="1899-12-30T05:12:00"/>
    <s v="--"/>
    <s v="--"/>
    <n v="1.05"/>
    <n v="0"/>
    <n v="0"/>
    <n v="0"/>
    <n v="0"/>
    <n v="0"/>
    <s v="--"/>
    <s v="--"/>
    <d v="1900-01-01T11:41:00"/>
    <d v="1899-12-30T00:00:00"/>
    <n v="0"/>
    <d v="1899-12-30T00:00:00"/>
    <s v="Não"/>
    <s v="00:01.37"/>
    <n v="11"/>
    <n v="0"/>
    <d v="1899-12-30T00:59:34"/>
    <d v="1899-12-30T00:59:41"/>
    <s v="--"/>
    <s v="--"/>
  </r>
  <r>
    <x v="2"/>
    <d v="2021-06-22T06:51:27"/>
    <s v="false"/>
    <s v="Blumenau - 4 x 1km forte com 500m leve"/>
    <n v="8.01"/>
    <n v="560"/>
    <d v="1899-12-30T00:48:54"/>
    <n v="166"/>
    <n v="186"/>
    <n v="4.2"/>
    <n v="158"/>
    <n v="170"/>
    <d v="1899-12-30T06:06:00"/>
    <d v="1899-12-30T04:42:00"/>
    <n v="24"/>
    <n v="36"/>
    <n v="1.03"/>
    <n v="0"/>
    <n v="0"/>
    <n v="0"/>
    <n v="0"/>
    <n v="0"/>
    <s v="--"/>
    <s v="--"/>
    <d v="1900-01-01T00:54:00"/>
    <d v="1899-12-30T00:00:00"/>
    <n v="0"/>
    <d v="1899-12-30T00:00:00"/>
    <s v="Não"/>
    <s v="00:04.61"/>
    <n v="11"/>
    <n v="0"/>
    <d v="1899-12-30T00:48:50"/>
    <d v="1899-12-30T00:48:54"/>
    <n v="12"/>
    <n v="28"/>
  </r>
  <r>
    <x v="0"/>
    <d v="2021-06-21T06:55:09"/>
    <s v="false"/>
    <s v="Força"/>
    <n v="0"/>
    <n v="296"/>
    <d v="1899-12-30T00:53:04"/>
    <n v="119"/>
    <n v="164"/>
    <n v="2.1"/>
    <s v="--"/>
    <s v="--"/>
    <s v="--"/>
    <s v="--"/>
    <s v="--"/>
    <s v="--"/>
    <n v="0"/>
    <n v="0"/>
    <n v="0"/>
    <n v="0"/>
    <n v="0"/>
    <n v="0"/>
    <n v="321"/>
    <n v="27"/>
    <d v="1900-01-01T05:04:00"/>
    <d v="1899-12-30T00:00:00"/>
    <n v="0"/>
    <d v="1899-12-30T00:00:00"/>
    <s v="Não"/>
    <s v="53:03.70"/>
    <n v="1"/>
    <n v="0"/>
    <d v="1899-12-30T00:26:21"/>
    <d v="1899-12-30T00:53:04"/>
    <s v="--"/>
    <s v="--"/>
  </r>
  <r>
    <x v="3"/>
    <d v="2021-06-20T09:20:41"/>
    <s v="false"/>
    <s v="Corrida em esteira"/>
    <n v="6.19"/>
    <n v="470"/>
    <d v="1899-12-30T00:46:02"/>
    <n v="155"/>
    <n v="186"/>
    <n v="3.6"/>
    <n v="142"/>
    <n v="225"/>
    <d v="1899-12-30T07:26:00"/>
    <d v="1899-12-30T04:50:00"/>
    <s v="--"/>
    <s v="--"/>
    <n v="0.93"/>
    <n v="0"/>
    <n v="0"/>
    <n v="0"/>
    <n v="0"/>
    <n v="0"/>
    <s v="--"/>
    <s v="--"/>
    <d v="1899-12-31T22:02:00"/>
    <d v="1899-12-30T00:00:00"/>
    <n v="0"/>
    <d v="1899-12-30T00:00:00"/>
    <s v="Não"/>
    <s v="03:50.01"/>
    <n v="7"/>
    <n v="0"/>
    <d v="1899-12-30T00:43:41"/>
    <d v="1899-12-30T00:46:02"/>
    <s v="--"/>
    <s v="--"/>
  </r>
  <r>
    <x v="3"/>
    <d v="2021-06-17T17:57:56"/>
    <s v="false"/>
    <s v="8k - 90 a 95%"/>
    <n v="8.02"/>
    <n v="555"/>
    <d v="1899-12-30T00:49:54"/>
    <n v="159"/>
    <n v="172"/>
    <n v="4.0999999999999996"/>
    <n v="157"/>
    <n v="161"/>
    <d v="1899-12-30T06:13:00"/>
    <d v="1899-12-30T04:59:00"/>
    <s v="--"/>
    <s v="--"/>
    <n v="1.03"/>
    <n v="0"/>
    <n v="0"/>
    <n v="0"/>
    <n v="0"/>
    <n v="0"/>
    <s v="--"/>
    <s v="--"/>
    <d v="1900-01-01T01:54:00"/>
    <d v="1899-12-30T00:00:00"/>
    <n v="0"/>
    <d v="1899-12-30T00:00:00"/>
    <s v="Não"/>
    <s v="00:07.70"/>
    <n v="9"/>
    <n v="0"/>
    <d v="1899-12-30T00:49:53"/>
    <d v="1899-12-30T00:49:54"/>
    <s v="--"/>
    <s v="--"/>
  </r>
  <r>
    <x v="3"/>
    <d v="2021-06-15T18:11:22"/>
    <s v="false"/>
    <s v="10 x 300m moderado/forte com 100"/>
    <n v="7.01"/>
    <n v="410"/>
    <d v="1899-12-30T00:42:34"/>
    <n v="147"/>
    <n v="172"/>
    <n v="3.3"/>
    <n v="155"/>
    <n v="161"/>
    <d v="1899-12-30T06:04:00"/>
    <d v="1899-12-30T04:38:00"/>
    <s v="--"/>
    <s v="--"/>
    <n v="1.06"/>
    <n v="0"/>
    <n v="0"/>
    <n v="0"/>
    <n v="0"/>
    <n v="0"/>
    <s v="--"/>
    <s v="--"/>
    <d v="1899-12-31T18:34:00"/>
    <d v="1899-12-30T00:00:00"/>
    <n v="0"/>
    <d v="1899-12-30T00:00:00"/>
    <s v="Não"/>
    <s v="00:03.37"/>
    <n v="24"/>
    <n v="0"/>
    <d v="1899-12-30T00:42:26"/>
    <d v="1899-12-30T00:42:34"/>
    <s v="--"/>
    <s v="--"/>
  </r>
  <r>
    <x v="2"/>
    <d v="2021-06-13T08:46:56"/>
    <s v="false"/>
    <s v="Blumenau Corrida"/>
    <n v="18.399999999999999"/>
    <n v="1332"/>
    <d v="1899-12-30T02:00:01"/>
    <n v="167"/>
    <n v="192"/>
    <n v="5"/>
    <n v="154"/>
    <n v="244"/>
    <d v="1899-12-30T06:31:00"/>
    <d v="1899-12-30T05:31:00"/>
    <n v="409"/>
    <n v="377"/>
    <n v="1"/>
    <n v="0"/>
    <n v="0"/>
    <n v="0"/>
    <n v="0"/>
    <n v="0"/>
    <s v="--"/>
    <s v="--"/>
    <d v="1899-12-30T02:00:01"/>
    <d v="1899-12-30T00:00:00"/>
    <n v="0"/>
    <d v="1899-12-30T00:00:00"/>
    <s v="Não"/>
    <s v="02:23.79"/>
    <n v="19"/>
    <n v="0"/>
    <d v="1899-12-30T01:59:49"/>
    <d v="1899-12-30T02:00:01"/>
    <n v="17"/>
    <n v="160"/>
  </r>
  <r>
    <x v="0"/>
    <d v="2021-06-11T06:48:51"/>
    <s v="false"/>
    <s v="Força"/>
    <n v="0"/>
    <n v="310"/>
    <d v="1899-12-30T01:03:07"/>
    <n v="114"/>
    <n v="146"/>
    <n v="1.4"/>
    <s v="--"/>
    <s v="--"/>
    <s v="--"/>
    <s v="--"/>
    <s v="--"/>
    <s v="--"/>
    <n v="0"/>
    <n v="0"/>
    <n v="0"/>
    <n v="0"/>
    <n v="0"/>
    <n v="0"/>
    <n v="209"/>
    <n v="28"/>
    <d v="1899-12-30T01:03:07"/>
    <d v="1899-12-30T00:00:00"/>
    <n v="0"/>
    <d v="1899-12-30T00:00:00"/>
    <s v="Não"/>
    <s v="01:03:07.04"/>
    <n v="1"/>
    <n v="0"/>
    <d v="1899-12-30T00:28:09"/>
    <d v="1899-12-30T01:03:07"/>
    <s v="--"/>
    <s v="--"/>
  </r>
  <r>
    <x v="3"/>
    <d v="2021-06-10T18:33:53"/>
    <s v="false"/>
    <s v="10k - 90 a 95%"/>
    <n v="10.01"/>
    <n v="693"/>
    <d v="1899-12-30T01:01:09"/>
    <n v="165"/>
    <n v="179"/>
    <n v="5"/>
    <n v="158"/>
    <n v="167"/>
    <d v="1899-12-30T06:06:00"/>
    <d v="1899-12-30T04:38:00"/>
    <s v="--"/>
    <s v="--"/>
    <n v="1.04"/>
    <n v="0"/>
    <n v="0"/>
    <n v="0"/>
    <n v="0"/>
    <n v="0"/>
    <s v="--"/>
    <s v="--"/>
    <d v="1899-12-30T01:01:09"/>
    <d v="1899-12-30T00:00:00"/>
    <n v="0"/>
    <d v="1899-12-30T00:00:00"/>
    <s v="Não"/>
    <s v="00:04.95"/>
    <n v="11"/>
    <n v="0"/>
    <d v="1899-12-30T01:00:22"/>
    <d v="1899-12-30T01:01:09"/>
    <s v="--"/>
    <s v="--"/>
  </r>
  <r>
    <x v="3"/>
    <d v="2021-06-08T18:07:33"/>
    <s v="false"/>
    <s v="6 x 500m com intervalo 2min para"/>
    <n v="7.2"/>
    <n v="471"/>
    <d v="1899-12-30T00:54:02"/>
    <n v="144"/>
    <n v="184"/>
    <n v="3.1"/>
    <n v="130"/>
    <n v="170"/>
    <d v="1899-12-30T07:30:00"/>
    <d v="1899-12-30T04:26:00"/>
    <s v="--"/>
    <s v="--"/>
    <n v="0.93"/>
    <n v="0"/>
    <n v="0"/>
    <n v="0"/>
    <n v="0"/>
    <n v="0"/>
    <s v="--"/>
    <s v="--"/>
    <d v="1900-01-01T06:02:00"/>
    <d v="1899-12-30T00:00:00"/>
    <n v="0"/>
    <d v="1899-12-30T00:00:00"/>
    <s v="Não"/>
    <s v="00:03.37"/>
    <n v="17"/>
    <n v="0"/>
    <d v="1899-12-30T00:42:51"/>
    <d v="1899-12-30T00:54:02"/>
    <s v="--"/>
    <s v="--"/>
  </r>
  <r>
    <x v="0"/>
    <d v="2021-06-07T06:43:42"/>
    <s v="false"/>
    <s v="Força"/>
    <n v="0"/>
    <n v="262"/>
    <d v="1899-12-30T00:58:08"/>
    <n v="110"/>
    <n v="150"/>
    <n v="1.5"/>
    <s v="--"/>
    <s v="--"/>
    <s v="--"/>
    <s v="--"/>
    <s v="--"/>
    <s v="--"/>
    <n v="0"/>
    <n v="0"/>
    <n v="0"/>
    <n v="0"/>
    <n v="0"/>
    <n v="0"/>
    <n v="332"/>
    <n v="28"/>
    <d v="1900-01-01T10:08:00"/>
    <d v="1899-12-30T00:00:00"/>
    <n v="0"/>
    <d v="1899-12-30T00:00:00"/>
    <s v="Não"/>
    <s v="58:07.55"/>
    <n v="1"/>
    <n v="0"/>
    <d v="1899-12-30T00:27:58"/>
    <d v="1899-12-30T00:58:08"/>
    <s v="--"/>
    <s v="--"/>
  </r>
  <r>
    <x v="2"/>
    <d v="2021-06-06T08:52:54"/>
    <s v="false"/>
    <s v="Blumenau Corrida"/>
    <n v="13.67"/>
    <n v="1054"/>
    <d v="1899-12-30T01:30:01"/>
    <n v="174"/>
    <n v="205"/>
    <n v="5"/>
    <n v="143"/>
    <n v="244"/>
    <d v="1899-12-30T06:35:00"/>
    <d v="1899-12-30T04:15:00"/>
    <n v="327"/>
    <n v="335"/>
    <n v="1.07"/>
    <n v="0"/>
    <n v="0"/>
    <n v="0"/>
    <n v="0"/>
    <n v="0"/>
    <s v="--"/>
    <s v="--"/>
    <d v="1899-12-30T01:30:01"/>
    <d v="1899-12-30T00:00:00"/>
    <n v="0"/>
    <d v="1899-12-30T00:00:00"/>
    <s v="Não"/>
    <s v="04:05.35"/>
    <n v="14"/>
    <n v="0"/>
    <d v="1899-12-30T01:29:48"/>
    <d v="1899-12-30T01:30:01"/>
    <n v="16"/>
    <n v="123"/>
  </r>
  <r>
    <x v="2"/>
    <d v="2021-06-03T07:25:17"/>
    <s v="false"/>
    <s v="Blumenau - 10 x 400 - intervalo 1 minuto"/>
    <n v="8.65"/>
    <n v="600"/>
    <d v="1899-12-30T00:57:16"/>
    <n v="159"/>
    <n v="183"/>
    <n v="4.5999999999999996"/>
    <n v="146"/>
    <n v="249"/>
    <d v="1899-12-30T06:37:00"/>
    <d v="1899-12-30T03:53:00"/>
    <n v="22"/>
    <n v="33"/>
    <n v="1.03"/>
    <n v="0"/>
    <n v="0"/>
    <n v="0"/>
    <n v="0"/>
    <n v="0"/>
    <s v="--"/>
    <s v="--"/>
    <d v="1900-01-01T09:16:00"/>
    <d v="1899-12-30T00:00:00"/>
    <n v="0"/>
    <d v="1899-12-30T00:00:00"/>
    <s v="Não"/>
    <s v="00:04.31"/>
    <n v="25"/>
    <n v="0"/>
    <d v="1899-12-30T00:53:53"/>
    <d v="1899-12-30T00:57:16"/>
    <n v="7"/>
    <n v="25"/>
  </r>
  <r>
    <x v="2"/>
    <d v="2021-06-01T06:21:28"/>
    <s v="false"/>
    <s v="Blumenau - 10k - 90 a 95%"/>
    <n v="10.02"/>
    <n v="706"/>
    <d v="1899-12-30T01:01:55"/>
    <n v="168"/>
    <n v="190"/>
    <n v="5"/>
    <n v="156"/>
    <n v="170"/>
    <d v="1899-12-30T06:11:00"/>
    <d v="1899-12-30T05:15:00"/>
    <n v="76"/>
    <n v="76"/>
    <n v="1.04"/>
    <n v="0"/>
    <n v="0"/>
    <n v="0"/>
    <n v="0"/>
    <n v="0"/>
    <s v="--"/>
    <s v="--"/>
    <d v="1899-12-30T01:01:55"/>
    <d v="1899-12-30T00:00:00"/>
    <n v="0"/>
    <d v="1899-12-30T00:00:00"/>
    <s v="Não"/>
    <s v="00:06.79"/>
    <n v="11"/>
    <n v="0"/>
    <d v="1899-12-30T01:01:52"/>
    <d v="1899-12-30T01:01:55"/>
    <n v="12"/>
    <n v="42"/>
  </r>
  <r>
    <x v="0"/>
    <d v="2021-05-31T06:44:06"/>
    <s v="false"/>
    <s v="Força"/>
    <n v="0"/>
    <n v="242"/>
    <d v="1899-12-30T00:57:44"/>
    <n v="110"/>
    <n v="157"/>
    <n v="1.6"/>
    <s v="--"/>
    <s v="--"/>
    <s v="--"/>
    <s v="--"/>
    <s v="--"/>
    <s v="--"/>
    <n v="0"/>
    <n v="0"/>
    <n v="0"/>
    <n v="0"/>
    <n v="0"/>
    <n v="0"/>
    <n v="368"/>
    <n v="31"/>
    <d v="1900-01-01T09:44:00"/>
    <d v="1899-12-30T00:00:00"/>
    <n v="0"/>
    <d v="1899-12-30T00:00:00"/>
    <s v="Não"/>
    <s v="57:43.69"/>
    <n v="1"/>
    <n v="0"/>
    <d v="1899-12-30T00:27:05"/>
    <d v="1899-12-30T00:57:54"/>
    <s v="--"/>
    <s v="--"/>
  </r>
  <r>
    <x v="2"/>
    <d v="2021-05-30T08:30:06"/>
    <s v="false"/>
    <s v="Blumenau Corrida"/>
    <n v="16.010000000000002"/>
    <n v="1056"/>
    <d v="1899-12-30T01:42:50"/>
    <n v="163"/>
    <n v="185"/>
    <n v="5"/>
    <n v="154"/>
    <n v="168"/>
    <d v="1899-12-30T06:25:00"/>
    <d v="1899-12-30T05:22:00"/>
    <n v="273"/>
    <n v="282"/>
    <n v="1.01"/>
    <n v="0"/>
    <n v="0"/>
    <n v="0"/>
    <n v="0"/>
    <n v="0"/>
    <s v="--"/>
    <s v="--"/>
    <d v="1899-12-30T01:42:50"/>
    <d v="1899-12-30T00:00:00"/>
    <n v="0"/>
    <d v="1899-12-30T00:00:00"/>
    <s v="Não"/>
    <s v="00:02.42"/>
    <n v="17"/>
    <n v="0"/>
    <d v="1899-12-30T01:42:46"/>
    <d v="1899-12-30T01:42:50"/>
    <n v="17"/>
    <n v="114"/>
  </r>
  <r>
    <x v="0"/>
    <d v="2021-05-28T06:46:37"/>
    <s v="false"/>
    <s v="Força"/>
    <n v="0"/>
    <n v="251"/>
    <d v="1899-12-30T01:00:10"/>
    <n v="113"/>
    <n v="137"/>
    <n v="1.3"/>
    <s v="--"/>
    <s v="--"/>
    <s v="--"/>
    <s v="--"/>
    <s v="--"/>
    <s v="--"/>
    <n v="0"/>
    <n v="0"/>
    <n v="0"/>
    <n v="0"/>
    <n v="0"/>
    <n v="0"/>
    <n v="299"/>
    <n v="45"/>
    <d v="1899-12-30T01:00:10"/>
    <d v="1899-12-30T00:00:00"/>
    <n v="0"/>
    <d v="1899-12-30T00:00:00"/>
    <s v="Não"/>
    <s v="01:00:09.53"/>
    <n v="1"/>
    <n v="0"/>
    <d v="1899-12-30T00:25:43"/>
    <d v="1899-12-30T01:00:10"/>
    <s v="--"/>
    <s v="--"/>
  </r>
  <r>
    <x v="2"/>
    <d v="2021-05-27T06:23:46"/>
    <s v="false"/>
    <s v="Blumenau Corrida"/>
    <n v="10"/>
    <n v="841"/>
    <d v="1899-12-30T01:03:19"/>
    <n v="165"/>
    <n v="183"/>
    <s v="--"/>
    <s v="--"/>
    <s v="--"/>
    <d v="1899-12-30T06:20:00"/>
    <d v="1899-12-30T03:00:00"/>
    <n v="85"/>
    <n v="89"/>
    <n v="0"/>
    <n v="0"/>
    <n v="0"/>
    <n v="0"/>
    <n v="0"/>
    <n v="0"/>
    <s v="--"/>
    <s v="--"/>
    <d v="1899-12-30T01:03:19"/>
    <d v="1899-12-30T00:00:00"/>
    <n v="0"/>
    <d v="1899-12-30T00:00:00"/>
    <s v="Não"/>
    <s v="00:01.41"/>
    <n v="11"/>
    <n v="0"/>
    <d v="1899-12-30T01:02:18"/>
    <d v="1899-12-30T01:03:19"/>
    <n v="14"/>
    <n v="40"/>
  </r>
  <r>
    <x v="2"/>
    <d v="2021-05-25T17:46:46"/>
    <s v="false"/>
    <s v="Blumenau Corrida"/>
    <n v="9.2100000000000009"/>
    <n v="742"/>
    <d v="1899-12-30T00:59:57"/>
    <n v="159"/>
    <n v="182"/>
    <s v="--"/>
    <s v="--"/>
    <s v="--"/>
    <d v="1899-12-30T06:31:00"/>
    <d v="1899-12-30T00:52:00"/>
    <n v="32"/>
    <n v="32"/>
    <n v="0"/>
    <n v="0"/>
    <n v="0"/>
    <n v="0"/>
    <n v="0"/>
    <n v="0"/>
    <s v="--"/>
    <s v="--"/>
    <d v="1900-01-01T11:57:00"/>
    <d v="1899-12-30T00:00:00"/>
    <n v="0"/>
    <d v="1899-12-30T00:00:00"/>
    <s v="Não"/>
    <s v="00:56.73"/>
    <n v="14"/>
    <n v="0"/>
    <d v="1899-12-30T00:59:18"/>
    <d v="1899-12-30T00:59:57"/>
    <n v="10"/>
    <n v="25"/>
  </r>
  <r>
    <x v="2"/>
    <d v="2021-05-20T06:25:31"/>
    <s v="false"/>
    <s v="Blumenau Corrida"/>
    <n v="10.08"/>
    <n v="826"/>
    <d v="1899-12-30T01:00:51"/>
    <n v="167"/>
    <n v="184"/>
    <s v="--"/>
    <s v="--"/>
    <s v="--"/>
    <d v="1899-12-30T06:02:00"/>
    <d v="1899-12-30T04:27:00"/>
    <n v="37"/>
    <n v="50"/>
    <n v="0"/>
    <n v="0"/>
    <n v="0"/>
    <n v="0"/>
    <n v="0"/>
    <n v="0"/>
    <s v="--"/>
    <s v="--"/>
    <d v="1899-12-30T01:00:51"/>
    <d v="1899-12-30T00:00:00"/>
    <n v="0"/>
    <d v="1899-12-30T00:00:00"/>
    <s v="Não"/>
    <s v="02:59.52"/>
    <n v="9"/>
    <n v="0"/>
    <d v="1899-12-30T01:00:49"/>
    <d v="1899-12-30T01:00:51"/>
    <n v="9"/>
    <n v="26"/>
  </r>
  <r>
    <x v="2"/>
    <d v="2021-05-15T07:42:16"/>
    <s v="false"/>
    <s v="Blumenau Corrida"/>
    <n v="11.24"/>
    <n v="953"/>
    <d v="1899-12-30T01:12:08"/>
    <n v="164"/>
    <n v="179"/>
    <s v="--"/>
    <s v="--"/>
    <s v="--"/>
    <d v="1899-12-30T06:25:00"/>
    <d v="1899-12-30T01:45:00"/>
    <n v="125"/>
    <n v="131"/>
    <n v="0"/>
    <n v="0"/>
    <n v="0"/>
    <n v="0"/>
    <n v="0"/>
    <n v="0"/>
    <s v="--"/>
    <s v="--"/>
    <d v="1899-12-30T01:12:08"/>
    <d v="1899-12-30T00:00:00"/>
    <n v="0"/>
    <d v="1899-12-30T00:00:00"/>
    <s v="Não"/>
    <s v="01:30.82"/>
    <n v="12"/>
    <n v="0"/>
    <d v="1899-12-30T01:12:04"/>
    <d v="1899-12-30T01:12:08"/>
    <n v="15"/>
    <n v="59"/>
  </r>
  <r>
    <x v="2"/>
    <d v="2021-05-13T17:33:02"/>
    <s v="false"/>
    <s v="Blumenau Corrida"/>
    <n v="9.01"/>
    <n v="701"/>
    <d v="1899-12-30T00:54:32"/>
    <n v="162"/>
    <n v="187"/>
    <s v="--"/>
    <s v="--"/>
    <s v="--"/>
    <d v="1899-12-30T06:03:00"/>
    <d v="1899-12-30T03:57:00"/>
    <n v="29"/>
    <n v="43"/>
    <n v="0"/>
    <n v="0"/>
    <n v="0"/>
    <n v="0"/>
    <n v="0"/>
    <n v="0"/>
    <s v="--"/>
    <s v="--"/>
    <d v="1900-01-01T06:32:00"/>
    <d v="1899-12-30T00:00:00"/>
    <n v="0"/>
    <d v="1899-12-30T00:00:00"/>
    <s v="Não"/>
    <s v="00:02.00"/>
    <n v="10"/>
    <n v="0"/>
    <d v="1899-12-30T00:54:31"/>
    <d v="1899-12-30T00:54:32"/>
    <n v="12"/>
    <n v="28"/>
  </r>
  <r>
    <x v="2"/>
    <d v="2021-05-08T07:35:22"/>
    <s v="false"/>
    <s v="Blumenau Corrida"/>
    <n v="16.149999999999999"/>
    <n v="1374"/>
    <d v="1899-12-30T01:40:01"/>
    <n v="168"/>
    <n v="181"/>
    <s v="--"/>
    <s v="--"/>
    <s v="--"/>
    <d v="1899-12-30T06:11:00"/>
    <d v="1899-12-30T01:00:00"/>
    <n v="255"/>
    <n v="270"/>
    <n v="0"/>
    <n v="0"/>
    <n v="0"/>
    <n v="0"/>
    <n v="0"/>
    <n v="0"/>
    <s v="--"/>
    <s v="--"/>
    <d v="1899-12-30T01:40:01"/>
    <d v="1899-12-30T00:00:00"/>
    <n v="0"/>
    <d v="1899-12-30T00:00:00"/>
    <s v="Não"/>
    <s v="00:54.30"/>
    <n v="17"/>
    <n v="0"/>
    <d v="1899-12-30T01:39:55"/>
    <d v="1899-12-30T01:40:01"/>
    <n v="20"/>
    <n v="117"/>
  </r>
  <r>
    <x v="2"/>
    <d v="2021-05-06T06:48:38"/>
    <s v="false"/>
    <s v="Blumenau Corrida"/>
    <n v="7"/>
    <n v="573"/>
    <d v="1899-12-30T00:43:19"/>
    <n v="164"/>
    <n v="176"/>
    <s v="--"/>
    <s v="--"/>
    <s v="--"/>
    <d v="1899-12-30T06:11:00"/>
    <d v="1899-12-30T05:39:00"/>
    <n v="35"/>
    <n v="36"/>
    <n v="0"/>
    <n v="0"/>
    <n v="0"/>
    <n v="0"/>
    <n v="0"/>
    <n v="0"/>
    <s v="--"/>
    <s v="--"/>
    <d v="1899-12-31T19:19:00"/>
    <d v="1899-12-30T00:00:00"/>
    <n v="0"/>
    <d v="1899-12-30T00:00:00"/>
    <s v="Não"/>
    <s v="00:00.63"/>
    <n v="8"/>
    <n v="0"/>
    <d v="1899-12-30T00:43:17"/>
    <d v="1899-12-30T00:43:19"/>
    <n v="12"/>
    <n v="29"/>
  </r>
  <r>
    <x v="2"/>
    <d v="2021-05-04T17:46:36"/>
    <s v="false"/>
    <s v="Blumenau Corrida"/>
    <n v="10"/>
    <n v="863"/>
    <d v="1899-12-30T01:02:00"/>
    <n v="169"/>
    <n v="185"/>
    <s v="--"/>
    <s v="--"/>
    <s v="--"/>
    <d v="1899-12-30T06:12:00"/>
    <d v="1899-12-30T05:16:00"/>
    <n v="64"/>
    <n v="64"/>
    <n v="0"/>
    <n v="0"/>
    <n v="0"/>
    <n v="0"/>
    <n v="0"/>
    <n v="0"/>
    <s v="--"/>
    <s v="--"/>
    <d v="1899-12-30T01:02:00"/>
    <d v="1899-12-30T00:00:00"/>
    <n v="0"/>
    <d v="1899-12-30T00:00:00"/>
    <s v="Não"/>
    <s v="06:00.32"/>
    <n v="10"/>
    <n v="0"/>
    <d v="1899-12-30T01:01:57"/>
    <d v="1899-12-30T01:02:00"/>
    <n v="10"/>
    <n v="34"/>
  </r>
  <r>
    <x v="2"/>
    <d v="2021-04-29T18:01:38"/>
    <s v="false"/>
    <s v="Blumenau Corrida"/>
    <n v="10"/>
    <n v="826"/>
    <d v="1899-12-30T01:02:14"/>
    <n v="165"/>
    <n v="181"/>
    <s v="--"/>
    <s v="--"/>
    <s v="--"/>
    <d v="1899-12-30T06:13:00"/>
    <d v="1899-12-30T05:01:00"/>
    <n v="57"/>
    <n v="51"/>
    <n v="0"/>
    <n v="0"/>
    <n v="0"/>
    <n v="0"/>
    <n v="0"/>
    <n v="0"/>
    <s v="--"/>
    <s v="--"/>
    <d v="1899-12-30T01:02:14"/>
    <d v="1899-12-30T00:00:00"/>
    <n v="0"/>
    <d v="1899-12-30T00:00:00"/>
    <s v="Não"/>
    <s v="02:40.24"/>
    <n v="11"/>
    <n v="0"/>
    <d v="1899-12-30T01:02:12"/>
    <d v="1899-12-30T01:02:14"/>
    <n v="10"/>
    <n v="34"/>
  </r>
  <r>
    <x v="2"/>
    <d v="2021-04-27T06:47:04"/>
    <s v="false"/>
    <s v="Blumenau Corrida"/>
    <n v="8"/>
    <n v="649"/>
    <d v="1899-12-30T00:50:18"/>
    <n v="163"/>
    <n v="181"/>
    <s v="--"/>
    <s v="--"/>
    <s v="--"/>
    <d v="1899-12-30T06:17:00"/>
    <d v="1899-12-30T04:41:00"/>
    <n v="23"/>
    <n v="18"/>
    <n v="0"/>
    <n v="0"/>
    <n v="0"/>
    <n v="0"/>
    <n v="0"/>
    <n v="0"/>
    <s v="--"/>
    <s v="--"/>
    <d v="1900-01-01T02:18:00"/>
    <d v="1899-12-30T00:00:00"/>
    <n v="0"/>
    <d v="1899-12-30T00:00:00"/>
    <s v="Não"/>
    <s v="00:59.48"/>
    <n v="14"/>
    <n v="0"/>
    <d v="1899-12-30T00:44:34"/>
    <d v="1899-12-30T00:50:18"/>
    <n v="12"/>
    <n v="22"/>
  </r>
  <r>
    <x v="2"/>
    <d v="2021-04-24T07:32:10"/>
    <s v="false"/>
    <s v="Blumenau Corrida"/>
    <n v="15.01"/>
    <n v="1358"/>
    <d v="1899-12-30T01:34:50"/>
    <n v="172"/>
    <n v="187"/>
    <s v="--"/>
    <s v="--"/>
    <s v="--"/>
    <d v="1899-12-30T06:19:00"/>
    <d v="1899-12-30T03:28:00"/>
    <n v="205"/>
    <n v="198"/>
    <n v="0"/>
    <n v="0"/>
    <n v="0"/>
    <n v="0"/>
    <n v="0"/>
    <n v="0"/>
    <s v="--"/>
    <s v="--"/>
    <d v="1899-12-30T01:34:50"/>
    <d v="1899-12-30T00:00:00"/>
    <n v="0"/>
    <d v="1899-12-30T00:00:00"/>
    <s v="Não"/>
    <s v="00:02.74"/>
    <n v="16"/>
    <n v="0"/>
    <d v="1899-12-30T01:34:47"/>
    <d v="1899-12-30T01:34:50"/>
    <n v="14"/>
    <n v="60"/>
  </r>
  <r>
    <x v="2"/>
    <d v="2021-04-20T06:35:48"/>
    <s v="false"/>
    <s v="Blumenau Corrida"/>
    <n v="8.01"/>
    <n v="649"/>
    <d v="1899-12-30T00:48:55"/>
    <n v="165"/>
    <n v="229"/>
    <s v="--"/>
    <s v="--"/>
    <s v="--"/>
    <d v="1899-12-30T06:06:00"/>
    <d v="1899-12-30T02:25:00"/>
    <n v="92"/>
    <n v="92"/>
    <n v="0"/>
    <n v="0"/>
    <n v="0"/>
    <n v="0"/>
    <n v="0"/>
    <n v="0"/>
    <s v="--"/>
    <s v="--"/>
    <d v="1900-01-01T00:55:00"/>
    <d v="1899-12-30T00:00:00"/>
    <n v="0"/>
    <d v="1899-12-30T00:00:00"/>
    <s v="Não"/>
    <s v="00:02.84"/>
    <n v="9"/>
    <n v="0"/>
    <d v="1899-12-30T00:48:52"/>
    <d v="1899-12-30T00:48:55"/>
    <n v="10"/>
    <n v="37"/>
  </r>
  <r>
    <x v="2"/>
    <d v="2021-04-17T07:15:56"/>
    <s v="false"/>
    <s v="Blumenau Corrida"/>
    <n v="10.01"/>
    <n v="877"/>
    <d v="1899-12-30T00:58:41"/>
    <n v="176"/>
    <n v="184"/>
    <s v="--"/>
    <s v="--"/>
    <s v="--"/>
    <d v="1899-12-30T05:52:00"/>
    <d v="1899-12-30T04:01:00"/>
    <n v="32"/>
    <n v="39"/>
    <n v="0"/>
    <n v="0"/>
    <n v="0"/>
    <n v="0"/>
    <n v="0"/>
    <n v="0"/>
    <s v="--"/>
    <s v="--"/>
    <d v="1900-01-01T10:41:00"/>
    <d v="1899-12-30T00:00:00"/>
    <n v="0"/>
    <d v="1899-12-30T00:00:00"/>
    <s v="Não"/>
    <s v="00:02.73"/>
    <n v="11"/>
    <n v="0"/>
    <d v="1899-12-30T00:58:39"/>
    <d v="1899-12-30T00:58:41"/>
    <n v="10"/>
    <n v="26"/>
  </r>
  <r>
    <x v="2"/>
    <d v="2021-04-13T19:10:35"/>
    <s v="false"/>
    <s v="Blumenau Corrida"/>
    <n v="5.03"/>
    <n v="414"/>
    <d v="1899-12-30T00:34:56"/>
    <n v="156"/>
    <n v="180"/>
    <s v="--"/>
    <s v="--"/>
    <s v="--"/>
    <d v="1899-12-30T06:56:00"/>
    <d v="1899-12-30T04:00:00"/>
    <n v="103"/>
    <n v="102"/>
    <n v="0"/>
    <n v="0"/>
    <n v="0"/>
    <n v="0"/>
    <n v="0"/>
    <n v="0"/>
    <s v="--"/>
    <s v="--"/>
    <d v="1899-12-31T10:56:00"/>
    <d v="1899-12-30T00:00:00"/>
    <n v="0"/>
    <d v="1899-12-30T00:00:00"/>
    <s v="Não"/>
    <s v="02:19.44"/>
    <n v="8"/>
    <n v="0"/>
    <d v="1899-12-30T00:29:10"/>
    <d v="1899-12-30T00:34:56"/>
    <n v="11"/>
    <n v="25"/>
  </r>
  <r>
    <x v="2"/>
    <d v="2021-04-13T18:17:18"/>
    <s v="false"/>
    <s v="Corrida"/>
    <n v="0.01"/>
    <s v="--"/>
    <d v="1899-12-30T00:00:06"/>
    <n v="66"/>
    <n v="70"/>
    <n v="1"/>
    <n v="60"/>
    <n v="120"/>
    <d v="1899-12-30T13:13:00"/>
    <d v="1899-12-30T07:28:00"/>
    <s v="--"/>
    <s v="--"/>
    <n v="1.26"/>
    <n v="0"/>
    <n v="0"/>
    <n v="0"/>
    <n v="0"/>
    <n v="0"/>
    <s v="--"/>
    <s v="--"/>
    <d v="1899-12-30T00:00:06"/>
    <d v="1899-12-30T00:00:00"/>
    <n v="0"/>
    <d v="1899-12-30T00:00:00"/>
    <s v="Não"/>
    <s v="00:01.16"/>
    <n v="2"/>
    <n v="0"/>
    <d v="1899-12-30T00:00:03"/>
    <d v="1899-12-30T00:00:19"/>
    <s v="--"/>
    <s v="--"/>
  </r>
  <r>
    <x v="2"/>
    <d v="2021-04-10T07:20:00"/>
    <s v="false"/>
    <s v="Blumenau - Run Workout"/>
    <n v="7.01"/>
    <n v="471"/>
    <d v="1899-12-30T00:38:21"/>
    <n v="179"/>
    <n v="190"/>
    <n v="4.5999999999999996"/>
    <n v="166"/>
    <n v="174"/>
    <d v="1899-12-30T05:28:00"/>
    <d v="1899-12-30T05:12:00"/>
    <n v="3"/>
    <n v="17"/>
    <n v="1.1000000000000001"/>
    <n v="0"/>
    <n v="0"/>
    <n v="0"/>
    <n v="0"/>
    <n v="0"/>
    <s v="--"/>
    <s v="--"/>
    <d v="1899-12-31T14:21:00"/>
    <d v="1899-12-30T00:00:00"/>
    <n v="0"/>
    <d v="1899-12-30T00:00:00"/>
    <s v="Não"/>
    <s v="00:04.80"/>
    <n v="2"/>
    <n v="0"/>
    <d v="1899-12-30T00:38:21"/>
    <d v="1899-12-30T00:38:21"/>
    <n v="12"/>
    <n v="28"/>
  </r>
  <r>
    <x v="2"/>
    <d v="2021-04-08T17:39:09"/>
    <s v="false"/>
    <s v="Corrida"/>
    <n v="10.029999999999999"/>
    <n v="663"/>
    <d v="1899-12-30T00:57:27"/>
    <n v="174"/>
    <n v="188"/>
    <n v="5"/>
    <n v="160"/>
    <n v="168"/>
    <d v="1899-12-30T05:44:00"/>
    <d v="1899-12-30T04:49:00"/>
    <s v="--"/>
    <s v="--"/>
    <n v="1.0900000000000001"/>
    <n v="0"/>
    <n v="0"/>
    <n v="0"/>
    <n v="0"/>
    <n v="0"/>
    <s v="--"/>
    <s v="--"/>
    <d v="1900-01-01T09:27:00"/>
    <d v="1899-12-30T00:00:00"/>
    <n v="0"/>
    <d v="1899-12-30T00:00:00"/>
    <s v="Não"/>
    <s v="00:08.53"/>
    <n v="11"/>
    <n v="0"/>
    <d v="1899-12-30T00:57:26"/>
    <d v="1899-12-30T00:57:27"/>
    <s v="--"/>
    <s v="--"/>
  </r>
  <r>
    <x v="2"/>
    <d v="2021-04-06T17:51:05"/>
    <s v="false"/>
    <s v="Blumenau - 15 x 400 - intervalo 1 minuto caminhando"/>
    <n v="11.35"/>
    <n v="774"/>
    <d v="1899-12-30T01:10:25"/>
    <n v="168"/>
    <n v="187"/>
    <n v="5"/>
    <n v="154"/>
    <n v="175"/>
    <d v="1899-12-30T06:12:00"/>
    <d v="1899-12-30T02:30:00"/>
    <n v="13"/>
    <n v="20"/>
    <n v="1.03"/>
    <n v="0"/>
    <n v="0"/>
    <n v="0"/>
    <n v="0"/>
    <n v="0"/>
    <s v="--"/>
    <s v="--"/>
    <d v="1899-12-30T01:10:25"/>
    <d v="1899-12-30T00:00:00"/>
    <n v="0"/>
    <d v="1899-12-30T00:00:00"/>
    <s v="Não"/>
    <s v="00:01.31"/>
    <n v="33"/>
    <n v="0"/>
    <d v="1899-12-30T01:10:08"/>
    <d v="1899-12-30T01:10:25"/>
    <n v="9"/>
    <n v="26"/>
  </r>
  <r>
    <x v="2"/>
    <d v="2021-04-02T07:00:18"/>
    <s v="false"/>
    <s v="Blumenau - 4 x 2km com intervalo 3min caminhando"/>
    <n v="11.18"/>
    <n v="687"/>
    <d v="1899-12-30T01:08:33"/>
    <n v="165"/>
    <n v="186"/>
    <n v="4.0999999999999996"/>
    <n v="150"/>
    <n v="171"/>
    <d v="1899-12-30T06:08:00"/>
    <d v="1899-12-30T04:36:00"/>
    <n v="35"/>
    <n v="37"/>
    <n v="1.08"/>
    <n v="0"/>
    <n v="0"/>
    <n v="0"/>
    <n v="0"/>
    <n v="0"/>
    <s v="--"/>
    <s v="--"/>
    <d v="1899-12-30T01:08:33"/>
    <d v="1899-12-30T00:00:00"/>
    <n v="0"/>
    <d v="1899-12-30T00:00:00"/>
    <s v="Não"/>
    <s v="03:00.00"/>
    <n v="10"/>
    <n v="0"/>
    <d v="1899-12-30T01:08:32"/>
    <d v="1899-12-30T01:08:51"/>
    <n v="9"/>
    <n v="25"/>
  </r>
  <r>
    <x v="2"/>
    <d v="2021-03-30T17:41:01"/>
    <s v="false"/>
    <s v="Blumenau - 12 x 300m moderado/forte com 100m leve"/>
    <n v="8.3000000000000007"/>
    <n v="484"/>
    <d v="1899-12-30T00:57:04"/>
    <n v="157"/>
    <n v="229"/>
    <s v="--"/>
    <n v="142"/>
    <n v="177"/>
    <d v="1899-12-30T06:52:00"/>
    <d v="1899-12-30T03:47:00"/>
    <n v="35"/>
    <n v="37"/>
    <n v="1"/>
    <n v="0"/>
    <n v="0"/>
    <n v="0"/>
    <n v="0"/>
    <n v="0"/>
    <s v="--"/>
    <s v="--"/>
    <d v="1900-01-01T09:04:00"/>
    <d v="1899-12-30T00:00:00"/>
    <n v="0"/>
    <d v="1899-12-30T00:00:00"/>
    <s v="Não"/>
    <s v="00:45.62"/>
    <n v="27"/>
    <n v="0"/>
    <d v="1899-12-30T00:56:45"/>
    <d v="1899-12-30T00:57:04"/>
    <n v="9"/>
    <n v="26"/>
  </r>
  <r>
    <x v="2"/>
    <d v="2021-03-27T07:13:10"/>
    <s v="false"/>
    <s v="Blumenau Corrida"/>
    <n v="12.34"/>
    <n v="904"/>
    <d v="1899-12-30T01:20:02"/>
    <n v="173"/>
    <n v="188"/>
    <n v="5"/>
    <n v="152"/>
    <n v="169"/>
    <d v="1899-12-30T06:29:00"/>
    <d v="1899-12-30T05:23:00"/>
    <n v="156"/>
    <n v="165"/>
    <n v="1.01"/>
    <n v="0"/>
    <n v="0"/>
    <n v="0"/>
    <n v="0"/>
    <n v="0"/>
    <s v="--"/>
    <s v="--"/>
    <d v="1899-12-30T01:20:02"/>
    <d v="1899-12-30T00:00:00"/>
    <n v="0"/>
    <d v="1899-12-30T00:00:00"/>
    <s v="Não"/>
    <s v="02:03.27"/>
    <n v="13"/>
    <n v="0"/>
    <d v="1899-12-30T01:20:00"/>
    <d v="1899-12-30T01:20:02"/>
    <n v="16"/>
    <n v="109"/>
  </r>
  <r>
    <x v="2"/>
    <d v="2021-03-23T17:41:33"/>
    <s v="false"/>
    <s v="Blumenau - Progressivo - leve p/ forte"/>
    <n v="6.01"/>
    <n v="396"/>
    <d v="1899-12-30T00:37:11"/>
    <n v="164"/>
    <n v="187"/>
    <n v="3.8"/>
    <n v="159"/>
    <n v="171"/>
    <d v="1899-12-30T06:11:00"/>
    <d v="1899-12-30T04:51:00"/>
    <s v="--"/>
    <n v="13"/>
    <n v="1.01"/>
    <n v="0"/>
    <n v="0"/>
    <n v="0"/>
    <n v="0"/>
    <n v="0"/>
    <s v="--"/>
    <s v="--"/>
    <d v="1899-12-31T13:11:00"/>
    <d v="1899-12-30T00:00:00"/>
    <n v="0"/>
    <d v="1899-12-30T00:00:00"/>
    <s v="Não"/>
    <s v="00:03.92"/>
    <n v="4"/>
    <n v="0"/>
    <d v="1899-12-30T00:37:11"/>
    <d v="1899-12-30T00:37:11"/>
    <n v="9"/>
    <n v="25"/>
  </r>
  <r>
    <x v="2"/>
    <d v="2021-03-21T08:03:17"/>
    <s v="false"/>
    <s v="Blumenau Corrida"/>
    <n v="9.42"/>
    <n v="693"/>
    <d v="1899-12-30T01:00:01"/>
    <n v="175"/>
    <n v="188"/>
    <n v="5"/>
    <n v="156"/>
    <n v="172"/>
    <d v="1899-12-30T06:22:00"/>
    <d v="1899-12-30T04:27:00"/>
    <n v="29"/>
    <n v="34"/>
    <n v="1.01"/>
    <n v="0"/>
    <n v="0"/>
    <n v="0"/>
    <n v="0"/>
    <n v="0"/>
    <s v="--"/>
    <s v="--"/>
    <d v="1899-12-30T01:00:01"/>
    <d v="1899-12-30T00:00:00"/>
    <n v="0"/>
    <d v="1899-12-30T00:00:00"/>
    <s v="Não"/>
    <s v="03:26.45"/>
    <n v="10"/>
    <n v="0"/>
    <d v="1899-12-30T00:59:59"/>
    <d v="1899-12-30T01:00:01"/>
    <n v="9"/>
    <n v="26"/>
  </r>
  <r>
    <x v="2"/>
    <d v="2021-03-18T06:15:35"/>
    <s v="false"/>
    <s v="Blumenau - 6 x 2:30 - 2:30 com 2km aquec e 2km desaquec"/>
    <n v="9.41"/>
    <n v="673"/>
    <d v="1899-12-30T01:02:37"/>
    <n v="168"/>
    <n v="192"/>
    <n v="4.5"/>
    <n v="151"/>
    <n v="171"/>
    <d v="1899-12-30T06:39:00"/>
    <d v="1899-12-30T04:13:00"/>
    <n v="12"/>
    <n v="14"/>
    <n v="0.99"/>
    <n v="0"/>
    <n v="0"/>
    <n v="0"/>
    <n v="0"/>
    <n v="0"/>
    <s v="--"/>
    <s v="--"/>
    <d v="1899-12-30T01:02:37"/>
    <d v="1899-12-30T00:00:00"/>
    <n v="0"/>
    <d v="1899-12-30T00:00:00"/>
    <s v="Não"/>
    <s v="02:30.00"/>
    <n v="15"/>
    <n v="0"/>
    <d v="1899-12-30T01:02:19"/>
    <d v="1899-12-30T01:02:37"/>
    <n v="12"/>
    <n v="30"/>
  </r>
  <r>
    <x v="2"/>
    <d v="2021-03-16T06:06:17"/>
    <s v="false"/>
    <s v="Blumenau Corrida"/>
    <n v="10.02"/>
    <n v="723"/>
    <d v="1899-12-30T01:07:48"/>
    <n v="164"/>
    <n v="185"/>
    <n v="4.2"/>
    <n v="148"/>
    <n v="166"/>
    <d v="1899-12-30T06:46:00"/>
    <d v="1899-12-30T05:35:00"/>
    <n v="115"/>
    <n v="121"/>
    <n v="1"/>
    <n v="0"/>
    <n v="0"/>
    <n v="0"/>
    <n v="0"/>
    <n v="0"/>
    <s v="--"/>
    <s v="--"/>
    <d v="1899-12-30T01:07:48"/>
    <d v="1899-12-30T00:00:00"/>
    <n v="0"/>
    <d v="1899-12-30T00:00:00"/>
    <s v="Não"/>
    <s v="00:04.70"/>
    <n v="11"/>
    <n v="0"/>
    <d v="1899-12-30T01:07:46"/>
    <d v="1899-12-30T01:07:48"/>
    <n v="17"/>
    <n v="51"/>
  </r>
  <r>
    <x v="2"/>
    <d v="2021-03-07T07:54:09"/>
    <s v="false"/>
    <s v="Blumenau Corrida"/>
    <n v="15.39"/>
    <n v="1115"/>
    <d v="1899-12-30T01:41:24"/>
    <n v="168"/>
    <n v="184"/>
    <n v="4.5999999999999996"/>
    <n v="146"/>
    <n v="170"/>
    <d v="1899-12-30T06:35:00"/>
    <d v="1899-12-30T05:19:00"/>
    <n v="289"/>
    <n v="268"/>
    <n v="1.03"/>
    <n v="0"/>
    <n v="0"/>
    <n v="0"/>
    <n v="0"/>
    <n v="0"/>
    <s v="--"/>
    <s v="--"/>
    <d v="1899-12-30T01:41:24"/>
    <d v="1899-12-30T00:00:00"/>
    <n v="0"/>
    <d v="1899-12-30T00:00:00"/>
    <s v="Não"/>
    <s v="02:10.21"/>
    <n v="16"/>
    <n v="0"/>
    <d v="1899-12-30T01:41:14"/>
    <d v="1899-12-30T01:41:24"/>
    <n v="17"/>
    <n v="126"/>
  </r>
  <r>
    <x v="2"/>
    <d v="2021-03-04T06:30:41"/>
    <s v="false"/>
    <s v="Blumenau Corrida"/>
    <n v="8.01"/>
    <n v="547"/>
    <d v="1899-12-30T00:49:14"/>
    <n v="166"/>
    <n v="181"/>
    <n v="4.0999999999999996"/>
    <n v="161"/>
    <n v="168"/>
    <d v="1899-12-30T06:09:00"/>
    <d v="1899-12-30T05:21:00"/>
    <n v="96"/>
    <n v="98"/>
    <n v="1.01"/>
    <n v="0"/>
    <n v="0"/>
    <n v="0"/>
    <n v="0"/>
    <n v="0"/>
    <s v="--"/>
    <s v="--"/>
    <d v="1900-01-01T01:14:00"/>
    <d v="1899-12-30T00:00:00"/>
    <n v="0"/>
    <d v="1899-12-30T00:00:00"/>
    <s v="Não"/>
    <s v="00:02.66"/>
    <n v="9"/>
    <n v="0"/>
    <d v="1899-12-30T00:49:12"/>
    <d v="1899-12-30T00:49:14"/>
    <n v="17"/>
    <n v="52"/>
  </r>
  <r>
    <x v="2"/>
    <d v="2021-03-02T06:30:54"/>
    <s v="false"/>
    <s v="Blumenau - 10 X 1'30 subida&quot;"/>
    <n v="7.77"/>
    <n v="528"/>
    <d v="1899-12-30T01:12:42"/>
    <n v="145"/>
    <n v="182"/>
    <n v="3.2"/>
    <n v="135"/>
    <n v="177"/>
    <d v="1899-12-30T09:22:00"/>
    <d v="1899-12-30T02:31:00"/>
    <n v="256"/>
    <n v="265"/>
    <n v="0.79"/>
    <n v="0"/>
    <n v="0"/>
    <n v="0"/>
    <n v="0"/>
    <n v="0"/>
    <s v="--"/>
    <s v="--"/>
    <d v="1899-12-30T01:12:42"/>
    <d v="1899-12-30T00:00:00"/>
    <n v="0"/>
    <d v="1899-12-30T00:00:00"/>
    <s v="Não"/>
    <s v="00:04.61"/>
    <n v="23"/>
    <n v="0"/>
    <d v="1899-12-30T01:11:02"/>
    <d v="1899-12-30T01:12:42"/>
    <n v="10"/>
    <n v="42"/>
  </r>
  <r>
    <x v="2"/>
    <d v="2021-02-25T06:33:07"/>
    <s v="false"/>
    <s v="Blumenau - 2 x 5km com intervalo 5min caminhando"/>
    <n v="11.15"/>
    <n v="704"/>
    <d v="1899-12-30T01:09:08"/>
    <n v="167"/>
    <n v="188"/>
    <n v="4.5"/>
    <n v="155"/>
    <n v="173"/>
    <d v="1899-12-30T06:12:00"/>
    <d v="1899-12-30T02:30:00"/>
    <n v="25"/>
    <n v="32"/>
    <n v="1.03"/>
    <n v="0"/>
    <n v="0"/>
    <n v="0"/>
    <n v="0"/>
    <n v="0"/>
    <s v="--"/>
    <s v="--"/>
    <d v="1899-12-30T01:09:08"/>
    <d v="1899-12-30T00:00:00"/>
    <n v="0"/>
    <d v="1899-12-30T00:00:00"/>
    <s v="Não"/>
    <s v="03:18.82"/>
    <n v="5"/>
    <n v="0"/>
    <d v="1899-12-30T01:09:02"/>
    <d v="1899-12-30T01:09:08"/>
    <n v="10"/>
    <n v="26"/>
  </r>
  <r>
    <x v="2"/>
    <d v="2021-02-23T06:26:33"/>
    <s v="false"/>
    <s v="Blumenau - 3 x 2km com intervalo 3min caminhando"/>
    <n v="9.27"/>
    <n v="548"/>
    <d v="1899-12-30T01:01:33"/>
    <n v="163"/>
    <n v="188"/>
    <n v="4.3"/>
    <n v="144"/>
    <n v="171"/>
    <d v="1899-12-30T06:38:00"/>
    <d v="1899-12-30T04:44:00"/>
    <n v="10"/>
    <n v="14"/>
    <n v="1.02"/>
    <n v="0"/>
    <n v="0"/>
    <n v="0"/>
    <n v="0"/>
    <n v="0"/>
    <s v="--"/>
    <s v="--"/>
    <d v="1899-12-30T01:01:33"/>
    <d v="1899-12-30T00:00:00"/>
    <n v="0"/>
    <d v="1899-12-30T00:00:00"/>
    <s v="Não"/>
    <s v="03:00.00"/>
    <n v="8"/>
    <n v="0"/>
    <d v="1899-12-30T01:01:32"/>
    <d v="1899-12-30T01:01:33"/>
    <n v="12"/>
    <n v="29"/>
  </r>
  <r>
    <x v="2"/>
    <d v="2021-02-21T06:36:56"/>
    <s v="false"/>
    <s v="Ilhota Corrida"/>
    <n v="9.32"/>
    <n v="349"/>
    <d v="1899-12-30T03:42:39"/>
    <s v="--"/>
    <s v="--"/>
    <s v="--"/>
    <n v="54"/>
    <n v="244"/>
    <d v="1899-12-30T23:53:00"/>
    <d v="1899-12-30T02:46:00"/>
    <n v="658"/>
    <n v="666"/>
    <n v="0.82"/>
    <n v="0"/>
    <n v="0"/>
    <n v="0"/>
    <n v="0"/>
    <n v="0"/>
    <s v="--"/>
    <s v="--"/>
    <d v="1899-12-30T03:42:39"/>
    <d v="1899-12-30T00:00:00"/>
    <n v="0"/>
    <d v="1899-12-30T00:00:00"/>
    <s v="Não"/>
    <s v="05:16.08"/>
    <n v="10"/>
    <n v="0"/>
    <d v="1899-12-30T01:55:57"/>
    <d v="1899-12-30T03:42:39"/>
    <n v="218"/>
    <n v="805"/>
  </r>
  <r>
    <x v="2"/>
    <d v="2021-02-20T07:14:03"/>
    <s v="false"/>
    <s v="Blumenau Corrida"/>
    <n v="14.01"/>
    <n v="1011"/>
    <d v="1899-12-30T01:33:35"/>
    <n v="169"/>
    <n v="186"/>
    <n v="5"/>
    <n v="147"/>
    <n v="180"/>
    <d v="1899-12-30T06:41:00"/>
    <d v="1899-12-30T04:44:00"/>
    <n v="224"/>
    <n v="233"/>
    <n v="1.02"/>
    <n v="0"/>
    <n v="0"/>
    <n v="0"/>
    <n v="0"/>
    <n v="0"/>
    <s v="--"/>
    <s v="--"/>
    <d v="1899-12-30T01:33:35"/>
    <d v="1899-12-30T00:00:00"/>
    <n v="0"/>
    <d v="1899-12-30T00:00:00"/>
    <s v="Não"/>
    <s v="00:05.93"/>
    <n v="15"/>
    <n v="0"/>
    <d v="1899-12-30T01:33:33"/>
    <d v="1899-12-30T01:33:35"/>
    <n v="16"/>
    <n v="111"/>
  </r>
  <r>
    <x v="2"/>
    <d v="2021-02-18T06:37:03"/>
    <s v="false"/>
    <s v="Blumenau - Run Workout"/>
    <n v="10.01"/>
    <n v="683"/>
    <d v="1899-12-30T01:00:54"/>
    <n v="172"/>
    <n v="186"/>
    <n v="5"/>
    <n v="155"/>
    <n v="171"/>
    <d v="1899-12-30T06:05:00"/>
    <d v="1899-12-30T02:01:00"/>
    <n v="158"/>
    <n v="161"/>
    <n v="1.06"/>
    <n v="0"/>
    <n v="0"/>
    <n v="0"/>
    <n v="0"/>
    <n v="0"/>
    <s v="--"/>
    <s v="--"/>
    <d v="1899-12-30T01:00:54"/>
    <d v="1899-12-30T00:00:00"/>
    <n v="0"/>
    <d v="1899-12-30T00:00:00"/>
    <s v="Não"/>
    <s v="00:03.16"/>
    <n v="2"/>
    <n v="0"/>
    <d v="1899-12-30T01:00:35"/>
    <d v="1899-12-30T01:00:54"/>
    <n v="-35"/>
    <n v="56"/>
  </r>
  <r>
    <x v="2"/>
    <d v="2021-02-16T18:01:02"/>
    <s v="false"/>
    <s v="Blumenau - 4 x 1km com intervalo 3min caminhando"/>
    <n v="9.44"/>
    <n v="593"/>
    <d v="1899-12-30T01:09:36"/>
    <n v="157"/>
    <n v="187"/>
    <n v="3.8"/>
    <n v="137"/>
    <n v="168"/>
    <d v="1899-12-30T07:22:00"/>
    <d v="1899-12-30T04:27:00"/>
    <n v="22"/>
    <n v="24"/>
    <n v="0.97"/>
    <n v="0"/>
    <n v="0"/>
    <n v="0"/>
    <n v="0"/>
    <n v="0"/>
    <s v="--"/>
    <s v="--"/>
    <d v="1899-12-30T01:09:36"/>
    <d v="1899-12-30T00:00:00"/>
    <n v="0"/>
    <d v="1899-12-30T00:00:00"/>
    <s v="Não"/>
    <s v="03:00.00"/>
    <n v="11"/>
    <n v="0"/>
    <d v="1899-12-30T01:07:23"/>
    <d v="1899-12-30T01:09:36"/>
    <n v="9"/>
    <n v="26"/>
  </r>
  <r>
    <x v="2"/>
    <d v="2021-02-14T08:18:42"/>
    <s v="false"/>
    <s v="Blumenau Corrida"/>
    <n v="12.52"/>
    <n v="960"/>
    <d v="1899-12-30T01:27:17"/>
    <n v="174"/>
    <n v="188"/>
    <n v="5"/>
    <n v="143"/>
    <n v="170"/>
    <d v="1899-12-30T06:58:00"/>
    <d v="1899-12-30T05:25:00"/>
    <n v="259"/>
    <n v="240"/>
    <n v="1"/>
    <n v="0"/>
    <n v="0"/>
    <n v="0"/>
    <n v="0"/>
    <n v="0"/>
    <s v="--"/>
    <s v="--"/>
    <d v="1899-12-30T01:27:17"/>
    <d v="1899-12-30T00:00:00"/>
    <n v="0"/>
    <d v="1899-12-30T00:00:00"/>
    <s v="Não"/>
    <s v="03:00.45"/>
    <n v="13"/>
    <n v="0"/>
    <d v="1899-12-30T01:24:57"/>
    <d v="1899-12-30T01:27:17"/>
    <n v="18"/>
    <n v="127"/>
  </r>
  <r>
    <x v="2"/>
    <d v="2021-02-11T06:38:53"/>
    <s v="false"/>
    <s v="Blumenau - Run Workout"/>
    <n v="8.6300000000000008"/>
    <n v="583"/>
    <d v="1899-12-30T00:54:28"/>
    <n v="172"/>
    <n v="188"/>
    <n v="4.7"/>
    <n v="154"/>
    <n v="172"/>
    <d v="1899-12-30T06:19:00"/>
    <d v="1899-12-30T03:53:00"/>
    <n v="67"/>
    <n v="74"/>
    <n v="1.02"/>
    <n v="0"/>
    <n v="0"/>
    <n v="0"/>
    <n v="0"/>
    <n v="0"/>
    <s v="--"/>
    <s v="--"/>
    <d v="1900-01-01T06:28:00"/>
    <d v="1899-12-30T00:00:00"/>
    <n v="0"/>
    <d v="1899-12-30T00:00:00"/>
    <s v="Não"/>
    <s v="06:57.48"/>
    <n v="2"/>
    <n v="0"/>
    <d v="1899-12-30T00:54:20"/>
    <d v="1899-12-30T00:54:28"/>
    <n v="9"/>
    <n v="49"/>
  </r>
  <r>
    <x v="2"/>
    <d v="2021-02-09T06:29:20"/>
    <s v="false"/>
    <s v="Blumenau - 10 x 400 - intervalo 1 minuto"/>
    <n v="8.3000000000000007"/>
    <n v="562"/>
    <d v="1899-12-30T00:56:10"/>
    <n v="163"/>
    <n v="183"/>
    <n v="4.0999999999999996"/>
    <n v="139"/>
    <n v="173"/>
    <d v="1899-12-30T06:46:00"/>
    <d v="1899-12-30T03:16:00"/>
    <n v="10"/>
    <n v="20"/>
    <n v="1.07"/>
    <n v="0"/>
    <n v="0"/>
    <n v="0"/>
    <n v="0"/>
    <n v="0"/>
    <s v="--"/>
    <s v="--"/>
    <d v="1900-01-01T08:10:00"/>
    <d v="1899-12-30T00:00:00"/>
    <n v="0"/>
    <d v="1899-12-30T00:00:00"/>
    <s v="Não"/>
    <s v="00:02.67"/>
    <n v="23"/>
    <n v="0"/>
    <d v="1899-12-30T00:47:22"/>
    <d v="1899-12-30T00:56:10"/>
    <n v="9"/>
    <n v="26"/>
  </r>
  <r>
    <x v="2"/>
    <d v="2021-02-06T07:20:28"/>
    <s v="false"/>
    <s v="Blumenau - Run Workout"/>
    <n v="10.01"/>
    <n v="697"/>
    <d v="1899-12-30T01:06:23"/>
    <n v="168"/>
    <n v="181"/>
    <n v="4.5"/>
    <n v="146"/>
    <n v="171"/>
    <d v="1899-12-30T06:38:00"/>
    <d v="1899-12-30T03:11:00"/>
    <n v="126"/>
    <n v="126"/>
    <n v="1.04"/>
    <n v="0"/>
    <n v="0"/>
    <n v="0"/>
    <n v="0"/>
    <n v="0"/>
    <s v="--"/>
    <s v="--"/>
    <d v="1899-12-30T01:06:23"/>
    <d v="1899-12-30T00:00:00"/>
    <n v="0"/>
    <d v="1899-12-30T00:00:00"/>
    <s v="Não"/>
    <s v="20:26.31"/>
    <n v="2"/>
    <n v="0"/>
    <d v="1899-12-30T01:06:23"/>
    <d v="1899-12-30T01:06:23"/>
    <n v="17"/>
    <n v="50"/>
  </r>
  <r>
    <x v="2"/>
    <d v="2021-02-02T06:34:54"/>
    <s v="false"/>
    <s v="Blumenau - Run Workout"/>
    <n v="7"/>
    <n v="445"/>
    <d v="1899-12-30T00:44:30"/>
    <n v="163"/>
    <n v="180"/>
    <n v="3.9"/>
    <n v="155"/>
    <n v="170"/>
    <d v="1899-12-30T06:21:00"/>
    <d v="1899-12-30T01:43:00"/>
    <n v="53"/>
    <n v="64"/>
    <n v="1.02"/>
    <n v="0"/>
    <n v="0"/>
    <n v="0"/>
    <n v="0"/>
    <n v="0"/>
    <s v="--"/>
    <s v="--"/>
    <d v="1899-12-31T20:30:00"/>
    <d v="1899-12-30T00:00:00"/>
    <n v="0"/>
    <d v="1899-12-30T00:00:00"/>
    <s v="Não"/>
    <s v="00:03.29"/>
    <n v="2"/>
    <n v="0"/>
    <d v="1899-12-30T00:44:30"/>
    <d v="1899-12-30T00:44:30"/>
    <n v="9"/>
    <n v="49"/>
  </r>
  <r>
    <x v="2"/>
    <d v="2021-01-30T07:09:55"/>
    <s v="false"/>
    <s v="Gaspar Corrida"/>
    <n v="16.73"/>
    <n v="1528"/>
    <d v="1899-12-30T02:43:39"/>
    <n v="168"/>
    <n v="201"/>
    <n v="5"/>
    <n v="102"/>
    <n v="173"/>
    <d v="1899-12-30T09:47:00"/>
    <d v="1899-12-30T04:41:00"/>
    <n v="870"/>
    <n v="691"/>
    <n v="0.97"/>
    <n v="0"/>
    <n v="0"/>
    <n v="0"/>
    <n v="0"/>
    <n v="0"/>
    <s v="--"/>
    <s v="--"/>
    <d v="1899-12-30T02:43:39"/>
    <d v="1899-12-30T00:00:00"/>
    <n v="0"/>
    <d v="1899-12-30T00:00:00"/>
    <s v="Não"/>
    <s v="04:47.11"/>
    <n v="17"/>
    <n v="0"/>
    <d v="1899-12-30T02:20:35"/>
    <d v="1899-12-30T02:44:34"/>
    <n v="115"/>
    <n v="802"/>
  </r>
  <r>
    <x v="2"/>
    <d v="2021-01-28T06:33:35"/>
    <s v="false"/>
    <s v="Blumenau - Run Workout"/>
    <n v="8.64"/>
    <n v="588"/>
    <d v="1899-12-30T00:59:34"/>
    <n v="168"/>
    <n v="185"/>
    <n v="5"/>
    <n v="149"/>
    <n v="171"/>
    <d v="1899-12-30T06:54:00"/>
    <d v="1899-12-30T03:31:00"/>
    <n v="62"/>
    <n v="69"/>
    <n v="0.97"/>
    <n v="0"/>
    <n v="0"/>
    <n v="0"/>
    <n v="0"/>
    <n v="0"/>
    <s v="--"/>
    <s v="--"/>
    <d v="1900-01-01T11:34:00"/>
    <d v="1899-12-30T00:00:00"/>
    <n v="0"/>
    <d v="1899-12-30T00:00:00"/>
    <s v="Não"/>
    <s v="07:55.08"/>
    <n v="2"/>
    <n v="0"/>
    <d v="1899-12-30T00:58:39"/>
    <d v="1899-12-30T00:59:34"/>
    <n v="9"/>
    <n v="49"/>
  </r>
  <r>
    <x v="2"/>
    <d v="2021-01-26T06:33:32"/>
    <s v="false"/>
    <s v="Blumenau - Teste de 5km"/>
    <n v="8.36"/>
    <n v="523"/>
    <d v="1899-12-30T01:01:25"/>
    <n v="164"/>
    <n v="190"/>
    <n v="5"/>
    <n v="140"/>
    <n v="173"/>
    <d v="1899-12-30T07:21:00"/>
    <d v="1899-12-30T03:53:00"/>
    <n v="18"/>
    <n v="23"/>
    <n v="1.04"/>
    <n v="0"/>
    <n v="0"/>
    <n v="0"/>
    <n v="0"/>
    <n v="0"/>
    <s v="--"/>
    <s v="--"/>
    <d v="1899-12-30T01:01:25"/>
    <d v="1899-12-30T00:00:00"/>
    <n v="0"/>
    <d v="1899-12-30T00:00:00"/>
    <s v="Não"/>
    <s v="00:20.00"/>
    <n v="15"/>
    <n v="0"/>
    <d v="1899-12-30T00:58:30"/>
    <d v="1899-12-30T01:01:25"/>
    <n v="9"/>
    <n v="26"/>
  </r>
  <r>
    <x v="2"/>
    <d v="2021-01-23T07:17:01"/>
    <s v="false"/>
    <s v="Blumenau - Teste de 1km SUBIDA"/>
    <n v="7.89"/>
    <n v="531"/>
    <d v="1899-12-30T01:07:03"/>
    <n v="161"/>
    <n v="191"/>
    <n v="4.8"/>
    <n v="125"/>
    <n v="170"/>
    <d v="1899-12-30T08:30:00"/>
    <d v="1899-12-30T04:23:00"/>
    <n v="129"/>
    <n v="125"/>
    <n v="0.94"/>
    <n v="0"/>
    <n v="0"/>
    <n v="0"/>
    <n v="0"/>
    <n v="0"/>
    <s v="--"/>
    <s v="--"/>
    <d v="1899-12-30T01:07:03"/>
    <d v="1899-12-30T00:00:00"/>
    <n v="0"/>
    <d v="1899-12-30T00:00:00"/>
    <s v="Não"/>
    <s v="00:20.00"/>
    <n v="15"/>
    <n v="0"/>
    <d v="1899-12-30T01:02:59"/>
    <d v="1899-12-30T01:07:03"/>
    <n v="9"/>
    <n v="138"/>
  </r>
  <r>
    <x v="2"/>
    <d v="2021-01-19T06:34:00"/>
    <s v="false"/>
    <s v="Blumenau - Teste de 1km"/>
    <n v="6.52"/>
    <n v="353"/>
    <d v="1899-12-30T00:53:29"/>
    <n v="147"/>
    <n v="192"/>
    <n v="3.9"/>
    <n v="130"/>
    <n v="186"/>
    <d v="1899-12-30T08:12:00"/>
    <d v="1899-12-30T02:42:00"/>
    <n v="14"/>
    <n v="16"/>
    <n v="0.9"/>
    <n v="0"/>
    <n v="0"/>
    <n v="0"/>
    <n v="0"/>
    <n v="0"/>
    <s v="--"/>
    <s v="--"/>
    <d v="1900-01-01T05:29:00"/>
    <d v="1899-12-30T00:00:00"/>
    <n v="0"/>
    <d v="1899-12-30T00:00:00"/>
    <s v="Não"/>
    <s v="00:20.00"/>
    <n v="15"/>
    <n v="0"/>
    <d v="1899-12-30T00:51:02"/>
    <d v="1899-12-30T00:53:29"/>
    <n v="9"/>
    <n v="26"/>
  </r>
  <r>
    <x v="2"/>
    <d v="2021-01-16T07:10:16"/>
    <s v="false"/>
    <s v="Blumenau Corrida"/>
    <n v="5.91"/>
    <n v="383"/>
    <d v="1899-12-30T00:37:58"/>
    <n v="169"/>
    <n v="184"/>
    <n v="4.8"/>
    <n v="150"/>
    <n v="168"/>
    <d v="1899-12-30T06:26:00"/>
    <d v="1899-12-30T04:47:00"/>
    <n v="67"/>
    <n v="57"/>
    <n v="1.04"/>
    <n v="0"/>
    <n v="0"/>
    <n v="0"/>
    <n v="0"/>
    <n v="0"/>
    <s v="--"/>
    <s v="--"/>
    <d v="1899-12-31T13:58:00"/>
    <d v="1899-12-30T00:00:00"/>
    <n v="0"/>
    <d v="1899-12-30T00:00:00"/>
    <s v="Não"/>
    <s v="05:47.76"/>
    <n v="6"/>
    <n v="0"/>
    <d v="1899-12-30T00:37:57"/>
    <d v="1899-12-30T00:37:58"/>
    <n v="22"/>
    <n v="60"/>
  </r>
  <r>
    <x v="2"/>
    <d v="2021-01-14T06:37:16"/>
    <s v="false"/>
    <s v="Blumenau Corrida"/>
    <n v="8.01"/>
    <n v="521"/>
    <d v="1899-12-30T00:51:12"/>
    <n v="172"/>
    <n v="186"/>
    <n v="5"/>
    <n v="149"/>
    <n v="170"/>
    <d v="1899-12-30T06:23:00"/>
    <d v="1899-12-30T05:27:00"/>
    <n v="44"/>
    <n v="55"/>
    <n v="1.05"/>
    <n v="0"/>
    <n v="0"/>
    <n v="0"/>
    <n v="0"/>
    <n v="0"/>
    <s v="--"/>
    <s v="--"/>
    <d v="1900-01-01T03:12:00"/>
    <d v="1899-12-30T00:00:00"/>
    <n v="0"/>
    <d v="1899-12-30T00:00:00"/>
    <s v="Não"/>
    <s v="00:05.40"/>
    <n v="9"/>
    <n v="0"/>
    <d v="1899-12-30T00:50:56"/>
    <d v="1899-12-30T00:51:12"/>
    <n v="9"/>
    <n v="49"/>
  </r>
  <r>
    <x v="2"/>
    <d v="2021-01-12T07:08:13"/>
    <s v="false"/>
    <s v="Blumenau Corrida"/>
    <n v="8.01"/>
    <n v="550"/>
    <d v="1899-12-30T00:51:24"/>
    <n v="177"/>
    <n v="195"/>
    <n v="5"/>
    <n v="147"/>
    <n v="170"/>
    <d v="1899-12-30T06:25:00"/>
    <d v="1899-12-30T05:12:00"/>
    <n v="76"/>
    <n v="83"/>
    <n v="1.06"/>
    <n v="0"/>
    <n v="0"/>
    <n v="0"/>
    <n v="0"/>
    <n v="0"/>
    <s v="--"/>
    <s v="--"/>
    <d v="1900-01-01T03:24:00"/>
    <d v="1899-12-30T00:00:00"/>
    <n v="0"/>
    <d v="1899-12-30T00:00:00"/>
    <s v="Não"/>
    <s v="00:02.05"/>
    <n v="9"/>
    <n v="0"/>
    <d v="1899-12-30T00:51:22"/>
    <d v="1899-12-30T00:51:24"/>
    <n v="17"/>
    <n v="51"/>
  </r>
  <r>
    <x v="2"/>
    <d v="2020-12-31T10:06:13"/>
    <s v="false"/>
    <s v="Corrida"/>
    <n v="8.01"/>
    <n v="601"/>
    <d v="1899-12-30T00:48:30"/>
    <s v="--"/>
    <s v="--"/>
    <s v="--"/>
    <n v="156"/>
    <n v="164"/>
    <d v="1899-12-30T06:03:00"/>
    <d v="1899-12-30T04:59:00"/>
    <s v="--"/>
    <s v="--"/>
    <n v="1.06"/>
    <n v="0"/>
    <n v="0"/>
    <n v="0"/>
    <n v="0"/>
    <n v="0"/>
    <s v="--"/>
    <s v="--"/>
    <d v="1900-01-01T00:30:00"/>
    <d v="1899-12-30T00:00:00"/>
    <n v="0"/>
    <d v="1899-12-30T00:00:00"/>
    <s v="Não"/>
    <s v="00:02.35"/>
    <n v="9"/>
    <n v="0"/>
    <d v="1899-12-30T00:48:28"/>
    <d v="1899-12-30T00:48:30"/>
    <s v="--"/>
    <s v="--"/>
  </r>
  <r>
    <x v="2"/>
    <d v="2020-12-26T06:53:23"/>
    <s v="false"/>
    <s v="Corrida"/>
    <n v="12.01"/>
    <n v="900"/>
    <d v="1899-12-30T01:14:12"/>
    <s v="--"/>
    <s v="--"/>
    <s v="--"/>
    <n v="153"/>
    <n v="164"/>
    <d v="1899-12-30T06:11:00"/>
    <d v="1899-12-30T05:03:00"/>
    <s v="--"/>
    <s v="--"/>
    <n v="1.06"/>
    <n v="0"/>
    <n v="0"/>
    <n v="0"/>
    <n v="0"/>
    <n v="0"/>
    <s v="--"/>
    <s v="--"/>
    <d v="1899-12-30T01:14:12"/>
    <d v="1899-12-30T00:00:00"/>
    <n v="0"/>
    <d v="1899-12-30T00:00:00"/>
    <s v="Não"/>
    <s v="00:04.68"/>
    <n v="13"/>
    <n v="0"/>
    <d v="1899-12-30T01:14:10"/>
    <d v="1899-12-30T01:14:12"/>
    <s v="--"/>
    <s v="--"/>
  </r>
  <r>
    <x v="2"/>
    <d v="2020-12-22T06:37:37"/>
    <s v="false"/>
    <s v="Blumenau - 10 x 400 - intervalo 1 minuto"/>
    <n v="8.4499999999999993"/>
    <n v="585"/>
    <d v="1899-12-30T01:07:14"/>
    <s v="--"/>
    <s v="--"/>
    <s v="--"/>
    <n v="126"/>
    <n v="181"/>
    <d v="1899-12-30T07:57:00"/>
    <d v="1899-12-30T03:41:00"/>
    <n v="13"/>
    <n v="17"/>
    <n v="0.98"/>
    <n v="0"/>
    <n v="0"/>
    <n v="0"/>
    <n v="0"/>
    <n v="0"/>
    <s v="--"/>
    <s v="--"/>
    <d v="1899-12-30T01:07:14"/>
    <d v="1899-12-30T00:00:00"/>
    <n v="0"/>
    <d v="1899-12-30T00:00:00"/>
    <s v="Não"/>
    <s v="01:00.00"/>
    <n v="23"/>
    <n v="0"/>
    <d v="1899-12-30T00:58:50"/>
    <d v="1899-12-30T01:07:14"/>
    <n v="12"/>
    <n v="29"/>
  </r>
  <r>
    <x v="2"/>
    <d v="2020-12-20T20:48:46"/>
    <s v="false"/>
    <s v="Corrida"/>
    <n v="3.01"/>
    <n v="156"/>
    <d v="1899-12-30T00:34:40"/>
    <s v="--"/>
    <s v="--"/>
    <s v="--"/>
    <n v="112"/>
    <n v="130"/>
    <d v="1899-12-30T11:31:00"/>
    <d v="1899-12-30T09:30:00"/>
    <s v="--"/>
    <s v="--"/>
    <n v="0.78"/>
    <n v="0"/>
    <n v="0"/>
    <n v="0"/>
    <n v="0"/>
    <n v="0"/>
    <s v="--"/>
    <s v="--"/>
    <d v="1899-12-31T10:40:00"/>
    <d v="1899-12-30T00:00:00"/>
    <n v="0"/>
    <d v="1899-12-30T00:00:00"/>
    <s v="Não"/>
    <s v="00:07.04"/>
    <n v="4"/>
    <n v="0"/>
    <d v="1899-12-30T00:34:40"/>
    <d v="1899-12-30T00:34:40"/>
    <s v="--"/>
    <s v="--"/>
  </r>
  <r>
    <x v="2"/>
    <d v="2020-12-17T06:37:53"/>
    <s v="false"/>
    <s v="Blumenau - 8 x 500m com intervalo 2min caminhando"/>
    <n v="7.42"/>
    <n v="515"/>
    <d v="1899-12-30T00:52:59"/>
    <s v="--"/>
    <s v="--"/>
    <s v="--"/>
    <n v="138"/>
    <n v="240"/>
    <d v="1899-12-30T07:08:00"/>
    <d v="1899-12-30T03:44:00"/>
    <n v="15"/>
    <n v="17"/>
    <n v="0.98"/>
    <n v="0"/>
    <n v="0"/>
    <n v="0"/>
    <n v="0"/>
    <n v="0"/>
    <s v="--"/>
    <s v="--"/>
    <d v="1900-01-01T04:59:00"/>
    <d v="1899-12-30T00:00:00"/>
    <n v="0"/>
    <d v="1899-12-30T00:00:00"/>
    <s v="Não"/>
    <s v="02:00.00"/>
    <n v="18"/>
    <n v="0"/>
    <d v="1899-12-30T00:52:55"/>
    <d v="1899-12-30T00:52:59"/>
    <n v="12"/>
    <n v="29"/>
  </r>
  <r>
    <x v="2"/>
    <d v="2020-12-15T06:28:31"/>
    <s v="false"/>
    <s v="Corrida"/>
    <n v="8"/>
    <n v="565"/>
    <d v="1899-12-30T00:58:13"/>
    <s v="--"/>
    <s v="--"/>
    <s v="--"/>
    <n v="133"/>
    <n v="164"/>
    <d v="1899-12-30T07:16:00"/>
    <d v="1899-12-30T05:31:00"/>
    <s v="--"/>
    <s v="--"/>
    <n v="1.02"/>
    <n v="0"/>
    <n v="0"/>
    <n v="0"/>
    <n v="0"/>
    <n v="0"/>
    <s v="--"/>
    <s v="--"/>
    <d v="1900-01-01T10:13:00"/>
    <d v="1899-12-30T00:00:00"/>
    <n v="0"/>
    <d v="1899-12-30T00:00:00"/>
    <s v="Não"/>
    <s v="00:05.71"/>
    <n v="9"/>
    <n v="0"/>
    <d v="1899-12-30T00:58:11"/>
    <d v="1899-12-30T00:58:13"/>
    <s v="--"/>
    <s v="--"/>
  </r>
  <r>
    <x v="2"/>
    <d v="2020-12-13T07:22:58"/>
    <s v="false"/>
    <s v="Gaspar Corrida"/>
    <n v="13.44"/>
    <n v="885"/>
    <d v="1899-12-30T01:52:17"/>
    <s v="--"/>
    <s v="--"/>
    <s v="--"/>
    <n v="127"/>
    <n v="246"/>
    <d v="1899-12-30T08:21:00"/>
    <d v="1899-12-30T02:42:00"/>
    <n v="449"/>
    <n v="496"/>
    <n v="0.94"/>
    <n v="0"/>
    <n v="0"/>
    <n v="0"/>
    <n v="0"/>
    <n v="0"/>
    <s v="--"/>
    <s v="--"/>
    <d v="1899-12-30T01:52:17"/>
    <d v="1899-12-30T00:00:00"/>
    <n v="0"/>
    <d v="1899-12-30T00:00:00"/>
    <s v="Não"/>
    <s v="03:07.57"/>
    <n v="14"/>
    <n v="0"/>
    <d v="1899-12-30T01:48:39"/>
    <d v="1899-12-30T01:52:17"/>
    <n v="90"/>
    <n v="374"/>
  </r>
  <r>
    <x v="2"/>
    <d v="2020-12-10T06:43:18"/>
    <s v="false"/>
    <s v="Blumenau Corrida"/>
    <n v="7.34"/>
    <n v="505"/>
    <d v="1899-12-30T00:54:00"/>
    <s v="--"/>
    <s v="--"/>
    <s v="--"/>
    <n v="139"/>
    <n v="175"/>
    <d v="1899-12-30T07:22:00"/>
    <d v="1899-12-30T03:42:00"/>
    <n v="19"/>
    <n v="21"/>
    <n v="0.95"/>
    <n v="0"/>
    <n v="0"/>
    <n v="0"/>
    <n v="0"/>
    <n v="0"/>
    <s v="--"/>
    <s v="--"/>
    <d v="1900-01-01T06:00:00"/>
    <d v="1899-12-30T00:00:00"/>
    <n v="0"/>
    <d v="1899-12-30T00:00:00"/>
    <s v="Não"/>
    <s v="12:23.58"/>
    <n v="3"/>
    <n v="0"/>
    <d v="1899-12-30T00:54:00"/>
    <d v="1899-12-30T00:54:00"/>
    <n v="12"/>
    <n v="28"/>
  </r>
  <r>
    <x v="2"/>
    <d v="2020-12-08T06:34:04"/>
    <s v="false"/>
    <s v="Blumenau Corrida"/>
    <n v="7.38"/>
    <n v="496"/>
    <d v="1899-12-30T00:52:47"/>
    <s v="--"/>
    <s v="--"/>
    <s v="--"/>
    <n v="139"/>
    <n v="173"/>
    <d v="1899-12-30T07:09:00"/>
    <d v="1899-12-30T03:41:00"/>
    <n v="15"/>
    <n v="17"/>
    <n v="0.97"/>
    <n v="0"/>
    <n v="0"/>
    <n v="0"/>
    <n v="0"/>
    <n v="0"/>
    <s v="--"/>
    <s v="--"/>
    <d v="1900-01-01T04:47:00"/>
    <d v="1899-12-30T00:00:00"/>
    <n v="0"/>
    <d v="1899-12-30T00:00:00"/>
    <s v="Não"/>
    <s v="01:00.00"/>
    <n v="8"/>
    <n v="0"/>
    <d v="1899-12-30T00:52:25"/>
    <d v="1899-12-30T00:53:22"/>
    <n v="12"/>
    <n v="29"/>
  </r>
  <r>
    <x v="2"/>
    <d v="2020-12-05T07:09:03"/>
    <s v="false"/>
    <s v="Blumenau Corrida"/>
    <n v="7.54"/>
    <n v="536"/>
    <d v="1899-12-30T00:51:05"/>
    <s v="--"/>
    <s v="--"/>
    <s v="--"/>
    <n v="134"/>
    <n v="246"/>
    <d v="1899-12-30T06:46:00"/>
    <d v="1899-12-30T04:18:00"/>
    <n v="22"/>
    <n v="27"/>
    <n v="1.2"/>
    <n v="0"/>
    <n v="0"/>
    <n v="0"/>
    <n v="0"/>
    <n v="0"/>
    <s v="--"/>
    <s v="--"/>
    <d v="1900-01-01T03:05:00"/>
    <d v="1899-12-30T00:00:00"/>
    <n v="0"/>
    <d v="1899-12-30T00:00:00"/>
    <s v="Não"/>
    <s v="04:00.00"/>
    <n v="8"/>
    <n v="0"/>
    <d v="1899-12-30T00:44:04"/>
    <d v="1899-12-30T00:51:33"/>
    <n v="12"/>
    <n v="30"/>
  </r>
  <r>
    <x v="2"/>
    <d v="2020-12-01T18:34:24"/>
    <s v="false"/>
    <s v="Corrida"/>
    <n v="6.79"/>
    <n v="494"/>
    <d v="1899-12-30T00:40:03"/>
    <s v="--"/>
    <s v="--"/>
    <s v="--"/>
    <n v="155"/>
    <n v="161"/>
    <d v="1899-12-30T05:54:00"/>
    <d v="1899-12-30T05:19:00"/>
    <s v="--"/>
    <s v="--"/>
    <n v="1.0900000000000001"/>
    <n v="0"/>
    <n v="0"/>
    <n v="0"/>
    <n v="0"/>
    <n v="0"/>
    <s v="--"/>
    <s v="--"/>
    <d v="1899-12-31T16:03:00"/>
    <d v="1899-12-30T00:00:00"/>
    <n v="0"/>
    <d v="1899-12-30T00:00:00"/>
    <s v="Não"/>
    <s v="04:33.26"/>
    <n v="7"/>
    <n v="0"/>
    <d v="1899-12-30T00:40:02"/>
    <d v="1899-12-30T00:40:03"/>
    <s v="--"/>
    <s v="--"/>
  </r>
  <r>
    <x v="2"/>
    <d v="2020-11-28T06:10:16"/>
    <s v="false"/>
    <s v="Ilhota Corrida"/>
    <n v="22.01"/>
    <n v="1437"/>
    <d v="1899-12-30T02:50:34"/>
    <s v="--"/>
    <s v="--"/>
    <s v="--"/>
    <n v="124"/>
    <n v="182"/>
    <d v="1899-12-30T07:45:00"/>
    <d v="1899-12-30T04:20:00"/>
    <n v="858"/>
    <n v="861"/>
    <n v="1.04"/>
    <n v="0"/>
    <n v="0"/>
    <n v="0"/>
    <n v="0"/>
    <n v="0"/>
    <s v="--"/>
    <s v="--"/>
    <d v="1899-12-30T02:50:34"/>
    <d v="1899-12-30T00:00:00"/>
    <n v="0"/>
    <d v="1899-12-30T00:00:00"/>
    <s v="Não"/>
    <s v="00:05.52"/>
    <n v="23"/>
    <n v="0"/>
    <d v="1899-12-30T02:49:22"/>
    <d v="1899-12-30T02:50:34"/>
    <n v="209"/>
    <n v="514"/>
  </r>
  <r>
    <x v="2"/>
    <d v="2020-11-26T06:26:45"/>
    <s v="false"/>
    <s v="Blumenau Corrida"/>
    <n v="10.119999999999999"/>
    <n v="728"/>
    <d v="1899-12-30T01:02:06"/>
    <s v="--"/>
    <s v="--"/>
    <s v="--"/>
    <n v="158"/>
    <n v="171"/>
    <d v="1899-12-30T06:08:00"/>
    <d v="1899-12-30T04:59:00"/>
    <n v="45"/>
    <n v="50"/>
    <n v="1.03"/>
    <n v="0"/>
    <n v="0"/>
    <n v="0"/>
    <n v="0"/>
    <n v="0"/>
    <s v="--"/>
    <s v="--"/>
    <d v="1899-12-30T01:02:06"/>
    <d v="1899-12-30T00:00:00"/>
    <n v="0"/>
    <d v="1899-12-30T00:00:00"/>
    <s v="Não"/>
    <s v="01:21.53"/>
    <n v="11"/>
    <n v="0"/>
    <d v="1899-12-30T01:02:04"/>
    <d v="1899-12-30T01:02:06"/>
    <n v="12"/>
    <n v="41"/>
  </r>
  <r>
    <x v="2"/>
    <d v="2020-11-24T06:51:15"/>
    <s v="false"/>
    <s v="Blumenau Corrida"/>
    <n v="10.43"/>
    <n v="700"/>
    <d v="1899-12-30T01:13:12"/>
    <s v="--"/>
    <s v="--"/>
    <s v="--"/>
    <n v="134"/>
    <n v="173"/>
    <d v="1899-12-30T07:01:00"/>
    <d v="1899-12-30T03:59:00"/>
    <n v="32"/>
    <n v="35"/>
    <n v="1.02"/>
    <n v="0"/>
    <n v="0"/>
    <n v="0"/>
    <n v="0"/>
    <n v="0"/>
    <s v="--"/>
    <s v="--"/>
    <d v="1899-12-30T01:13:12"/>
    <d v="1899-12-30T00:00:00"/>
    <n v="0"/>
    <d v="1899-12-30T00:00:00"/>
    <s v="Não"/>
    <s v="01:00.00"/>
    <n v="26"/>
    <n v="0"/>
    <d v="1899-12-30T01:10:21"/>
    <d v="1899-12-30T01:13:12"/>
    <n v="12"/>
    <n v="28"/>
  </r>
  <r>
    <x v="2"/>
    <d v="2020-11-21T07:31:30"/>
    <s v="false"/>
    <s v="Blumenau Corrida"/>
    <n v="10.01"/>
    <n v="694"/>
    <d v="1899-12-30T01:03:31"/>
    <s v="--"/>
    <s v="--"/>
    <s v="--"/>
    <n v="151"/>
    <n v="168"/>
    <d v="1899-12-30T06:21:00"/>
    <d v="1899-12-30T04:08:00"/>
    <n v="143"/>
    <n v="144"/>
    <n v="1.04"/>
    <n v="0"/>
    <n v="0"/>
    <n v="0"/>
    <n v="0"/>
    <n v="0"/>
    <s v="--"/>
    <s v="--"/>
    <d v="1899-12-30T01:03:31"/>
    <d v="1899-12-30T00:00:00"/>
    <n v="0"/>
    <d v="1899-12-30T00:00:00"/>
    <s v="Não"/>
    <s v="00:01.88"/>
    <n v="11"/>
    <n v="0"/>
    <d v="1899-12-30T01:03:27"/>
    <d v="1899-12-30T01:03:31"/>
    <n v="20"/>
    <n v="78"/>
  </r>
  <r>
    <x v="2"/>
    <d v="2020-11-19T06:58:23"/>
    <s v="false"/>
    <s v="Corrida"/>
    <n v="5.01"/>
    <n v="365"/>
    <d v="1899-12-30T00:29:34"/>
    <s v="--"/>
    <s v="--"/>
    <s v="--"/>
    <n v="157"/>
    <n v="167"/>
    <d v="1899-12-30T05:54:00"/>
    <d v="1899-12-30T05:18:00"/>
    <s v="--"/>
    <s v="--"/>
    <n v="1.08"/>
    <n v="0"/>
    <n v="0"/>
    <n v="0"/>
    <n v="0"/>
    <n v="0"/>
    <s v="--"/>
    <s v="--"/>
    <d v="1899-12-31T05:34:00"/>
    <d v="1899-12-30T00:00:00"/>
    <n v="0"/>
    <d v="1899-12-30T00:00:00"/>
    <s v="Não"/>
    <s v="00:02.80"/>
    <n v="6"/>
    <n v="0"/>
    <d v="1899-12-30T00:29:33"/>
    <d v="1899-12-30T00:29:34"/>
    <s v="--"/>
    <s v="--"/>
  </r>
  <r>
    <x v="2"/>
    <d v="2020-11-17T06:39:41"/>
    <s v="false"/>
    <s v="Blumenau - 2 x 5km progressivo"/>
    <n v="9.82"/>
    <n v="713"/>
    <d v="1899-12-30T00:57:25"/>
    <s v="--"/>
    <s v="--"/>
    <s v="--"/>
    <n v="160"/>
    <n v="171"/>
    <d v="1899-12-30T05:51:00"/>
    <d v="1899-12-30T03:50:00"/>
    <n v="42"/>
    <n v="45"/>
    <n v="1.06"/>
    <n v="0"/>
    <n v="0"/>
    <n v="0"/>
    <n v="0"/>
    <n v="0"/>
    <s v="--"/>
    <s v="--"/>
    <d v="1900-01-01T09:25:00"/>
    <d v="1899-12-30T00:00:00"/>
    <n v="0"/>
    <d v="1899-12-30T00:00:00"/>
    <s v="Não"/>
    <s v="00:03.08"/>
    <n v="11"/>
    <n v="0"/>
    <d v="1899-12-30T00:57:23"/>
    <d v="1899-12-30T00:57:37"/>
    <n v="12"/>
    <n v="41"/>
  </r>
  <r>
    <x v="2"/>
    <d v="2020-11-15T07:56:58"/>
    <s v="false"/>
    <s v="Blumenau Corrida"/>
    <n v="12.01"/>
    <n v="843"/>
    <d v="1899-12-30T01:20:55"/>
    <s v="--"/>
    <s v="--"/>
    <s v="--"/>
    <n v="151"/>
    <n v="169"/>
    <d v="1899-12-30T06:44:00"/>
    <d v="1899-12-30T01:30:00"/>
    <n v="178"/>
    <n v="170"/>
    <n v="0.98"/>
    <n v="0"/>
    <n v="0"/>
    <n v="0"/>
    <n v="0"/>
    <n v="0"/>
    <s v="--"/>
    <s v="--"/>
    <d v="1899-12-30T01:20:55"/>
    <d v="1899-12-30T00:00:00"/>
    <n v="0"/>
    <d v="1899-12-30T00:00:00"/>
    <s v="Não"/>
    <s v="00:01.65"/>
    <n v="13"/>
    <n v="0"/>
    <d v="1899-12-30T01:19:30"/>
    <d v="1899-12-30T01:20:55"/>
    <n v="-6"/>
    <n v="78"/>
  </r>
  <r>
    <x v="2"/>
    <d v="2020-11-12T18:45:39"/>
    <s v="false"/>
    <s v="8 x 800m com intervalo 2min caminhando"/>
    <n v="8.84"/>
    <n v="607"/>
    <d v="1899-12-30T00:59:01"/>
    <s v="--"/>
    <s v="--"/>
    <s v="--"/>
    <n v="143"/>
    <n v="168"/>
    <d v="1899-12-30T06:41:00"/>
    <d v="1899-12-30T05:01:00"/>
    <s v="--"/>
    <s v="--"/>
    <n v="1.03"/>
    <n v="0"/>
    <n v="0"/>
    <n v="0"/>
    <n v="0"/>
    <n v="0"/>
    <s v="--"/>
    <s v="--"/>
    <d v="1900-01-01T11:01:00"/>
    <d v="1899-12-30T00:00:00"/>
    <n v="0"/>
    <d v="1899-12-30T00:00:00"/>
    <s v="Não"/>
    <s v="00:06.03"/>
    <n v="18"/>
    <n v="0"/>
    <d v="1899-12-30T00:58:57"/>
    <d v="1899-12-30T00:59:01"/>
    <s v="--"/>
    <s v="--"/>
  </r>
  <r>
    <x v="2"/>
    <d v="2020-11-10T06:36:49"/>
    <s v="false"/>
    <s v="Corrida"/>
    <n v="10.029999999999999"/>
    <n v="732"/>
    <d v="1899-12-30T01:03:26"/>
    <s v="--"/>
    <s v="--"/>
    <s v="--"/>
    <n v="156"/>
    <n v="164"/>
    <d v="1899-12-30T06:19:00"/>
    <d v="1899-12-30T05:38:00"/>
    <s v="--"/>
    <s v="--"/>
    <n v="1.02"/>
    <n v="0"/>
    <n v="0"/>
    <n v="0"/>
    <n v="0"/>
    <n v="0"/>
    <s v="--"/>
    <s v="--"/>
    <d v="1899-12-30T01:03:26"/>
    <d v="1899-12-30T00:00:00"/>
    <n v="0"/>
    <d v="1899-12-30T00:00:00"/>
    <s v="Não"/>
    <s v="00:12.12"/>
    <n v="11"/>
    <n v="0"/>
    <d v="1899-12-30T01:03:24"/>
    <d v="1899-12-30T01:03:26"/>
    <s v="--"/>
    <s v="--"/>
  </r>
  <r>
    <x v="2"/>
    <d v="2020-11-07T07:35:14"/>
    <s v="false"/>
    <s v="Blumenau - 10 x 200m SUBIDA"/>
    <n v="9.66"/>
    <n v="642"/>
    <d v="1899-12-30T01:10:38"/>
    <s v="--"/>
    <s v="--"/>
    <s v="--"/>
    <n v="144"/>
    <n v="175"/>
    <d v="1899-12-30T07:19:00"/>
    <d v="1899-12-30T04:55:00"/>
    <n v="176"/>
    <n v="179"/>
    <n v="0.94"/>
    <n v="0"/>
    <n v="0"/>
    <n v="0"/>
    <n v="0"/>
    <n v="0"/>
    <s v="--"/>
    <s v="--"/>
    <d v="1899-12-30T01:10:38"/>
    <d v="1899-12-30T00:00:00"/>
    <n v="0"/>
    <d v="1899-12-30T00:00:00"/>
    <s v="Não"/>
    <s v="01:06.85"/>
    <n v="22"/>
    <n v="0"/>
    <d v="1899-12-30T01:10:31"/>
    <d v="1899-12-30T01:11:49"/>
    <n v="12"/>
    <n v="40"/>
  </r>
  <r>
    <x v="2"/>
    <d v="2020-11-05T06:39:04"/>
    <s v="false"/>
    <s v="Blumenau Corrida"/>
    <n v="10.01"/>
    <n v="720"/>
    <d v="1899-12-30T00:58:46"/>
    <s v="--"/>
    <s v="--"/>
    <s v="--"/>
    <n v="161"/>
    <n v="171"/>
    <d v="1899-12-30T05:52:00"/>
    <d v="1899-12-30T05:12:00"/>
    <n v="71"/>
    <n v="75"/>
    <n v="1.05"/>
    <n v="0"/>
    <n v="0"/>
    <n v="0"/>
    <n v="0"/>
    <n v="0"/>
    <s v="--"/>
    <s v="--"/>
    <d v="1900-01-01T10:46:00"/>
    <d v="1899-12-30T00:00:00"/>
    <n v="0"/>
    <d v="1899-12-30T00:00:00"/>
    <s v="Não"/>
    <s v="00:02.86"/>
    <n v="11"/>
    <n v="0"/>
    <d v="1899-12-30T00:58:44"/>
    <d v="1899-12-30T00:58:46"/>
    <n v="12"/>
    <n v="56"/>
  </r>
  <r>
    <x v="2"/>
    <d v="2020-10-31T07:40:01"/>
    <s v="false"/>
    <s v="Blumenau Corrida"/>
    <n v="7.01"/>
    <n v="511"/>
    <d v="1899-12-30T00:42:09"/>
    <s v="--"/>
    <s v="--"/>
    <s v="--"/>
    <n v="161"/>
    <n v="170"/>
    <d v="1899-12-30T06:01:00"/>
    <d v="1899-12-30T05:04:00"/>
    <n v="75"/>
    <n v="77"/>
    <n v="1.03"/>
    <n v="0"/>
    <n v="0"/>
    <n v="0"/>
    <n v="0"/>
    <n v="0"/>
    <s v="--"/>
    <s v="--"/>
    <d v="1899-12-31T18:09:00"/>
    <d v="1899-12-30T00:00:00"/>
    <n v="0"/>
    <d v="1899-12-30T00:00:00"/>
    <s v="Não"/>
    <s v="00:03.85"/>
    <n v="8"/>
    <n v="0"/>
    <d v="1899-12-30T00:42:07"/>
    <d v="1899-12-30T00:42:09"/>
    <n v="20"/>
    <n v="63"/>
  </r>
  <r>
    <x v="2"/>
    <d v="2020-10-29T06:43:47"/>
    <s v="false"/>
    <s v="Blumenau Corrida"/>
    <n v="7.01"/>
    <n v="513"/>
    <d v="1899-12-30T00:41:18"/>
    <s v="--"/>
    <s v="--"/>
    <s v="--"/>
    <n v="159"/>
    <n v="170"/>
    <d v="1899-12-30T05:54:00"/>
    <d v="1899-12-30T05:13:00"/>
    <n v="53"/>
    <n v="54"/>
    <n v="1.07"/>
    <n v="0"/>
    <n v="0"/>
    <n v="0"/>
    <n v="0"/>
    <n v="0"/>
    <s v="--"/>
    <s v="--"/>
    <d v="1899-12-31T17:18:00"/>
    <d v="1899-12-30T00:00:00"/>
    <n v="0"/>
    <d v="1899-12-30T00:00:00"/>
    <s v="Não"/>
    <s v="00:02.58"/>
    <n v="8"/>
    <n v="0"/>
    <d v="1899-12-30T00:41:17"/>
    <d v="1899-12-30T00:41:18"/>
    <n v="12"/>
    <n v="56"/>
  </r>
  <r>
    <x v="2"/>
    <d v="2020-10-27T19:11:01"/>
    <s v="false"/>
    <s v="2 x 3km com intervalo 3min caminhando"/>
    <n v="7.56"/>
    <n v="539"/>
    <d v="1899-12-30T00:46:06"/>
    <s v="--"/>
    <s v="--"/>
    <s v="--"/>
    <n v="151"/>
    <n v="170"/>
    <d v="1899-12-30T06:06:00"/>
    <d v="1899-12-30T04:59:00"/>
    <s v="--"/>
    <s v="--"/>
    <n v="1.07"/>
    <n v="0"/>
    <n v="0"/>
    <n v="0"/>
    <n v="0"/>
    <n v="0"/>
    <s v="--"/>
    <s v="--"/>
    <d v="1899-12-31T22:06:00"/>
    <d v="1899-12-30T00:00:00"/>
    <n v="0"/>
    <d v="1899-12-30T00:00:00"/>
    <s v="Não"/>
    <s v="00:50.52"/>
    <n v="6"/>
    <n v="0"/>
    <d v="1899-12-30T00:45:41"/>
    <d v="1899-12-30T00:46:06"/>
    <s v="--"/>
    <s v="--"/>
  </r>
  <r>
    <x v="2"/>
    <d v="2020-10-24T07:58:44"/>
    <s v="false"/>
    <s v="Blumenau Corrida"/>
    <n v="11.58"/>
    <n v="834"/>
    <d v="1899-12-30T01:14:13"/>
    <s v="--"/>
    <s v="--"/>
    <s v="--"/>
    <n v="158"/>
    <n v="173"/>
    <d v="1899-12-30T06:24:00"/>
    <d v="1899-12-30T05:12:00"/>
    <n v="166"/>
    <n v="171"/>
    <n v="0.99"/>
    <n v="0"/>
    <n v="0"/>
    <n v="0"/>
    <n v="0"/>
    <n v="0"/>
    <s v="--"/>
    <s v="--"/>
    <d v="1899-12-30T01:14:13"/>
    <d v="1899-12-30T00:00:00"/>
    <n v="0"/>
    <d v="1899-12-30T00:00:00"/>
    <s v="Não"/>
    <s v="03:30.65"/>
    <n v="12"/>
    <n v="0"/>
    <d v="1899-12-30T01:14:12"/>
    <d v="1899-12-30T01:14:13"/>
    <n v="20"/>
    <n v="116"/>
  </r>
  <r>
    <x v="2"/>
    <d v="2020-10-22T18:09:48"/>
    <s v="false"/>
    <s v="6 x 1km com intervalo 3min parado"/>
    <n v="7.29"/>
    <n v="528"/>
    <d v="1899-12-30T00:55:44"/>
    <s v="--"/>
    <s v="--"/>
    <s v="--"/>
    <n v="114"/>
    <n v="170"/>
    <d v="1899-12-30T07:39:00"/>
    <d v="1899-12-30T04:36:00"/>
    <s v="--"/>
    <s v="--"/>
    <n v="1.1000000000000001"/>
    <n v="0"/>
    <n v="0"/>
    <n v="0"/>
    <n v="0"/>
    <n v="0"/>
    <s v="--"/>
    <s v="--"/>
    <d v="1900-01-01T07:44:00"/>
    <d v="1899-12-30T00:00:00"/>
    <n v="0"/>
    <d v="1899-12-30T00:00:00"/>
    <s v="Não"/>
    <s v="00:01.54"/>
    <n v="14"/>
    <n v="0"/>
    <d v="1899-12-30T00:47:54"/>
    <d v="1899-12-30T00:55:44"/>
    <s v="--"/>
    <s v="--"/>
  </r>
  <r>
    <x v="2"/>
    <d v="2020-10-20T06:33:32"/>
    <s v="false"/>
    <s v="Blumenau Corrida"/>
    <n v="10.01"/>
    <n v="731"/>
    <d v="1899-12-30T00:59:07"/>
    <s v="--"/>
    <s v="--"/>
    <s v="--"/>
    <n v="162"/>
    <n v="171"/>
    <d v="1899-12-30T05:54:00"/>
    <d v="1899-12-30T05:26:00"/>
    <n v="75"/>
    <n v="85"/>
    <n v="1.04"/>
    <n v="0"/>
    <n v="0"/>
    <n v="0"/>
    <n v="0"/>
    <n v="0"/>
    <s v="--"/>
    <s v="--"/>
    <d v="1900-01-01T11:07:00"/>
    <d v="1899-12-30T00:00:00"/>
    <n v="0"/>
    <d v="1899-12-30T00:00:00"/>
    <s v="Não"/>
    <s v="00:03.02"/>
    <n v="11"/>
    <n v="0"/>
    <d v="1899-12-30T00:59:05"/>
    <d v="1899-12-30T00:59:07"/>
    <n v="12"/>
    <n v="56"/>
  </r>
  <r>
    <x v="2"/>
    <d v="2020-10-18T08:25:22"/>
    <s v="false"/>
    <s v="Blumenau - 4 x 2km com intervalo 3min caminhando"/>
    <n v="11.2"/>
    <n v="776"/>
    <d v="1899-12-30T01:14:31"/>
    <s v="--"/>
    <s v="--"/>
    <s v="--"/>
    <n v="149"/>
    <n v="170"/>
    <d v="1899-12-30T06:39:00"/>
    <d v="1899-12-30T04:23:00"/>
    <n v="97"/>
    <n v="98"/>
    <n v="0.99"/>
    <n v="0"/>
    <n v="0"/>
    <n v="0"/>
    <n v="0"/>
    <n v="0"/>
    <s v="--"/>
    <s v="--"/>
    <d v="1899-12-30T01:14:31"/>
    <d v="1899-12-30T00:00:00"/>
    <n v="0"/>
    <d v="1899-12-30T00:00:00"/>
    <s v="Não"/>
    <s v="03:00.00"/>
    <n v="10"/>
    <n v="0"/>
    <d v="1899-12-30T01:14:30"/>
    <d v="1899-12-30T01:14:31"/>
    <n v="15"/>
    <n v="60"/>
  </r>
  <r>
    <x v="2"/>
    <d v="2020-10-15T06:38:53"/>
    <s v="false"/>
    <s v="Blumenau Corrida"/>
    <n v="10.01"/>
    <n v="720"/>
    <d v="1899-12-30T00:56:38"/>
    <s v="--"/>
    <s v="--"/>
    <s v="--"/>
    <n v="157"/>
    <n v="173"/>
    <d v="1899-12-30T05:40:00"/>
    <d v="1899-12-30T04:48:00"/>
    <n v="66"/>
    <n v="67"/>
    <n v="1.1200000000000001"/>
    <n v="0"/>
    <n v="0"/>
    <n v="0"/>
    <n v="0"/>
    <n v="0"/>
    <s v="--"/>
    <s v="--"/>
    <d v="1900-01-01T08:38:00"/>
    <d v="1899-12-30T00:00:00"/>
    <n v="0"/>
    <d v="1899-12-30T00:00:00"/>
    <s v="Não"/>
    <s v="00:02.06"/>
    <n v="11"/>
    <n v="0"/>
    <d v="1899-12-30T00:56:36"/>
    <d v="1899-12-30T00:56:38"/>
    <n v="12"/>
    <n v="56"/>
  </r>
  <r>
    <x v="2"/>
    <d v="2020-10-13T06:55:16"/>
    <s v="false"/>
    <s v="Blumenau - 8 x 600m com intervalo 2min caminhando"/>
    <n v="9.25"/>
    <n v="621"/>
    <d v="1899-12-30T01:03:17"/>
    <s v="--"/>
    <s v="--"/>
    <s v="--"/>
    <n v="142"/>
    <n v="169"/>
    <d v="1899-12-30T06:50:00"/>
    <d v="1899-12-30T04:49:00"/>
    <n v="17"/>
    <n v="23"/>
    <n v="1.02"/>
    <n v="0"/>
    <n v="0"/>
    <n v="0"/>
    <n v="0"/>
    <n v="0"/>
    <s v="--"/>
    <s v="--"/>
    <d v="1899-12-30T01:03:17"/>
    <d v="1899-12-30T00:00:00"/>
    <n v="0"/>
    <d v="1899-12-30T00:00:00"/>
    <s v="Não"/>
    <s v="02:00.00"/>
    <n v="18"/>
    <n v="0"/>
    <d v="1899-12-30T01:03:16"/>
    <d v="1899-12-30T01:03:17"/>
    <n v="12"/>
    <n v="28"/>
  </r>
  <r>
    <x v="2"/>
    <d v="2020-10-10T07:16:20"/>
    <s v="false"/>
    <s v="Blumenau Corrida"/>
    <n v="10.01"/>
    <n v="718"/>
    <d v="1899-12-30T00:59:33"/>
    <s v="--"/>
    <s v="--"/>
    <s v="--"/>
    <n v="159"/>
    <n v="173"/>
    <d v="1899-12-30T05:57:00"/>
    <d v="1899-12-30T03:55:00"/>
    <n v="118"/>
    <n v="125"/>
    <n v="1.05"/>
    <n v="0"/>
    <n v="0"/>
    <n v="0"/>
    <n v="0"/>
    <n v="0"/>
    <s v="--"/>
    <s v="--"/>
    <d v="1900-01-01T11:33:00"/>
    <d v="1899-12-30T00:00:00"/>
    <n v="0"/>
    <d v="1899-12-30T00:00:00"/>
    <s v="Não"/>
    <s v="00:01.42"/>
    <n v="11"/>
    <n v="0"/>
    <d v="1899-12-30T00:59:15"/>
    <d v="1899-12-30T00:59:33"/>
    <n v="20"/>
    <n v="59"/>
  </r>
  <r>
    <x v="2"/>
    <d v="2020-10-06T06:44:21"/>
    <s v="false"/>
    <s v="Blumenau Corrida"/>
    <n v="7.62"/>
    <n v="561"/>
    <d v="1899-12-30T00:45:01"/>
    <s v="--"/>
    <s v="--"/>
    <s v="--"/>
    <n v="163"/>
    <n v="171"/>
    <d v="1899-12-30T05:55:00"/>
    <d v="1899-12-30T04:08:00"/>
    <n v="48"/>
    <n v="62"/>
    <n v="1.04"/>
    <n v="0"/>
    <n v="0"/>
    <n v="0"/>
    <n v="0"/>
    <n v="0"/>
    <s v="--"/>
    <s v="--"/>
    <d v="1899-12-31T21:01:00"/>
    <d v="1899-12-30T00:00:00"/>
    <n v="0"/>
    <d v="1899-12-30T00:00:00"/>
    <s v="Não"/>
    <s v="03:27.49"/>
    <n v="8"/>
    <n v="0"/>
    <d v="1899-12-30T00:44:53"/>
    <d v="1899-12-30T00:45:01"/>
    <n v="12"/>
    <n v="56"/>
  </r>
  <r>
    <x v="2"/>
    <d v="2020-10-04T09:13:23"/>
    <s v="false"/>
    <s v="Blumenau Corrida"/>
    <n v="10.01"/>
    <n v="730"/>
    <d v="1899-12-30T00:57:39"/>
    <s v="--"/>
    <s v="--"/>
    <s v="--"/>
    <n v="164"/>
    <n v="173"/>
    <d v="1899-12-30T05:46:00"/>
    <d v="1899-12-30T05:02:00"/>
    <n v="57"/>
    <n v="59"/>
    <n v="1.06"/>
    <n v="0"/>
    <n v="0"/>
    <n v="0"/>
    <n v="0"/>
    <n v="0"/>
    <s v="--"/>
    <s v="--"/>
    <d v="1900-01-01T09:39:00"/>
    <d v="1899-12-30T00:00:00"/>
    <n v="0"/>
    <d v="1899-12-30T00:00:00"/>
    <s v="Não"/>
    <s v="00:02.88"/>
    <n v="11"/>
    <n v="0"/>
    <d v="1899-12-30T00:57:37"/>
    <d v="1899-12-30T00:57:39"/>
    <n v="12"/>
    <n v="56"/>
  </r>
  <r>
    <x v="2"/>
    <d v="2020-10-01T06:44:56"/>
    <s v="false"/>
    <s v="Blumenau - Progressivo - leve p/ forte"/>
    <n v="6.01"/>
    <n v="444"/>
    <d v="1899-12-30T00:37:21"/>
    <s v="--"/>
    <s v="--"/>
    <s v="--"/>
    <n v="162"/>
    <n v="170"/>
    <d v="1899-12-30T06:13:00"/>
    <d v="1899-12-30T05:07:00"/>
    <n v="6"/>
    <n v="22"/>
    <n v="0.99"/>
    <n v="0"/>
    <n v="0"/>
    <n v="0"/>
    <n v="0"/>
    <n v="0"/>
    <s v="--"/>
    <s v="--"/>
    <d v="1899-12-31T13:21:00"/>
    <d v="1899-12-30T00:00:00"/>
    <n v="0"/>
    <d v="1899-12-30T00:00:00"/>
    <s v="Não"/>
    <s v="00:03.76"/>
    <n v="4"/>
    <n v="0"/>
    <d v="1899-12-30T00:37:19"/>
    <d v="1899-12-30T00:37:21"/>
    <n v="12"/>
    <n v="29"/>
  </r>
  <r>
    <x v="2"/>
    <d v="2020-09-29T06:40:27"/>
    <s v="false"/>
    <s v="Blumenau - Run Workout"/>
    <n v="9.01"/>
    <n v="665"/>
    <d v="1899-12-30T00:55:23"/>
    <s v="--"/>
    <s v="--"/>
    <s v="--"/>
    <n v="162"/>
    <n v="171"/>
    <d v="1899-12-30T06:09:00"/>
    <d v="1899-12-30T04:43:00"/>
    <n v="10"/>
    <n v="17"/>
    <n v="1"/>
    <n v="0"/>
    <n v="0"/>
    <n v="0"/>
    <n v="0"/>
    <n v="0"/>
    <s v="--"/>
    <s v="--"/>
    <d v="1900-01-01T07:23:00"/>
    <d v="1899-12-30T00:00:00"/>
    <n v="0"/>
    <d v="1899-12-30T00:00:00"/>
    <s v="Não"/>
    <s v="00:02.98"/>
    <n v="4"/>
    <n v="0"/>
    <d v="1899-12-30T00:55:23"/>
    <d v="1899-12-30T00:55:23"/>
    <n v="12"/>
    <n v="29"/>
  </r>
  <r>
    <x v="2"/>
    <d v="2020-09-27T07:52:59"/>
    <s v="false"/>
    <s v="Blumenau - 10 x 1min Moderado/Forte - 2min leve"/>
    <n v="7.87"/>
    <n v="577"/>
    <d v="1899-12-30T00:50:11"/>
    <s v="--"/>
    <s v="--"/>
    <s v="--"/>
    <n v="161"/>
    <n v="169"/>
    <d v="1899-12-30T06:23:00"/>
    <d v="1899-12-30T04:05:00"/>
    <n v="7"/>
    <n v="21"/>
    <n v="0.97"/>
    <n v="0"/>
    <n v="0"/>
    <n v="0"/>
    <n v="0"/>
    <n v="0"/>
    <s v="--"/>
    <s v="--"/>
    <d v="1900-01-01T02:11:00"/>
    <d v="1899-12-30T00:00:00"/>
    <n v="0"/>
    <d v="1899-12-30T00:00:00"/>
    <s v="Não"/>
    <s v="00:07.58"/>
    <n v="22"/>
    <n v="0"/>
    <d v="1899-12-30T00:50:10"/>
    <d v="1899-12-30T00:50:11"/>
    <n v="12"/>
    <n v="29"/>
  </r>
  <r>
    <x v="2"/>
    <d v="2020-09-24T07:09:25"/>
    <s v="false"/>
    <s v="Blumenau Corrida"/>
    <n v="8.0299999999999994"/>
    <n v="579"/>
    <d v="1899-12-30T00:47:55"/>
    <s v="--"/>
    <s v="--"/>
    <s v="--"/>
    <n v="160"/>
    <n v="173"/>
    <d v="1899-12-30T05:58:00"/>
    <d v="1899-12-30T04:25:00"/>
    <n v="82"/>
    <n v="83"/>
    <n v="1.05"/>
    <n v="0"/>
    <n v="0"/>
    <n v="0"/>
    <n v="0"/>
    <n v="0"/>
    <s v="--"/>
    <s v="--"/>
    <d v="1899-12-31T23:55:00"/>
    <d v="1899-12-30T00:00:00"/>
    <n v="0"/>
    <d v="1899-12-30T00:00:00"/>
    <s v="Não"/>
    <s v="00:09.28"/>
    <n v="9"/>
    <n v="0"/>
    <d v="1899-12-30T00:47:54"/>
    <d v="1899-12-30T00:47:55"/>
    <n v="22"/>
    <n v="61"/>
  </r>
  <r>
    <x v="2"/>
    <d v="2020-09-22T07:12:19"/>
    <s v="false"/>
    <s v="Blumenau Corrida"/>
    <n v="5.3"/>
    <n v="374"/>
    <d v="1899-12-30T00:34:34"/>
    <s v="--"/>
    <s v="--"/>
    <s v="--"/>
    <n v="121"/>
    <n v="173"/>
    <d v="1899-12-30T06:32:00"/>
    <d v="1899-12-30T00:17:00"/>
    <n v="9"/>
    <n v="12"/>
    <n v="1.24"/>
    <n v="0"/>
    <n v="0"/>
    <n v="0"/>
    <n v="0"/>
    <n v="0"/>
    <s v="--"/>
    <s v="--"/>
    <d v="1899-12-31T10:34:00"/>
    <d v="1899-12-30T00:00:00"/>
    <n v="0"/>
    <d v="1899-12-30T00:00:00"/>
    <s v="Não"/>
    <s v="00:03.91"/>
    <n v="22"/>
    <n v="0"/>
    <d v="1899-12-30T00:26:42"/>
    <d v="1899-12-30T00:34:36"/>
    <n v="12"/>
    <n v="23"/>
  </r>
  <r>
    <x v="2"/>
    <d v="2020-09-22T07:05:21"/>
    <s v="false"/>
    <s v="Blumenau Corrida"/>
    <n v="1.06"/>
    <n v="76"/>
    <d v="1899-12-30T00:06:37"/>
    <s v="--"/>
    <s v="--"/>
    <s v="--"/>
    <n v="155"/>
    <n v="162"/>
    <d v="1899-12-30T06:16:00"/>
    <d v="1899-12-30T05:42:00"/>
    <s v="--"/>
    <n v="8"/>
    <n v="1.03"/>
    <n v="0"/>
    <n v="0"/>
    <n v="0"/>
    <n v="0"/>
    <n v="0"/>
    <s v="--"/>
    <s v="--"/>
    <d v="1899-12-30T00:06:37"/>
    <d v="1899-12-30T00:00:00"/>
    <n v="0"/>
    <d v="1899-12-30T00:00:00"/>
    <s v="Não"/>
    <s v="00:09.83"/>
    <n v="3"/>
    <n v="0"/>
    <d v="1899-12-30T00:06:37"/>
    <d v="1899-12-30T00:06:38"/>
    <n v="18"/>
    <n v="29"/>
  </r>
  <r>
    <x v="2"/>
    <d v="2020-09-20T08:21:23"/>
    <s v="false"/>
    <s v="Blumenau Corrida"/>
    <n v="8.01"/>
    <n v="586"/>
    <d v="1899-12-30T00:46:36"/>
    <s v="--"/>
    <s v="--"/>
    <s v="--"/>
    <n v="160"/>
    <n v="169"/>
    <d v="1899-12-30T05:49:00"/>
    <d v="1899-12-30T03:30:00"/>
    <n v="48"/>
    <n v="48"/>
    <n v="1.07"/>
    <n v="0"/>
    <n v="0"/>
    <n v="0"/>
    <n v="0"/>
    <n v="0"/>
    <s v="--"/>
    <s v="--"/>
    <d v="1899-12-31T22:36:00"/>
    <d v="1899-12-30T00:00:00"/>
    <n v="0"/>
    <d v="1899-12-30T00:00:00"/>
    <s v="Não"/>
    <s v="00:02.36"/>
    <n v="9"/>
    <n v="0"/>
    <d v="1899-12-30T00:46:34"/>
    <d v="1899-12-30T00:46:36"/>
    <n v="12"/>
    <n v="56"/>
  </r>
  <r>
    <x v="2"/>
    <d v="2020-09-17T07:09:10"/>
    <s v="false"/>
    <s v="Corrida"/>
    <n v="6.53"/>
    <n v="462"/>
    <d v="1899-12-30T00:40:57"/>
    <s v="--"/>
    <s v="--"/>
    <s v="--"/>
    <n v="142"/>
    <n v="168"/>
    <d v="1899-12-30T06:16:00"/>
    <d v="1899-12-30T04:56:00"/>
    <s v="--"/>
    <s v="--"/>
    <n v="1.1200000000000001"/>
    <n v="0"/>
    <n v="0"/>
    <n v="0"/>
    <n v="0"/>
    <n v="0"/>
    <s v="--"/>
    <s v="--"/>
    <d v="1899-12-31T16:57:00"/>
    <d v="1899-12-30T00:00:00"/>
    <n v="0"/>
    <d v="1899-12-30T00:00:00"/>
    <s v="Não"/>
    <s v="00:01.79"/>
    <n v="18"/>
    <n v="0"/>
    <d v="1899-12-30T00:39:43"/>
    <d v="1899-12-30T00:41:00"/>
    <s v="--"/>
    <s v="--"/>
  </r>
  <r>
    <x v="2"/>
    <d v="2020-09-15T07:05:19"/>
    <s v="false"/>
    <s v="Blumenau Corrida"/>
    <n v="5.0999999999999996"/>
    <n v="372"/>
    <d v="1899-12-30T00:30:03"/>
    <s v="--"/>
    <s v="--"/>
    <s v="--"/>
    <n v="157"/>
    <n v="164"/>
    <d v="1899-12-30T05:54:00"/>
    <d v="1899-12-30T05:32:00"/>
    <n v="18"/>
    <n v="21"/>
    <n v="1.08"/>
    <n v="0"/>
    <n v="0"/>
    <n v="0"/>
    <n v="0"/>
    <n v="0"/>
    <s v="--"/>
    <s v="--"/>
    <d v="1899-12-31T06:03:00"/>
    <d v="1899-12-30T00:00:00"/>
    <n v="0"/>
    <d v="1899-12-30T00:00:00"/>
    <s v="Não"/>
    <s v="00:33.33"/>
    <n v="6"/>
    <n v="0"/>
    <d v="1899-12-30T00:30:02"/>
    <d v="1899-12-30T00:30:03"/>
    <n v="12"/>
    <n v="33"/>
  </r>
  <r>
    <x v="2"/>
    <d v="2020-09-10T07:08:57"/>
    <s v="false"/>
    <s v="Blumenau Corrida"/>
    <n v="7.01"/>
    <n v="504"/>
    <d v="1899-12-30T00:41:19"/>
    <s v="--"/>
    <s v="--"/>
    <s v="--"/>
    <n v="158"/>
    <n v="169"/>
    <d v="1899-12-30T05:54:00"/>
    <d v="1899-12-30T05:01:00"/>
    <n v="29"/>
    <n v="34"/>
    <n v="1.07"/>
    <n v="0"/>
    <n v="0"/>
    <n v="0"/>
    <n v="0"/>
    <n v="0"/>
    <s v="--"/>
    <s v="--"/>
    <d v="1899-12-31T17:19:00"/>
    <d v="1899-12-30T00:00:00"/>
    <n v="0"/>
    <d v="1899-12-30T00:00:00"/>
    <s v="Não"/>
    <s v="00:02.74"/>
    <n v="8"/>
    <n v="0"/>
    <d v="1899-12-30T00:41:17"/>
    <d v="1899-12-30T00:41:19"/>
    <n v="12"/>
    <n v="37"/>
  </r>
  <r>
    <x v="2"/>
    <d v="2020-09-08T07:02:57"/>
    <s v="false"/>
    <s v="8 x 400m com intervalo 2min caminhando"/>
    <n v="7.61"/>
    <n v="528"/>
    <d v="1899-12-30T00:53:38"/>
    <s v="--"/>
    <s v="--"/>
    <s v="--"/>
    <n v="135"/>
    <n v="236"/>
    <d v="1899-12-30T07:03:00"/>
    <d v="1899-12-30T04:38:00"/>
    <s v="--"/>
    <s v="--"/>
    <n v="1.04"/>
    <n v="0"/>
    <n v="0"/>
    <n v="0"/>
    <n v="0"/>
    <n v="0"/>
    <s v="--"/>
    <s v="--"/>
    <d v="1900-01-01T05:38:00"/>
    <d v="1899-12-30T00:00:00"/>
    <n v="0"/>
    <d v="1899-12-30T00:00:00"/>
    <s v="Não"/>
    <s v="00:02.94"/>
    <n v="19"/>
    <n v="0"/>
    <d v="1899-12-30T00:52:43"/>
    <d v="1899-12-30T00:53:55"/>
    <s v="--"/>
    <s v="--"/>
  </r>
  <r>
    <x v="2"/>
    <d v="2020-09-06T08:36:41"/>
    <s v="false"/>
    <s v="Blumenau Corrida"/>
    <n v="7.01"/>
    <n v="517"/>
    <d v="1899-12-30T00:40:46"/>
    <s v="--"/>
    <s v="--"/>
    <s v="--"/>
    <n v="159"/>
    <n v="170"/>
    <d v="1899-12-30T05:49:00"/>
    <d v="1899-12-30T01:10:00"/>
    <n v="68"/>
    <n v="71"/>
    <n v="1.08"/>
    <n v="0"/>
    <n v="0"/>
    <n v="0"/>
    <n v="0"/>
    <n v="0"/>
    <s v="--"/>
    <s v="--"/>
    <d v="1899-12-31T16:46:00"/>
    <d v="1899-12-30T00:00:00"/>
    <n v="0"/>
    <d v="1899-12-30T00:00:00"/>
    <s v="Não"/>
    <s v="00:03.94"/>
    <n v="8"/>
    <n v="0"/>
    <d v="1899-12-30T00:40:39"/>
    <d v="1899-12-30T00:40:46"/>
    <n v="-3"/>
    <n v="59"/>
  </r>
  <r>
    <x v="2"/>
    <d v="2020-09-03T07:09:45"/>
    <s v="false"/>
    <s v="Blumenau - Progressivo 3 etapas"/>
    <n v="6.01"/>
    <n v="435"/>
    <d v="1899-12-30T00:34:16"/>
    <s v="--"/>
    <s v="--"/>
    <s v="--"/>
    <n v="157"/>
    <n v="169"/>
    <d v="1899-12-30T05:42:00"/>
    <d v="1899-12-30T03:25:00"/>
    <n v="8"/>
    <n v="14"/>
    <n v="1.1100000000000001"/>
    <n v="0"/>
    <n v="0"/>
    <n v="0"/>
    <n v="0"/>
    <n v="0"/>
    <s v="--"/>
    <s v="--"/>
    <d v="1899-12-31T10:16:00"/>
    <d v="1899-12-30T00:00:00"/>
    <n v="0"/>
    <d v="1899-12-30T00:00:00"/>
    <s v="Não"/>
    <s v="00:03.43"/>
    <n v="7"/>
    <n v="0"/>
    <d v="1899-12-30T00:34:15"/>
    <d v="1899-12-30T00:34:16"/>
    <n v="12"/>
    <n v="29"/>
  </r>
  <r>
    <x v="2"/>
    <d v="2020-09-01T07:12:23"/>
    <s v="false"/>
    <s v="4 x 1km com intervalo 3min caminhando"/>
    <n v="5.87"/>
    <n v="406"/>
    <d v="1899-12-30T00:41:47"/>
    <s v="--"/>
    <s v="--"/>
    <s v="--"/>
    <n v="132"/>
    <n v="160"/>
    <d v="1899-12-30T07:07:00"/>
    <d v="1899-12-30T05:07:00"/>
    <s v="--"/>
    <s v="--"/>
    <n v="1.04"/>
    <n v="0"/>
    <n v="0"/>
    <n v="0"/>
    <n v="0"/>
    <n v="0"/>
    <s v="--"/>
    <s v="--"/>
    <d v="1899-12-31T17:47:00"/>
    <d v="1899-12-30T00:00:00"/>
    <n v="0"/>
    <d v="1899-12-30T00:00:00"/>
    <s v="Não"/>
    <s v="00:02.53"/>
    <n v="10"/>
    <n v="0"/>
    <d v="1899-12-30T00:41:07"/>
    <d v="1899-12-30T00:41:47"/>
    <s v="--"/>
    <s v="--"/>
  </r>
  <r>
    <x v="2"/>
    <d v="2020-08-29T07:59:57"/>
    <s v="false"/>
    <s v="Blumenau Corrida"/>
    <n v="7"/>
    <n v="511"/>
    <d v="1899-12-30T00:43:00"/>
    <s v="--"/>
    <s v="--"/>
    <s v="--"/>
    <n v="155"/>
    <n v="169"/>
    <d v="1899-12-30T06:08:00"/>
    <d v="1899-12-30T04:27:00"/>
    <n v="98"/>
    <n v="82"/>
    <n v="1.05"/>
    <n v="0"/>
    <n v="0"/>
    <n v="0"/>
    <n v="0"/>
    <n v="0"/>
    <s v="--"/>
    <s v="--"/>
    <d v="1899-12-31T19:00:00"/>
    <d v="1899-12-30T00:00:00"/>
    <n v="0"/>
    <d v="1899-12-30T00:00:00"/>
    <s v="Não"/>
    <s v="00:01.62"/>
    <n v="8"/>
    <n v="0"/>
    <d v="1899-12-30T00:42:59"/>
    <d v="1899-12-30T00:43:00"/>
    <n v="22"/>
    <n v="60"/>
  </r>
  <r>
    <x v="2"/>
    <d v="2020-08-27T07:10:51"/>
    <s v="false"/>
    <s v="Blumenau - 6 x 500m com intervalo 2min parado"/>
    <n v="5.24"/>
    <n v="375"/>
    <d v="1899-12-30T00:39:19"/>
    <s v="--"/>
    <s v="--"/>
    <s v="--"/>
    <n v="115"/>
    <n v="176"/>
    <d v="1899-12-30T07:30:00"/>
    <d v="1899-12-30T00:52:00"/>
    <n v="9"/>
    <n v="11"/>
    <n v="1.1200000000000001"/>
    <n v="0"/>
    <n v="0"/>
    <n v="0"/>
    <n v="0"/>
    <n v="0"/>
    <s v="--"/>
    <s v="--"/>
    <d v="1899-12-31T15:19:00"/>
    <d v="1899-12-30T00:00:00"/>
    <n v="0"/>
    <d v="1899-12-30T00:00:00"/>
    <s v="Não"/>
    <s v="00:03.92"/>
    <n v="15"/>
    <n v="0"/>
    <d v="1899-12-30T00:28:37"/>
    <d v="1899-12-30T00:39:19"/>
    <n v="12"/>
    <n v="22"/>
  </r>
  <r>
    <x v="2"/>
    <d v="2020-08-25T07:15:46"/>
    <s v="false"/>
    <s v="Blumenau Corrida"/>
    <n v="6.01"/>
    <n v="439"/>
    <d v="1899-12-30T00:35:24"/>
    <s v="--"/>
    <s v="--"/>
    <s v="--"/>
    <n v="160"/>
    <n v="167"/>
    <d v="1899-12-30T05:53:00"/>
    <d v="1899-12-30T03:49:00"/>
    <n v="46"/>
    <n v="49"/>
    <n v="1.06"/>
    <n v="0"/>
    <n v="0"/>
    <n v="0"/>
    <n v="0"/>
    <n v="0"/>
    <s v="--"/>
    <s v="--"/>
    <d v="1899-12-31T11:24:00"/>
    <d v="1899-12-30T00:00:00"/>
    <n v="0"/>
    <d v="1899-12-30T00:00:00"/>
    <s v="Não"/>
    <s v="00:01.95"/>
    <n v="7"/>
    <n v="0"/>
    <d v="1899-12-30T00:35:22"/>
    <d v="1899-12-30T00:35:24"/>
    <n v="21"/>
    <n v="54"/>
  </r>
  <r>
    <x v="2"/>
    <d v="2020-08-22T09:33:13"/>
    <s v="false"/>
    <s v="Blumenau - Run Workout"/>
    <n v="6.04"/>
    <n v="446"/>
    <d v="1899-12-30T00:39:17"/>
    <n v="177"/>
    <n v="191"/>
    <n v="4.9000000000000004"/>
    <n v="153"/>
    <n v="168"/>
    <d v="1899-12-30T06:30:00"/>
    <d v="1899-12-30T04:45:00"/>
    <n v="96"/>
    <n v="73"/>
    <n v="1"/>
    <n v="0"/>
    <n v="0"/>
    <n v="0"/>
    <n v="0"/>
    <n v="0"/>
    <s v="--"/>
    <s v="--"/>
    <d v="1899-12-31T15:17:00"/>
    <d v="1899-12-30T00:00:00"/>
    <n v="0"/>
    <d v="1899-12-30T00:00:00"/>
    <s v="Não"/>
    <s v="00:21.46"/>
    <n v="10"/>
    <n v="0"/>
    <d v="1899-12-30T00:38:43"/>
    <d v="1899-12-30T00:39:17"/>
    <n v="21"/>
    <n v="59"/>
  </r>
  <r>
    <x v="2"/>
    <d v="2020-08-20T07:08:44"/>
    <s v="false"/>
    <s v="Corrida"/>
    <n v="5.01"/>
    <n v="333"/>
    <d v="1899-12-30T00:30:45"/>
    <n v="171"/>
    <n v="182"/>
    <n v="4"/>
    <n v="152"/>
    <n v="158"/>
    <d v="1899-12-30T06:08:00"/>
    <d v="1899-12-30T05:39:00"/>
    <s v="--"/>
    <s v="--"/>
    <n v="1.08"/>
    <n v="0"/>
    <n v="0"/>
    <n v="0"/>
    <n v="0"/>
    <n v="0"/>
    <s v="--"/>
    <s v="--"/>
    <d v="1899-12-31T06:45:00"/>
    <d v="1899-12-30T00:00:00"/>
    <n v="0"/>
    <d v="1899-12-30T00:00:00"/>
    <s v="Não"/>
    <s v="00:04.51"/>
    <n v="6"/>
    <n v="0"/>
    <d v="1899-12-30T00:30:43"/>
    <d v="1899-12-30T00:30:45"/>
    <s v="--"/>
    <s v="--"/>
  </r>
  <r>
    <x v="2"/>
    <d v="2020-08-18T07:07:53"/>
    <s v="false"/>
    <s v="5 x 500m com intervalo 2min caminhando"/>
    <n v="4.51"/>
    <n v="320"/>
    <d v="1899-12-30T00:32:50"/>
    <n v="158"/>
    <n v="179"/>
    <n v="3.4"/>
    <n v="132"/>
    <n v="158"/>
    <d v="1899-12-30T07:17:00"/>
    <d v="1899-12-30T05:14:00"/>
    <s v="--"/>
    <s v="--"/>
    <n v="1.03"/>
    <n v="0"/>
    <n v="0"/>
    <n v="0"/>
    <n v="0"/>
    <n v="0"/>
    <s v="--"/>
    <s v="--"/>
    <d v="1899-12-31T08:50:00"/>
    <d v="1899-12-30T00:00:00"/>
    <n v="0"/>
    <d v="1899-12-30T00:00:00"/>
    <s v="Não"/>
    <s v="00:04.47"/>
    <n v="12"/>
    <n v="0"/>
    <d v="1899-12-30T00:30:18"/>
    <d v="1899-12-30T00:32:50"/>
    <n v="53"/>
    <n v="53"/>
  </r>
  <r>
    <x v="2"/>
    <d v="2020-08-15T09:13:51"/>
    <s v="false"/>
    <s v="Corrida"/>
    <n v="5.01"/>
    <n v="335"/>
    <d v="1899-12-30T00:29:07"/>
    <n v="177"/>
    <n v="190"/>
    <n v="4.5"/>
    <n v="153"/>
    <n v="159"/>
    <d v="1899-12-30T05:49:00"/>
    <d v="1899-12-30T05:24:00"/>
    <s v="--"/>
    <s v="--"/>
    <n v="1.1200000000000001"/>
    <n v="0"/>
    <n v="0"/>
    <n v="0"/>
    <n v="0"/>
    <n v="0"/>
    <s v="--"/>
    <s v="--"/>
    <d v="1899-12-31T05:07:00"/>
    <d v="1899-12-30T00:00:00"/>
    <n v="0"/>
    <d v="1899-12-30T00:00:00"/>
    <s v="Não"/>
    <s v="00:04.11"/>
    <n v="6"/>
    <n v="0"/>
    <d v="1899-12-30T00:29:06"/>
    <d v="1899-12-30T00:29:07"/>
    <s v="--"/>
    <s v="--"/>
  </r>
  <r>
    <x v="2"/>
    <d v="2020-08-13T17:37:19"/>
    <s v="false"/>
    <s v="5 x 400m com intervalo 2min caminhando"/>
    <n v="3.89"/>
    <n v="277"/>
    <d v="1899-12-30T00:27:25"/>
    <n v="162"/>
    <n v="187"/>
    <n v="3.5"/>
    <n v="132"/>
    <n v="160"/>
    <d v="1899-12-30T07:02:00"/>
    <d v="1899-12-30T04:31:00"/>
    <s v="--"/>
    <s v="--"/>
    <n v="1.06"/>
    <n v="0"/>
    <n v="0"/>
    <n v="0"/>
    <n v="0"/>
    <n v="0"/>
    <s v="--"/>
    <s v="--"/>
    <d v="1899-12-31T03:25:00"/>
    <d v="1899-12-30T00:00:00"/>
    <n v="0"/>
    <d v="1899-12-30T00:00:00"/>
    <s v="Não"/>
    <s v="00:02.34"/>
    <n v="12"/>
    <n v="0"/>
    <d v="1899-12-30T00:24:54"/>
    <d v="1899-12-30T00:27:25"/>
    <s v="--"/>
    <s v="--"/>
  </r>
  <r>
    <x v="2"/>
    <d v="2020-08-11T07:09:15"/>
    <s v="false"/>
    <s v="Blumenau Corrida"/>
    <n v="4.01"/>
    <n v="272"/>
    <d v="1899-12-30T00:24:06"/>
    <n v="176"/>
    <n v="190"/>
    <n v="4.2"/>
    <n v="157"/>
    <n v="164"/>
    <d v="1899-12-30T06:01:00"/>
    <d v="1899-12-30T03:50:00"/>
    <n v="7"/>
    <n v="14"/>
    <n v="1.06"/>
    <n v="0"/>
    <n v="0"/>
    <n v="0"/>
    <n v="0"/>
    <n v="0"/>
    <s v="--"/>
    <s v="--"/>
    <d v="1899-12-31T00:06:00"/>
    <d v="1899-12-30T00:00:00"/>
    <n v="0"/>
    <d v="1899-12-30T00:00:00"/>
    <s v="Não"/>
    <s v="00:03.34"/>
    <n v="5"/>
    <n v="0"/>
    <d v="1899-12-30T00:24:06"/>
    <d v="1899-12-30T00:24:06"/>
    <n v="12"/>
    <n v="29"/>
  </r>
  <r>
    <x v="2"/>
    <d v="2020-08-08T07:17:47"/>
    <s v="false"/>
    <s v="Blumenau - Run Workout"/>
    <n v="3.01"/>
    <n v="205"/>
    <d v="1899-12-30T00:18:48"/>
    <n v="173"/>
    <n v="188"/>
    <n v="3.6"/>
    <n v="157"/>
    <n v="165"/>
    <d v="1899-12-30T06:15:00"/>
    <d v="1899-12-30T03:57:00"/>
    <n v="13"/>
    <n v="19"/>
    <n v="1.02"/>
    <n v="0"/>
    <n v="0"/>
    <n v="0"/>
    <n v="0"/>
    <n v="0"/>
    <s v="--"/>
    <s v="--"/>
    <d v="1899-12-30T18:48:00"/>
    <d v="1899-12-30T00:00:00"/>
    <n v="0"/>
    <d v="1899-12-30T00:00:00"/>
    <s v="Não"/>
    <s v="00:05.08"/>
    <n v="11"/>
    <n v="0"/>
    <d v="1899-12-30T00:18:47"/>
    <d v="1899-12-30T00:18:48"/>
    <n v="12"/>
    <n v="30"/>
  </r>
  <r>
    <x v="2"/>
    <d v="2020-08-06T07:15:12"/>
    <s v="false"/>
    <s v="Blumenau Corrida"/>
    <n v="3.51"/>
    <n v="243"/>
    <d v="1899-12-30T00:20:57"/>
    <n v="178"/>
    <n v="191"/>
    <n v="4"/>
    <n v="157"/>
    <n v="164"/>
    <d v="1899-12-30T05:59:00"/>
    <d v="1899-12-30T04:34:00"/>
    <n v="10"/>
    <n v="16"/>
    <n v="1.07"/>
    <n v="0"/>
    <n v="0"/>
    <n v="0"/>
    <n v="0"/>
    <n v="0"/>
    <s v="--"/>
    <s v="--"/>
    <d v="1899-12-30T20:57:00"/>
    <d v="1899-12-30T00:00:00"/>
    <n v="0"/>
    <d v="1899-12-30T00:00:00"/>
    <s v="Não"/>
    <s v="03:00.08"/>
    <n v="4"/>
    <n v="0"/>
    <d v="1899-12-30T00:20:56"/>
    <d v="1899-12-30T00:20:57"/>
    <n v="12"/>
    <n v="33"/>
  </r>
  <r>
    <x v="2"/>
    <d v="2020-08-04T07:18:02"/>
    <s v="false"/>
    <s v="Blumenau - Run Workout"/>
    <n v="3.9"/>
    <n v="296"/>
    <d v="1899-12-30T00:28:25"/>
    <n v="165"/>
    <n v="185"/>
    <n v="3.7"/>
    <n v="141"/>
    <n v="164"/>
    <d v="1899-12-30T07:17:00"/>
    <d v="1899-12-30T04:10:00"/>
    <n v="26"/>
    <n v="21"/>
    <n v="0.96"/>
    <n v="0"/>
    <n v="0"/>
    <n v="0"/>
    <n v="0"/>
    <n v="0"/>
    <s v="--"/>
    <s v="--"/>
    <d v="1899-12-31T04:25:00"/>
    <d v="1899-12-30T00:00:00"/>
    <n v="0"/>
    <d v="1899-12-30T00:00:00"/>
    <s v="Não"/>
    <s v="00:02.91"/>
    <n v="7"/>
    <n v="0"/>
    <d v="1899-12-30T00:28:14"/>
    <d v="1899-12-30T00:28:25"/>
    <n v="12"/>
    <n v="31"/>
  </r>
  <r>
    <x v="2"/>
    <d v="2020-08-02T08:46:30"/>
    <s v="false"/>
    <s v="Blumenau Corrida"/>
    <n v="3.01"/>
    <n v="211"/>
    <d v="1899-12-30T00:18:09"/>
    <n v="177"/>
    <n v="191"/>
    <n v="3.8"/>
    <n v="157"/>
    <n v="164"/>
    <d v="1899-12-30T06:02:00"/>
    <d v="1899-12-30T05:42:00"/>
    <n v="8"/>
    <n v="14"/>
    <n v="1.06"/>
    <n v="0"/>
    <n v="0"/>
    <n v="0"/>
    <n v="0"/>
    <n v="0"/>
    <s v="--"/>
    <s v="--"/>
    <d v="1899-12-30T18:09:00"/>
    <d v="1899-12-30T00:00:00"/>
    <n v="0"/>
    <d v="1899-12-30T00:00:00"/>
    <s v="Não"/>
    <s v="00:03.33"/>
    <n v="4"/>
    <n v="0"/>
    <d v="1899-12-30T00:18:08"/>
    <d v="1899-12-30T00:18:09"/>
    <n v="12"/>
    <n v="29"/>
  </r>
  <r>
    <x v="2"/>
    <d v="2020-07-28T07:17:22"/>
    <s v="false"/>
    <s v="Blumenau Corrida"/>
    <n v="3.01"/>
    <n v="207"/>
    <d v="1899-12-30T00:18:14"/>
    <n v="173"/>
    <n v="189"/>
    <n v="3.6"/>
    <n v="156"/>
    <n v="162"/>
    <d v="1899-12-30T06:03:00"/>
    <d v="1899-12-30T05:41:00"/>
    <n v="5"/>
    <n v="16"/>
    <n v="1.06"/>
    <n v="0"/>
    <n v="0"/>
    <n v="0"/>
    <n v="0"/>
    <n v="0"/>
    <s v="--"/>
    <s v="--"/>
    <d v="1899-12-30T18:14:00"/>
    <d v="1899-12-30T00:00:00"/>
    <n v="0"/>
    <d v="1899-12-30T00:00:00"/>
    <s v="Não"/>
    <s v="00:03.54"/>
    <n v="4"/>
    <n v="0"/>
    <d v="1899-12-30T00:18:13"/>
    <d v="1899-12-30T00:18:14"/>
    <n v="12"/>
    <n v="29"/>
  </r>
  <r>
    <x v="2"/>
    <d v="2020-07-26T08:56:06"/>
    <s v="false"/>
    <s v="Blumenau Corrida"/>
    <n v="3.2"/>
    <n v="234"/>
    <d v="1899-12-30T00:24:36"/>
    <n v="153"/>
    <n v="176"/>
    <n v="3.1"/>
    <n v="128"/>
    <n v="160"/>
    <d v="1899-12-30T07:41:00"/>
    <d v="1899-12-30T02:26:00"/>
    <n v="63"/>
    <n v="60"/>
    <n v="1.01"/>
    <n v="0"/>
    <n v="0"/>
    <n v="0"/>
    <n v="0"/>
    <n v="0"/>
    <s v="--"/>
    <s v="--"/>
    <d v="1899-12-31T00:36:00"/>
    <d v="1899-12-30T00:00:00"/>
    <n v="0"/>
    <d v="1899-12-30T00:00:00"/>
    <s v="Não"/>
    <s v="02:59.17"/>
    <n v="8"/>
    <n v="0"/>
    <d v="1899-12-30T00:24:34"/>
    <d v="1899-12-30T00:24:36"/>
    <n v="11"/>
    <n v="37"/>
  </r>
  <r>
    <x v="2"/>
    <d v="2020-07-23T18:24:30"/>
    <s v="false"/>
    <s v="Blumenau Corrida"/>
    <n v="2.5099999999999998"/>
    <n v="171"/>
    <d v="1899-12-30T00:16:08"/>
    <n v="161"/>
    <n v="177"/>
    <n v="3.1"/>
    <n v="152"/>
    <n v="158"/>
    <d v="1899-12-30T06:26:00"/>
    <d v="1899-12-30T04:11:00"/>
    <n v="81"/>
    <n v="88"/>
    <n v="1.01"/>
    <n v="0"/>
    <n v="0"/>
    <n v="0"/>
    <n v="0"/>
    <n v="0"/>
    <s v="--"/>
    <s v="--"/>
    <d v="1899-12-30T16:08:00"/>
    <d v="1899-12-30T00:00:00"/>
    <n v="0"/>
    <d v="1899-12-30T00:00:00"/>
    <s v="Não"/>
    <s v="03:14.96"/>
    <n v="3"/>
    <n v="0"/>
    <d v="1899-12-30T00:16:07"/>
    <d v="1899-12-30T00:16:08"/>
    <n v="19"/>
    <n v="56"/>
  </r>
  <r>
    <x v="2"/>
    <d v="2020-07-21T06:59:19"/>
    <s v="false"/>
    <s v="Blumenau - Run Workout"/>
    <n v="3.91"/>
    <n v="282"/>
    <d v="1899-12-30T00:27:31"/>
    <n v="162"/>
    <n v="182"/>
    <n v="3.6"/>
    <n v="142"/>
    <n v="160"/>
    <d v="1899-12-30T07:03:00"/>
    <d v="1899-12-30T03:50:00"/>
    <n v="13"/>
    <n v="19"/>
    <n v="0.99"/>
    <n v="0"/>
    <n v="0"/>
    <n v="0"/>
    <n v="0"/>
    <n v="0"/>
    <s v="--"/>
    <s v="--"/>
    <d v="1899-12-31T03:31:00"/>
    <d v="1899-12-30T00:00:00"/>
    <n v="0"/>
    <d v="1899-12-30T00:00:00"/>
    <s v="Não"/>
    <s v="00:03.15"/>
    <n v="7"/>
    <n v="0"/>
    <d v="1899-12-30T00:27:31"/>
    <d v="1899-12-30T00:27:31"/>
    <n v="12"/>
    <n v="28"/>
  </r>
  <r>
    <x v="2"/>
    <d v="2020-07-18T08:25:23"/>
    <s v="false"/>
    <s v="Blumenau Corrida"/>
    <n v="2.0099999999999998"/>
    <n v="140"/>
    <d v="1899-12-30T00:11:55"/>
    <n v="174"/>
    <n v="191"/>
    <n v="3.2"/>
    <n v="155"/>
    <n v="162"/>
    <d v="1899-12-30T05:56:00"/>
    <d v="1899-12-30T02:00:00"/>
    <n v="4"/>
    <n v="12"/>
    <n v="1.08"/>
    <n v="0"/>
    <n v="0"/>
    <n v="0"/>
    <n v="0"/>
    <n v="0"/>
    <s v="--"/>
    <s v="--"/>
    <d v="1899-12-30T11:55:00"/>
    <d v="1899-12-30T00:00:00"/>
    <n v="0"/>
    <d v="1899-12-30T00:00:00"/>
    <s v="Não"/>
    <s v="00:02.78"/>
    <n v="3"/>
    <n v="0"/>
    <d v="1899-12-30T00:11:55"/>
    <d v="1899-12-30T00:11:55"/>
    <n v="17"/>
    <n v="31"/>
  </r>
  <r>
    <x v="2"/>
    <d v="2020-07-16T18:20:29"/>
    <s v="false"/>
    <s v="Run Workout"/>
    <n v="3.81"/>
    <n v="290"/>
    <d v="1899-12-30T00:34:44"/>
    <n v="139"/>
    <n v="172"/>
    <n v="3.2"/>
    <n v="116"/>
    <n v="160"/>
    <d v="1899-12-30T09:08:00"/>
    <d v="1899-12-30T04:57:00"/>
    <s v="--"/>
    <s v="--"/>
    <n v="0.92"/>
    <n v="0"/>
    <n v="0"/>
    <n v="0"/>
    <n v="0"/>
    <n v="0"/>
    <s v="--"/>
    <s v="--"/>
    <d v="1899-12-31T10:44:00"/>
    <d v="1899-12-30T00:00:00"/>
    <n v="0"/>
    <d v="1899-12-30T00:00:00"/>
    <s v="Não"/>
    <s v="00:03.23"/>
    <n v="10"/>
    <n v="0"/>
    <d v="1899-12-30T00:32:12"/>
    <d v="1899-12-30T00:34:44"/>
    <s v="--"/>
    <s v="--"/>
  </r>
  <r>
    <x v="2"/>
    <d v="2020-07-14T06:57:06"/>
    <s v="false"/>
    <s v="Corrida"/>
    <n v="2.58"/>
    <n v="200"/>
    <d v="1899-12-30T00:30:01"/>
    <n v="122"/>
    <n v="135"/>
    <n v="1.9"/>
    <n v="107"/>
    <n v="135"/>
    <d v="1899-12-30T11:39:00"/>
    <d v="1899-12-30T08:53:00"/>
    <s v="--"/>
    <s v="--"/>
    <n v="0.8"/>
    <n v="0"/>
    <n v="0"/>
    <n v="0"/>
    <n v="0"/>
    <n v="0"/>
    <s v="--"/>
    <s v="--"/>
    <d v="1899-12-31T06:01:00"/>
    <d v="1899-12-30T00:00:00"/>
    <n v="0"/>
    <d v="1899-12-30T00:00:00"/>
    <s v="Não"/>
    <s v="07:00.73"/>
    <n v="3"/>
    <n v="0"/>
    <d v="1899-12-30T00:29:27"/>
    <d v="1899-12-30T00:30:01"/>
    <s v="--"/>
    <s v="--"/>
  </r>
  <r>
    <x v="2"/>
    <d v="2020-07-11T08:17:04"/>
    <s v="false"/>
    <s v="Blumenau Corrida"/>
    <n v="2.0099999999999998"/>
    <n v="141"/>
    <d v="1899-12-30T00:11:39"/>
    <n v="176"/>
    <n v="190"/>
    <n v="3.3"/>
    <n v="157"/>
    <n v="162"/>
    <d v="1899-12-30T05:48:00"/>
    <d v="1899-12-30T04:50:00"/>
    <s v="--"/>
    <n v="6"/>
    <n v="1.1000000000000001"/>
    <n v="0"/>
    <n v="0"/>
    <n v="0"/>
    <n v="0"/>
    <n v="0"/>
    <s v="--"/>
    <s v="--"/>
    <d v="1899-12-30T11:39:00"/>
    <d v="1899-12-30T00:00:00"/>
    <n v="0"/>
    <d v="1899-12-30T00:00:00"/>
    <s v="Não"/>
    <s v="00:04.06"/>
    <n v="3"/>
    <n v="0"/>
    <d v="1899-12-30T00:11:39"/>
    <d v="1899-12-30T00:11:39"/>
    <n v="16"/>
    <n v="32"/>
  </r>
  <r>
    <x v="2"/>
    <d v="2020-07-09T07:01:05"/>
    <s v="false"/>
    <s v="Blumenau - Run Workout"/>
    <n v="3.84"/>
    <n v="325"/>
    <d v="1899-12-30T00:27:52"/>
    <n v="169"/>
    <n v="188"/>
    <n v="4.2"/>
    <n v="141"/>
    <n v="163"/>
    <d v="1899-12-30T07:16:00"/>
    <d v="1899-12-30T05:47:00"/>
    <n v="15"/>
    <n v="23"/>
    <n v="0.96"/>
    <n v="0"/>
    <n v="0"/>
    <n v="0"/>
    <n v="0"/>
    <n v="0"/>
    <s v="--"/>
    <s v="--"/>
    <d v="1899-12-31T03:52:00"/>
    <d v="1899-12-30T00:00:00"/>
    <n v="0"/>
    <d v="1899-12-30T00:00:00"/>
    <s v="Não"/>
    <s v="00:04.85"/>
    <n v="7"/>
    <n v="0"/>
    <d v="1899-12-30T00:27:50"/>
    <d v="1899-12-30T00:27:52"/>
    <n v="12"/>
    <n v="31"/>
  </r>
  <r>
    <x v="2"/>
    <d v="2020-07-07T07:12:25"/>
    <s v="false"/>
    <s v="Corrida"/>
    <n v="2.0099999999999998"/>
    <n v="145"/>
    <d v="1899-12-30T00:12:37"/>
    <n v="166"/>
    <n v="180"/>
    <n v="3.1"/>
    <n v="152"/>
    <n v="158"/>
    <d v="1899-12-30T06:17:00"/>
    <d v="1899-12-30T05:42:00"/>
    <s v="--"/>
    <s v="--"/>
    <n v="1.05"/>
    <n v="0"/>
    <n v="0"/>
    <n v="0"/>
    <n v="0"/>
    <n v="0"/>
    <s v="--"/>
    <s v="--"/>
    <d v="1899-12-30T12:37:00"/>
    <d v="1899-12-30T00:00:00"/>
    <n v="0"/>
    <d v="1899-12-30T00:00:00"/>
    <s v="Não"/>
    <s v="00:02.55"/>
    <n v="3"/>
    <n v="0"/>
    <d v="1899-12-30T00:12:33"/>
    <d v="1899-12-30T00:12:37"/>
    <s v="--"/>
    <s v="--"/>
  </r>
  <r>
    <x v="2"/>
    <d v="2020-06-24T19:11:00"/>
    <s v="false"/>
    <s v="Blumenau Corrida"/>
    <n v="1.95"/>
    <n v="142"/>
    <d v="1899-12-30T00:12:31"/>
    <s v="--"/>
    <s v="--"/>
    <s v="--"/>
    <n v="149"/>
    <n v="160"/>
    <d v="1899-12-30T06:24:00"/>
    <d v="1899-12-30T03:36:00"/>
    <n v="13"/>
    <n v="11"/>
    <n v="1.05"/>
    <n v="0"/>
    <n v="0"/>
    <n v="0"/>
    <n v="0"/>
    <n v="0"/>
    <s v="--"/>
    <s v="--"/>
    <d v="1899-12-30T12:31:00"/>
    <d v="1899-12-30T00:00:00"/>
    <n v="0"/>
    <d v="1899-12-30T00:00:00"/>
    <s v="Não"/>
    <s v="00:01.60"/>
    <n v="4"/>
    <n v="0"/>
    <d v="1899-12-30T00:12:12"/>
    <d v="1899-12-30T00:23:59"/>
    <n v="17"/>
    <n v="33"/>
  </r>
  <r>
    <x v="1"/>
    <d v="2020-06-22T06:55:17"/>
    <s v="false"/>
    <s v="Blumenau Ciclismo"/>
    <n v="11.53"/>
    <n v="554"/>
    <d v="1899-12-30T00:44:58"/>
    <n v="167"/>
    <n v="185"/>
    <n v="5"/>
    <s v="--"/>
    <s v="--"/>
    <n v="15.4"/>
    <n v="38.299999999999997"/>
    <n v="106"/>
    <n v="111"/>
    <n v="0"/>
    <n v="0"/>
    <n v="0"/>
    <n v="0"/>
    <n v="0"/>
    <n v="0"/>
    <s v="--"/>
    <s v="--"/>
    <d v="1899-12-31T20:58:00"/>
    <d v="1899-12-30T00:00:00"/>
    <n v="0"/>
    <d v="1899-12-30T00:00:00"/>
    <s v="Não"/>
    <s v="10:01.20"/>
    <n v="3"/>
    <n v="0"/>
    <d v="1899-12-30T00:42:07"/>
    <d v="1899-12-30T00:44:58"/>
    <n v="15"/>
    <n v="58"/>
  </r>
  <r>
    <x v="2"/>
    <d v="2020-06-10T06:58:12"/>
    <s v="false"/>
    <s v="Corrida"/>
    <n v="5.49"/>
    <n v="289"/>
    <d v="1899-12-30T01:00:03"/>
    <n v="115"/>
    <n v="128"/>
    <n v="1.8"/>
    <n v="110"/>
    <n v="138"/>
    <d v="1899-12-30T10:57:00"/>
    <d v="1899-12-30T08:21:00"/>
    <s v="--"/>
    <s v="--"/>
    <n v="0.84"/>
    <n v="0"/>
    <n v="0"/>
    <n v="0"/>
    <n v="0"/>
    <n v="0"/>
    <s v="--"/>
    <s v="--"/>
    <d v="1899-12-30T01:00:03"/>
    <d v="1899-12-30T00:00:00"/>
    <n v="0"/>
    <d v="1899-12-30T00:00:00"/>
    <s v="Não"/>
    <s v="05:30.44"/>
    <n v="6"/>
    <n v="0"/>
    <d v="1899-12-30T00:58:28"/>
    <d v="1899-12-30T01:00:03"/>
    <s v="--"/>
    <s v="--"/>
  </r>
  <r>
    <x v="2"/>
    <d v="2020-06-08T07:11:00"/>
    <s v="false"/>
    <s v="Blumenau Corrida"/>
    <n v="4.7699999999999996"/>
    <n v="256"/>
    <d v="1899-12-30T00:39:38"/>
    <n v="134"/>
    <n v="165"/>
    <n v="2.8"/>
    <n v="116"/>
    <n v="164"/>
    <d v="1899-12-30T08:19:00"/>
    <d v="1899-12-30T05:18:00"/>
    <n v="16"/>
    <n v="19"/>
    <n v="1.04"/>
    <n v="0"/>
    <n v="0"/>
    <n v="0"/>
    <n v="0"/>
    <n v="0"/>
    <s v="--"/>
    <s v="--"/>
    <d v="1899-12-31T15:38:00"/>
    <d v="1899-12-30T00:00:00"/>
    <n v="0"/>
    <d v="1899-12-30T00:00:00"/>
    <s v="Não"/>
    <s v="05:55.26"/>
    <n v="5"/>
    <n v="0"/>
    <d v="1899-12-30T00:39:31"/>
    <d v="1899-12-30T00:39:38"/>
    <n v="12"/>
    <n v="28"/>
  </r>
  <r>
    <x v="2"/>
    <d v="2020-06-03T06:58:10"/>
    <s v="false"/>
    <s v="Blumenau - Run Workout"/>
    <n v="8.8000000000000007"/>
    <n v="630"/>
    <d v="1899-12-30T01:02:59"/>
    <n v="162"/>
    <n v="188"/>
    <n v="5"/>
    <n v="134"/>
    <n v="174"/>
    <d v="1899-12-30T07:09:00"/>
    <d v="1899-12-30T03:27:00"/>
    <n v="14"/>
    <n v="17"/>
    <n v="1.01"/>
    <n v="0"/>
    <n v="0"/>
    <n v="0"/>
    <n v="0"/>
    <n v="0"/>
    <s v="--"/>
    <s v="--"/>
    <d v="1899-12-30T01:02:59"/>
    <d v="1899-12-30T00:00:00"/>
    <n v="0"/>
    <d v="1899-12-30T00:00:00"/>
    <s v="Não"/>
    <s v="01:30.00"/>
    <n v="22"/>
    <n v="0"/>
    <d v="1899-12-30T01:02:44"/>
    <d v="1899-12-30T01:02:59"/>
    <n v="14"/>
    <n v="30"/>
  </r>
  <r>
    <x v="3"/>
    <d v="2020-06-01T17:38:45"/>
    <s v="false"/>
    <s v="Corrida"/>
    <n v="0"/>
    <n v="680"/>
    <d v="1899-12-30T00:47:20"/>
    <n v="171"/>
    <n v="186"/>
    <s v="--"/>
    <s v="--"/>
    <s v="--"/>
    <s v="--"/>
    <s v="--"/>
    <s v="--"/>
    <s v="--"/>
    <n v="0"/>
    <n v="0"/>
    <n v="0"/>
    <n v="0"/>
    <n v="0"/>
    <n v="0"/>
    <s v="--"/>
    <s v="--"/>
    <d v="1899-12-31T23:20:00"/>
    <d v="1899-12-30T00:00:00"/>
    <n v="0"/>
    <d v="1899-12-30T00:00:00"/>
    <s v="Não"/>
    <s v="00:00.00"/>
    <n v="1"/>
    <n v="0"/>
    <d v="1899-12-30T00:00:00"/>
    <d v="1899-12-30T00:47:20"/>
    <s v="--"/>
    <s v="--"/>
  </r>
  <r>
    <x v="2"/>
    <d v="2020-05-29T17:54:44"/>
    <s v="false"/>
    <s v="Corrida"/>
    <n v="0"/>
    <n v="794"/>
    <d v="1899-12-30T01:00:58"/>
    <n v="163"/>
    <n v="181"/>
    <s v="--"/>
    <s v="--"/>
    <s v="--"/>
    <s v="--"/>
    <s v="--"/>
    <s v="--"/>
    <s v="--"/>
    <n v="0"/>
    <n v="0"/>
    <n v="0"/>
    <n v="0"/>
    <n v="0"/>
    <n v="0"/>
    <s v="--"/>
    <s v="--"/>
    <d v="1899-12-30T01:00:58"/>
    <d v="1899-12-30T00:00:00"/>
    <n v="0"/>
    <d v="1899-12-30T00:00:00"/>
    <s v="Não"/>
    <s v="00:00.00"/>
    <n v="1"/>
    <n v="0"/>
    <d v="1899-12-30T00:00:00"/>
    <d v="1899-12-30T01:00:58"/>
    <s v="--"/>
    <s v="--"/>
  </r>
  <r>
    <x v="2"/>
    <d v="2020-05-27T06:56:19"/>
    <s v="false"/>
    <s v="Blumenau Corrida"/>
    <n v="8.58"/>
    <n v="756"/>
    <d v="1899-12-30T00:54:06"/>
    <n v="169"/>
    <n v="181"/>
    <s v="--"/>
    <s v="--"/>
    <s v="--"/>
    <d v="1899-12-30T06:19:00"/>
    <d v="1899-12-30T03:08:00"/>
    <n v="95"/>
    <n v="100"/>
    <n v="0"/>
    <n v="0"/>
    <n v="0"/>
    <n v="0"/>
    <n v="0"/>
    <n v="0"/>
    <s v="--"/>
    <s v="--"/>
    <d v="1900-01-01T06:06:00"/>
    <d v="1899-12-30T00:00:00"/>
    <n v="0"/>
    <d v="1899-12-30T00:00:00"/>
    <s v="Não"/>
    <s v="00:00.00"/>
    <n v="1"/>
    <n v="0"/>
    <d v="1899-12-30T00:52:43"/>
    <d v="1899-12-30T00:56:03"/>
    <n v="12"/>
    <n v="56"/>
  </r>
  <r>
    <x v="2"/>
    <d v="2020-05-25T07:11:42"/>
    <s v="false"/>
    <s v="Blumenau Corrida"/>
    <n v="1.9"/>
    <n v="147"/>
    <d v="1899-12-30T00:19:00"/>
    <n v="128"/>
    <n v="143"/>
    <s v="--"/>
    <s v="--"/>
    <s v="--"/>
    <d v="1899-12-30T10:01:00"/>
    <d v="1899-12-30T08:32:00"/>
    <n v="15"/>
    <n v="5"/>
    <n v="0"/>
    <n v="0"/>
    <n v="0"/>
    <n v="0"/>
    <n v="0"/>
    <n v="0"/>
    <s v="--"/>
    <s v="--"/>
    <d v="1899-12-30T19:00:00"/>
    <d v="1899-12-30T00:00:00"/>
    <n v="0"/>
    <d v="1899-12-30T00:00:00"/>
    <s v="Não"/>
    <s v="00:00.00"/>
    <n v="1"/>
    <n v="0"/>
    <d v="1899-12-30T00:19:00"/>
    <d v="1899-12-30T00:19:00"/>
    <n v="12"/>
    <n v="28"/>
  </r>
  <r>
    <x v="2"/>
    <d v="2020-05-25T07:06:09"/>
    <s v="false"/>
    <s v="Blumenau Corrida"/>
    <n v="1"/>
    <n v="64"/>
    <d v="1899-12-30T00:04:22"/>
    <n v="174"/>
    <n v="180"/>
    <s v="--"/>
    <s v="--"/>
    <s v="--"/>
    <d v="1899-12-30T04:22:00"/>
    <d v="1899-12-30T03:54:00"/>
    <n v="1"/>
    <s v="--"/>
    <n v="0"/>
    <n v="0"/>
    <n v="0"/>
    <n v="0"/>
    <n v="0"/>
    <n v="0"/>
    <s v="--"/>
    <s v="--"/>
    <d v="1899-12-30T00:04:22"/>
    <d v="1899-12-30T00:00:00"/>
    <n v="0"/>
    <d v="1899-12-30T00:00:00"/>
    <s v="Não"/>
    <s v="00:00.00"/>
    <n v="1"/>
    <n v="0"/>
    <d v="1899-12-30T00:04:22"/>
    <d v="1899-12-30T00:04:22"/>
    <n v="12"/>
    <n v="16"/>
  </r>
  <r>
    <x v="2"/>
    <d v="2020-05-25T06:52:36"/>
    <s v="false"/>
    <s v="Blumenau Corrida"/>
    <n v="1.46"/>
    <n v="80"/>
    <d v="1899-12-30T00:12:56"/>
    <n v="118"/>
    <n v="160"/>
    <s v="--"/>
    <s v="--"/>
    <s v="--"/>
    <d v="1899-12-30T08:52:00"/>
    <d v="1899-12-30T05:52:00"/>
    <n v="3"/>
    <n v="17"/>
    <n v="0"/>
    <n v="0"/>
    <n v="0"/>
    <n v="0"/>
    <n v="0"/>
    <n v="0"/>
    <s v="--"/>
    <s v="--"/>
    <d v="1899-12-30T12:56:00"/>
    <d v="1899-12-30T00:00:00"/>
    <n v="0"/>
    <d v="1899-12-30T00:00:00"/>
    <s v="Não"/>
    <s v="00:00.00"/>
    <n v="1"/>
    <n v="0"/>
    <d v="1899-12-30T00:12:56"/>
    <d v="1899-12-30T00:12:56"/>
    <n v="12"/>
    <n v="26"/>
  </r>
  <r>
    <x v="3"/>
    <d v="2020-05-22T16:20:09"/>
    <s v="false"/>
    <s v="Corrida"/>
    <n v="0"/>
    <n v="627"/>
    <d v="1899-12-30T00:49:18"/>
    <n v="161"/>
    <n v="190"/>
    <s v="--"/>
    <s v="--"/>
    <s v="--"/>
    <s v="--"/>
    <s v="--"/>
    <s v="--"/>
    <s v="--"/>
    <n v="0"/>
    <n v="0"/>
    <n v="0"/>
    <n v="0"/>
    <n v="0"/>
    <n v="0"/>
    <s v="--"/>
    <s v="--"/>
    <d v="1900-01-01T01:18:00"/>
    <d v="1899-12-30T00:00:00"/>
    <n v="0"/>
    <d v="1899-12-30T00:00:00"/>
    <s v="Não"/>
    <s v="00:00.00"/>
    <n v="1"/>
    <n v="0"/>
    <d v="1899-12-30T00:00:00"/>
    <d v="1899-12-30T00:49:18"/>
    <s v="--"/>
    <s v="--"/>
  </r>
  <r>
    <x v="2"/>
    <d v="2020-05-20T17:22:39"/>
    <s v="false"/>
    <s v="Blumenau Corrida"/>
    <n v="5.9"/>
    <n v="516"/>
    <d v="1899-12-30T00:35:35"/>
    <n v="172"/>
    <n v="185"/>
    <s v="--"/>
    <s v="--"/>
    <s v="--"/>
    <d v="1899-12-30T06:02:00"/>
    <d v="1899-12-30T05:05:00"/>
    <n v="64"/>
    <n v="68"/>
    <n v="0"/>
    <n v="0"/>
    <n v="0"/>
    <n v="0"/>
    <n v="0"/>
    <n v="0"/>
    <s v="--"/>
    <s v="--"/>
    <d v="1899-12-31T11:35:00"/>
    <d v="1899-12-30T00:00:00"/>
    <n v="0"/>
    <d v="1899-12-30T00:00:00"/>
    <s v="Não"/>
    <s v="00:00.00"/>
    <n v="1"/>
    <n v="0"/>
    <d v="1899-12-30T00:35:29"/>
    <d v="1899-12-30T00:35:35"/>
    <n v="12"/>
    <n v="56"/>
  </r>
  <r>
    <x v="2"/>
    <d v="2020-05-17T08:35:35"/>
    <s v="false"/>
    <s v="Blumenau Corrida"/>
    <n v="13.51"/>
    <n v="1185"/>
    <d v="1899-12-30T01:25:57"/>
    <n v="168"/>
    <n v="204"/>
    <s v="--"/>
    <s v="--"/>
    <s v="--"/>
    <d v="1899-12-30T06:22:00"/>
    <d v="1899-12-30T02:11:00"/>
    <n v="221"/>
    <n v="225"/>
    <n v="0"/>
    <n v="0"/>
    <n v="0"/>
    <n v="0"/>
    <n v="0"/>
    <n v="0"/>
    <s v="--"/>
    <s v="--"/>
    <d v="1899-12-30T01:25:57"/>
    <d v="1899-12-30T00:00:00"/>
    <n v="0"/>
    <d v="1899-12-30T00:00:00"/>
    <s v="Não"/>
    <s v="00:00.00"/>
    <n v="1"/>
    <n v="0"/>
    <d v="1899-12-30T01:25:57"/>
    <d v="1899-12-30T01:25:57"/>
    <n v="20"/>
    <n v="117"/>
  </r>
  <r>
    <x v="3"/>
    <d v="2020-05-15T18:08:07"/>
    <s v="false"/>
    <s v="Corrida"/>
    <n v="0"/>
    <n v="557"/>
    <d v="1899-12-30T00:40:12"/>
    <n v="168"/>
    <n v="180"/>
    <s v="--"/>
    <s v="--"/>
    <s v="--"/>
    <s v="--"/>
    <s v="--"/>
    <s v="--"/>
    <s v="--"/>
    <n v="0"/>
    <n v="0"/>
    <n v="0"/>
    <n v="0"/>
    <n v="0"/>
    <n v="0"/>
    <s v="--"/>
    <s v="--"/>
    <d v="1899-12-31T16:12:00"/>
    <d v="1899-12-30T00:00:00"/>
    <n v="0"/>
    <d v="1899-12-30T00:00:00"/>
    <s v="Não"/>
    <s v="00:00.00"/>
    <n v="1"/>
    <n v="0"/>
    <d v="1899-12-30T00:00:00"/>
    <d v="1899-12-30T00:40:12"/>
    <s v="--"/>
    <s v="--"/>
  </r>
  <r>
    <x v="3"/>
    <d v="2020-05-13T18:59:10"/>
    <s v="false"/>
    <s v="Corrida"/>
    <n v="0"/>
    <n v="608"/>
    <d v="1899-12-30T00:46:26"/>
    <n v="163"/>
    <n v="187"/>
    <s v="--"/>
    <s v="--"/>
    <s v="--"/>
    <s v="--"/>
    <s v="--"/>
    <s v="--"/>
    <s v="--"/>
    <n v="0"/>
    <n v="0"/>
    <n v="0"/>
    <n v="0"/>
    <n v="0"/>
    <n v="0"/>
    <s v="--"/>
    <s v="--"/>
    <d v="1899-12-31T22:26:00"/>
    <d v="1899-12-30T00:00:00"/>
    <n v="0"/>
    <d v="1899-12-30T00:00:00"/>
    <s v="Não"/>
    <s v="00:00.00"/>
    <n v="1"/>
    <n v="0"/>
    <d v="1899-12-30T00:00:00"/>
    <d v="1899-12-30T00:46:26"/>
    <s v="--"/>
    <s v="--"/>
  </r>
  <r>
    <x v="0"/>
    <d v="2020-05-12T06:55:30"/>
    <s v="false"/>
    <s v="Musculação"/>
    <n v="0"/>
    <n v="331"/>
    <d v="1899-12-30T00:57:42"/>
    <n v="115"/>
    <n v="152"/>
    <s v="--"/>
    <s v="--"/>
    <s v="--"/>
    <s v="--"/>
    <s v="--"/>
    <s v="--"/>
    <s v="--"/>
    <n v="0"/>
    <n v="0"/>
    <n v="0"/>
    <n v="0"/>
    <n v="0"/>
    <n v="0"/>
    <s v="--"/>
    <s v="--"/>
    <d v="1900-01-01T09:42:00"/>
    <d v="1899-12-30T00:00:00"/>
    <n v="0"/>
    <d v="1899-12-30T00:00:00"/>
    <s v="Não"/>
    <s v="00:00.00"/>
    <n v="1"/>
    <n v="0"/>
    <d v="1899-12-30T00:00:00"/>
    <d v="1899-12-30T00:57:42"/>
    <s v="--"/>
    <s v="--"/>
  </r>
  <r>
    <x v="2"/>
    <d v="2020-05-11T06:59:45"/>
    <s v="false"/>
    <s v="Blumenau Corrida"/>
    <n v="6.02"/>
    <n v="473"/>
    <d v="1899-12-30T00:34:55"/>
    <n v="166"/>
    <n v="183"/>
    <s v="--"/>
    <s v="--"/>
    <s v="--"/>
    <d v="1899-12-30T05:48:00"/>
    <d v="1899-12-30T02:12:00"/>
    <n v="63"/>
    <n v="67"/>
    <n v="0"/>
    <n v="0"/>
    <n v="0"/>
    <n v="0"/>
    <n v="0"/>
    <n v="0"/>
    <s v="--"/>
    <s v="--"/>
    <d v="1899-12-31T10:55:00"/>
    <d v="1899-12-30T00:00:00"/>
    <n v="0"/>
    <d v="1899-12-30T00:00:00"/>
    <s v="Não"/>
    <s v="00:10.37"/>
    <n v="4"/>
    <n v="0"/>
    <d v="1899-12-30T00:32:12"/>
    <d v="1899-12-30T00:34:55"/>
    <n v="22"/>
    <n v="55"/>
  </r>
  <r>
    <x v="2"/>
    <d v="2020-05-10T08:56:49"/>
    <s v="false"/>
    <s v="Blumenau Corrida"/>
    <n v="12.82"/>
    <n v="1125"/>
    <d v="1899-12-30T01:18:55"/>
    <n v="171"/>
    <n v="182"/>
    <s v="--"/>
    <s v="--"/>
    <s v="--"/>
    <d v="1899-12-30T06:09:00"/>
    <d v="1899-12-30T02:23:00"/>
    <n v="188"/>
    <n v="192"/>
    <n v="0"/>
    <n v="0"/>
    <n v="0"/>
    <n v="0"/>
    <n v="0"/>
    <n v="0"/>
    <s v="--"/>
    <s v="--"/>
    <d v="1899-12-30T01:18:55"/>
    <d v="1899-12-30T00:00:00"/>
    <n v="0"/>
    <d v="1899-12-30T00:00:00"/>
    <s v="Não"/>
    <s v="00:00.00"/>
    <n v="1"/>
    <n v="0"/>
    <d v="1899-12-30T01:18:55"/>
    <d v="1899-12-30T01:18:55"/>
    <n v="20"/>
    <n v="117"/>
  </r>
  <r>
    <x v="2"/>
    <d v="2020-05-08T06:49:48"/>
    <s v="false"/>
    <s v="Blumenau Corrida"/>
    <n v="4.71"/>
    <n v="538"/>
    <d v="1899-12-30T00:41:37"/>
    <n v="164"/>
    <n v="184"/>
    <s v="--"/>
    <s v="--"/>
    <s v="--"/>
    <d v="1899-12-30T08:50:00"/>
    <d v="1899-12-30T01:00:00"/>
    <n v="75"/>
    <n v="75"/>
    <n v="0"/>
    <n v="0"/>
    <n v="0"/>
    <n v="0"/>
    <n v="0"/>
    <n v="0"/>
    <s v="--"/>
    <s v="--"/>
    <d v="1899-12-31T17:37:00"/>
    <d v="1899-12-30T00:00:00"/>
    <n v="0"/>
    <d v="1899-12-30T00:00:00"/>
    <s v="Não"/>
    <s v="00:55.56"/>
    <n v="21"/>
    <n v="0"/>
    <d v="1899-12-30T00:36:04"/>
    <d v="1899-12-30T00:41:37"/>
    <n v="18"/>
    <n v="36"/>
  </r>
  <r>
    <x v="0"/>
    <d v="2020-05-07T18:41:01"/>
    <s v="false"/>
    <s v="Musculação"/>
    <n v="0"/>
    <n v="290"/>
    <d v="1899-12-30T00:52:56"/>
    <n v="113"/>
    <n v="158"/>
    <s v="--"/>
    <s v="--"/>
    <s v="--"/>
    <s v="--"/>
    <s v="--"/>
    <s v="--"/>
    <s v="--"/>
    <n v="0"/>
    <n v="0"/>
    <n v="0"/>
    <n v="0"/>
    <n v="0"/>
    <n v="0"/>
    <s v="--"/>
    <s v="--"/>
    <d v="1900-01-01T04:56:00"/>
    <d v="1899-12-30T00:00:00"/>
    <n v="0"/>
    <d v="1899-12-30T00:00:00"/>
    <s v="Não"/>
    <s v="00:00.00"/>
    <n v="1"/>
    <n v="0"/>
    <d v="1899-12-30T00:00:00"/>
    <d v="1899-12-30T00:52:56"/>
    <s v="--"/>
    <s v="--"/>
  </r>
  <r>
    <x v="2"/>
    <d v="2020-05-06T06:41:37"/>
    <s v="false"/>
    <s v="Blumenau Corrida"/>
    <n v="9.24"/>
    <n v="822"/>
    <d v="1899-12-30T00:56:30"/>
    <n v="173"/>
    <n v="184"/>
    <s v="--"/>
    <s v="--"/>
    <s v="--"/>
    <d v="1899-12-30T06:07:00"/>
    <d v="1899-12-30T04:03:00"/>
    <n v="104"/>
    <n v="107"/>
    <n v="0"/>
    <n v="0"/>
    <n v="0"/>
    <n v="0"/>
    <n v="0"/>
    <n v="0"/>
    <s v="--"/>
    <s v="--"/>
    <d v="1900-01-01T08:30:00"/>
    <d v="1899-12-30T00:00:00"/>
    <n v="0"/>
    <d v="1899-12-30T00:00:00"/>
    <s v="Não"/>
    <s v="01:23.65"/>
    <n v="10"/>
    <n v="0"/>
    <d v="1899-12-30T00:56:28"/>
    <d v="1899-12-30T00:56:30"/>
    <n v="12"/>
    <n v="56"/>
  </r>
  <r>
    <x v="0"/>
    <d v="2020-05-05T06:31:09"/>
    <s v="false"/>
    <s v="Musculação"/>
    <n v="0"/>
    <n v="212"/>
    <d v="1899-12-30T01:00:23"/>
    <n v="100"/>
    <n v="122"/>
    <s v="--"/>
    <s v="--"/>
    <s v="--"/>
    <s v="--"/>
    <s v="--"/>
    <s v="--"/>
    <s v="--"/>
    <n v="0"/>
    <n v="0"/>
    <n v="0"/>
    <n v="0"/>
    <n v="0"/>
    <n v="0"/>
    <s v="--"/>
    <s v="--"/>
    <d v="1899-12-30T01:00:23"/>
    <d v="1899-12-30T00:00:00"/>
    <n v="0"/>
    <d v="1899-12-30T00:00:00"/>
    <s v="Não"/>
    <s v="00:00.00"/>
    <n v="1"/>
    <n v="0"/>
    <d v="1899-12-30T00:00:00"/>
    <d v="1899-12-30T01:00:23"/>
    <s v="--"/>
    <s v="--"/>
  </r>
  <r>
    <x v="2"/>
    <d v="2020-05-04T17:35:48"/>
    <s v="false"/>
    <s v="Blumenau Corrida"/>
    <n v="6"/>
    <n v="503"/>
    <d v="1899-12-30T00:36:54"/>
    <n v="167"/>
    <n v="183"/>
    <s v="--"/>
    <s v="--"/>
    <s v="--"/>
    <d v="1899-12-30T06:09:00"/>
    <d v="1899-12-30T01:49:00"/>
    <n v="65"/>
    <n v="69"/>
    <n v="0"/>
    <n v="0"/>
    <n v="0"/>
    <n v="0"/>
    <n v="0"/>
    <n v="0"/>
    <s v="--"/>
    <s v="--"/>
    <d v="1899-12-31T12:54:00"/>
    <d v="1899-12-30T00:00:00"/>
    <n v="0"/>
    <d v="1899-12-30T00:00:00"/>
    <s v="Não"/>
    <s v="02:57.84"/>
    <n v="5"/>
    <n v="0"/>
    <d v="1899-12-30T00:32:57"/>
    <d v="1899-12-30T00:36:54"/>
    <n v="22"/>
    <n v="55"/>
  </r>
  <r>
    <x v="2"/>
    <d v="2020-05-03T08:45:24"/>
    <s v="false"/>
    <s v="Blumenau Corrida"/>
    <n v="10.3"/>
    <n v="860"/>
    <d v="1899-12-30T01:00:01"/>
    <n v="172"/>
    <n v="184"/>
    <s v="--"/>
    <s v="--"/>
    <s v="--"/>
    <d v="1899-12-30T05:50:00"/>
    <d v="1899-12-30T03:17:00"/>
    <n v="110"/>
    <n v="109"/>
    <n v="0"/>
    <n v="0"/>
    <n v="0"/>
    <n v="0"/>
    <n v="0"/>
    <n v="0"/>
    <s v="--"/>
    <s v="--"/>
    <d v="1899-12-30T01:00:01"/>
    <d v="1899-12-30T00:00:00"/>
    <n v="0"/>
    <d v="1899-12-30T00:00:00"/>
    <s v="Não"/>
    <s v="01:39.89"/>
    <n v="11"/>
    <n v="0"/>
    <d v="1899-12-30T00:59:58"/>
    <d v="1899-12-30T01:00:01"/>
    <n v="14"/>
    <n v="60"/>
  </r>
  <r>
    <x v="2"/>
    <d v="2020-05-01T08:21:11"/>
    <s v="false"/>
    <s v="Blumenau Corrida"/>
    <n v="11.6"/>
    <n v="1036"/>
    <d v="1899-12-30T01:12:38"/>
    <n v="171"/>
    <n v="183"/>
    <s v="--"/>
    <s v="--"/>
    <s v="--"/>
    <d v="1899-12-30T06:16:00"/>
    <d v="1899-12-30T04:36:00"/>
    <n v="178"/>
    <n v="184"/>
    <n v="0"/>
    <n v="0"/>
    <n v="0"/>
    <n v="0"/>
    <n v="0"/>
    <n v="0"/>
    <s v="--"/>
    <s v="--"/>
    <d v="1899-12-30T01:12:38"/>
    <d v="1899-12-30T00:00:00"/>
    <n v="0"/>
    <d v="1899-12-30T00:00:00"/>
    <s v="Não"/>
    <s v="00:00.00"/>
    <n v="1"/>
    <n v="0"/>
    <d v="1899-12-30T01:12:38"/>
    <d v="1899-12-30T01:12:38"/>
    <n v="20"/>
    <n v="116"/>
  </r>
  <r>
    <x v="0"/>
    <d v="2020-04-30T18:43:03"/>
    <s v="false"/>
    <s v="Musculação"/>
    <n v="0"/>
    <n v="216"/>
    <d v="1899-12-30T00:41:17"/>
    <n v="111"/>
    <n v="161"/>
    <s v="--"/>
    <s v="--"/>
    <s v="--"/>
    <s v="--"/>
    <s v="--"/>
    <s v="--"/>
    <s v="--"/>
    <n v="0"/>
    <n v="0"/>
    <n v="0"/>
    <n v="0"/>
    <n v="0"/>
    <n v="0"/>
    <s v="--"/>
    <s v="--"/>
    <d v="1899-12-31T17:17:00"/>
    <d v="1899-12-30T00:00:00"/>
    <n v="0"/>
    <d v="1899-12-30T00:00:00"/>
    <s v="Não"/>
    <s v="00:00.00"/>
    <n v="1"/>
    <n v="0"/>
    <d v="1899-12-30T00:00:00"/>
    <d v="1899-12-30T00:41:17"/>
    <s v="--"/>
    <s v="--"/>
  </r>
  <r>
    <x v="2"/>
    <d v="2020-04-29T06:31:42"/>
    <s v="false"/>
    <s v="Blumenau Corrida"/>
    <n v="6.41"/>
    <n v="586"/>
    <d v="1899-12-30T00:51:44"/>
    <n v="153"/>
    <n v="182"/>
    <s v="--"/>
    <s v="--"/>
    <s v="--"/>
    <d v="1899-12-30T08:04:00"/>
    <d v="1899-12-30T03:47:00"/>
    <n v="18"/>
    <n v="30"/>
    <n v="0"/>
    <n v="0"/>
    <n v="0"/>
    <n v="0"/>
    <n v="0"/>
    <n v="0"/>
    <s v="--"/>
    <s v="--"/>
    <d v="1900-01-01T03:44:00"/>
    <d v="1899-12-30T00:00:00"/>
    <n v="0"/>
    <d v="1899-12-30T00:00:00"/>
    <s v="Não"/>
    <s v="00:05.33"/>
    <n v="22"/>
    <n v="0"/>
    <d v="1899-12-30T00:40:38"/>
    <d v="1899-12-30T00:51:44"/>
    <n v="12"/>
    <n v="31"/>
  </r>
  <r>
    <x v="0"/>
    <d v="2020-04-28T06:29:00"/>
    <s v="false"/>
    <s v="Musculação"/>
    <n v="0"/>
    <n v="179"/>
    <d v="1899-12-30T00:56:14"/>
    <n v="98"/>
    <n v="120"/>
    <s v="--"/>
    <s v="--"/>
    <s v="--"/>
    <s v="--"/>
    <s v="--"/>
    <s v="--"/>
    <s v="--"/>
    <n v="0"/>
    <n v="0"/>
    <n v="0"/>
    <n v="0"/>
    <n v="0"/>
    <n v="0"/>
    <s v="--"/>
    <s v="--"/>
    <d v="1900-01-01T08:14:00"/>
    <d v="1899-12-30T00:00:00"/>
    <n v="0"/>
    <d v="1899-12-30T00:00:00"/>
    <s v="Não"/>
    <s v="00:00.00"/>
    <n v="1"/>
    <n v="0"/>
    <d v="1899-12-30T00:00:00"/>
    <d v="1899-12-30T00:56:14"/>
    <s v="--"/>
    <s v="--"/>
  </r>
  <r>
    <x v="2"/>
    <d v="2020-04-27T06:30:05"/>
    <s v="false"/>
    <s v="Blumenau Corrida"/>
    <n v="7"/>
    <n v="577"/>
    <d v="1899-12-30T00:45:17"/>
    <n v="162"/>
    <n v="182"/>
    <s v="--"/>
    <s v="--"/>
    <s v="--"/>
    <d v="1899-12-30T06:28:00"/>
    <d v="1899-12-30T02:33:00"/>
    <n v="24"/>
    <n v="40"/>
    <n v="0"/>
    <n v="0"/>
    <n v="0"/>
    <n v="0"/>
    <n v="0"/>
    <n v="0"/>
    <s v="--"/>
    <s v="--"/>
    <d v="1899-12-31T21:17:00"/>
    <d v="1899-12-30T00:00:00"/>
    <n v="0"/>
    <d v="1899-12-30T00:00:00"/>
    <s v="Não"/>
    <s v="01:00.28"/>
    <n v="9"/>
    <n v="0"/>
    <d v="1899-12-30T00:40:52"/>
    <d v="1899-12-30T00:45:17"/>
    <n v="12"/>
    <n v="28"/>
  </r>
  <r>
    <x v="2"/>
    <d v="2020-04-25T07:36:09"/>
    <s v="false"/>
    <s v="Blumenau Corrida"/>
    <n v="9.44"/>
    <n v="871"/>
    <d v="1899-12-30T01:00:01"/>
    <n v="173"/>
    <n v="186"/>
    <s v="--"/>
    <s v="--"/>
    <s v="--"/>
    <d v="1899-12-30T06:21:00"/>
    <d v="1899-12-30T02:31:00"/>
    <n v="143"/>
    <n v="147"/>
    <n v="0"/>
    <n v="0"/>
    <n v="0"/>
    <n v="0"/>
    <n v="0"/>
    <n v="0"/>
    <s v="--"/>
    <s v="--"/>
    <d v="1899-12-30T01:00:01"/>
    <d v="1899-12-30T00:00:00"/>
    <n v="0"/>
    <d v="1899-12-30T00:00:00"/>
    <s v="Não"/>
    <s v="02:36.71"/>
    <n v="10"/>
    <n v="0"/>
    <d v="1899-12-30T00:59:34"/>
    <d v="1899-12-30T01:00:01"/>
    <n v="21"/>
    <n v="71"/>
  </r>
  <r>
    <x v="2"/>
    <d v="2020-04-24T17:27:20"/>
    <s v="false"/>
    <s v="Blumenau Corrida"/>
    <n v="8"/>
    <n v="708"/>
    <d v="1899-12-30T00:48:39"/>
    <n v="173"/>
    <n v="184"/>
    <s v="--"/>
    <s v="--"/>
    <s v="--"/>
    <d v="1899-12-30T06:05:00"/>
    <d v="1899-12-30T02:41:00"/>
    <n v="117"/>
    <n v="116"/>
    <n v="0"/>
    <n v="0"/>
    <n v="0"/>
    <n v="0"/>
    <n v="0"/>
    <n v="0"/>
    <s v="--"/>
    <s v="--"/>
    <d v="1900-01-01T00:39:00"/>
    <d v="1899-12-30T00:00:00"/>
    <n v="0"/>
    <d v="1899-12-30T00:00:00"/>
    <s v="Não"/>
    <s v="05:47.12"/>
    <n v="8"/>
    <n v="0"/>
    <d v="1899-12-30T00:48:37"/>
    <d v="1899-12-30T00:48:39"/>
    <n v="21"/>
    <n v="60"/>
  </r>
  <r>
    <x v="0"/>
    <d v="2020-04-23T06:30:02"/>
    <s v="false"/>
    <s v="Musculação"/>
    <n v="0"/>
    <n v="355"/>
    <d v="1899-12-30T00:56:05"/>
    <n v="119"/>
    <n v="161"/>
    <s v="--"/>
    <s v="--"/>
    <s v="--"/>
    <s v="--"/>
    <s v="--"/>
    <s v="--"/>
    <s v="--"/>
    <n v="0"/>
    <n v="0"/>
    <n v="0"/>
    <n v="0"/>
    <n v="0"/>
    <n v="0"/>
    <s v="--"/>
    <s v="--"/>
    <d v="1900-01-01T08:05:00"/>
    <d v="1899-12-30T00:00:00"/>
    <n v="0"/>
    <d v="1899-12-30T00:00:00"/>
    <s v="Não"/>
    <s v="00:00.00"/>
    <n v="1"/>
    <n v="0"/>
    <d v="1899-12-30T00:00:00"/>
    <d v="1899-12-30T00:56:05"/>
    <s v="--"/>
    <s v="--"/>
  </r>
  <r>
    <x v="2"/>
    <d v="2020-04-22T06:30:38"/>
    <s v="false"/>
    <s v="Blumenau Corrida"/>
    <n v="9.01"/>
    <n v="758"/>
    <d v="1899-12-30T00:54:32"/>
    <n v="169"/>
    <n v="184"/>
    <s v="--"/>
    <s v="--"/>
    <s v="--"/>
    <d v="1899-12-30T06:03:00"/>
    <d v="1899-12-30T03:08:00"/>
    <n v="138"/>
    <n v="140"/>
    <n v="0"/>
    <n v="0"/>
    <n v="0"/>
    <n v="0"/>
    <n v="0"/>
    <n v="0"/>
    <s v="--"/>
    <s v="--"/>
    <d v="1900-01-01T06:32:00"/>
    <d v="1899-12-30T00:00:00"/>
    <n v="0"/>
    <d v="1899-12-30T00:00:00"/>
    <s v="Não"/>
    <s v="00:08.21"/>
    <n v="13"/>
    <n v="0"/>
    <d v="1899-12-30T00:54:29"/>
    <d v="1899-12-30T00:54:32"/>
    <n v="21"/>
    <n v="59"/>
  </r>
  <r>
    <x v="2"/>
    <d v="2020-04-20T06:59:59"/>
    <s v="false"/>
    <s v="Blumenau Corrida"/>
    <n v="5"/>
    <n v="426"/>
    <d v="1899-12-30T00:31:00"/>
    <n v="168"/>
    <n v="187"/>
    <s v="--"/>
    <s v="--"/>
    <s v="--"/>
    <d v="1899-12-30T06:12:00"/>
    <d v="1899-12-30T04:13:00"/>
    <n v="11"/>
    <n v="25"/>
    <n v="0"/>
    <n v="0"/>
    <n v="0"/>
    <n v="0"/>
    <n v="0"/>
    <n v="0"/>
    <s v="--"/>
    <s v="--"/>
    <d v="1899-12-31T07:00:00"/>
    <d v="1899-12-30T00:00:00"/>
    <n v="0"/>
    <d v="1899-12-30T00:00:00"/>
    <s v="Não"/>
    <s v="01:09.44"/>
    <n v="7"/>
    <n v="0"/>
    <d v="1899-12-30T00:26:20"/>
    <d v="1899-12-30T00:31:00"/>
    <n v="12"/>
    <n v="30"/>
  </r>
  <r>
    <x v="2"/>
    <d v="2020-04-18T07:17:43"/>
    <s v="false"/>
    <s v="Blumenau Corrida"/>
    <n v="9.69"/>
    <n v="881"/>
    <d v="1899-12-30T01:00:02"/>
    <n v="174"/>
    <n v="184"/>
    <s v="--"/>
    <s v="--"/>
    <s v="--"/>
    <d v="1899-12-30T06:12:00"/>
    <d v="1899-12-30T02:25:00"/>
    <n v="147"/>
    <n v="151"/>
    <n v="0"/>
    <n v="0"/>
    <n v="0"/>
    <n v="0"/>
    <n v="0"/>
    <n v="0"/>
    <s v="--"/>
    <s v="--"/>
    <d v="1899-12-30T01:00:02"/>
    <d v="1899-12-30T00:00:00"/>
    <n v="0"/>
    <d v="1899-12-30T00:00:00"/>
    <s v="Não"/>
    <s v="03:59.79"/>
    <n v="10"/>
    <n v="0"/>
    <d v="1899-12-30T01:00:00"/>
    <d v="1899-12-30T01:00:02"/>
    <n v="22"/>
    <n v="73"/>
  </r>
  <r>
    <x v="2"/>
    <d v="2020-04-17T06:50:24"/>
    <s v="false"/>
    <s v="Blumenau Corrida"/>
    <n v="5.16"/>
    <n v="433"/>
    <d v="1899-12-30T00:30:02"/>
    <n v="172"/>
    <n v="187"/>
    <s v="--"/>
    <s v="--"/>
    <s v="--"/>
    <d v="1899-12-30T05:49:00"/>
    <d v="1899-12-30T04:41:00"/>
    <n v="27"/>
    <n v="30"/>
    <n v="0"/>
    <n v="0"/>
    <n v="0"/>
    <n v="0"/>
    <n v="0"/>
    <n v="0"/>
    <s v="--"/>
    <s v="--"/>
    <d v="1899-12-31T06:02:00"/>
    <d v="1899-12-30T00:00:00"/>
    <n v="0"/>
    <d v="1899-12-30T00:00:00"/>
    <s v="Não"/>
    <s v="00:00.00"/>
    <n v="1"/>
    <n v="0"/>
    <d v="1899-12-30T00:30:01"/>
    <d v="1899-12-30T00:30:02"/>
    <n v="12"/>
    <n v="29"/>
  </r>
  <r>
    <x v="2"/>
    <d v="2020-04-16T06:30:58"/>
    <s v="false"/>
    <s v="Musculação"/>
    <n v="0"/>
    <n v="267"/>
    <d v="1899-12-30T00:43:50"/>
    <n v="117"/>
    <n v="150"/>
    <s v="--"/>
    <s v="--"/>
    <s v="--"/>
    <s v="--"/>
    <s v="--"/>
    <s v="--"/>
    <s v="--"/>
    <n v="0"/>
    <n v="0"/>
    <n v="0"/>
    <n v="0"/>
    <n v="0"/>
    <n v="0"/>
    <s v="--"/>
    <s v="--"/>
    <d v="1899-12-31T19:50:00"/>
    <d v="1899-12-30T00:00:00"/>
    <n v="0"/>
    <d v="1899-12-30T00:00:00"/>
    <s v="Não"/>
    <s v="00:00.00"/>
    <n v="1"/>
    <n v="0"/>
    <d v="1899-12-30T00:00:00"/>
    <d v="1899-12-30T00:43:50"/>
    <s v="--"/>
    <s v="--"/>
  </r>
  <r>
    <x v="2"/>
    <d v="2020-04-15T06:57:11"/>
    <s v="false"/>
    <s v="Blumenau Corrida"/>
    <n v="5.23"/>
    <n v="456"/>
    <d v="1899-12-30T00:32:06"/>
    <n v="172"/>
    <n v="191"/>
    <s v="--"/>
    <s v="--"/>
    <s v="--"/>
    <d v="1899-12-30T06:08:00"/>
    <d v="1899-12-30T04:24:00"/>
    <n v="18"/>
    <n v="33"/>
    <n v="0"/>
    <n v="0"/>
    <n v="0"/>
    <n v="0"/>
    <n v="0"/>
    <n v="0"/>
    <s v="--"/>
    <s v="--"/>
    <d v="1899-12-31T08:06:00"/>
    <d v="1899-12-30T00:00:00"/>
    <n v="0"/>
    <d v="1899-12-30T00:00:00"/>
    <s v="Não"/>
    <s v="00:04.61"/>
    <n v="12"/>
    <n v="0"/>
    <d v="1899-12-30T00:29:20"/>
    <d v="1899-12-30T00:32:06"/>
    <n v="12"/>
    <n v="30"/>
  </r>
  <r>
    <x v="2"/>
    <d v="2020-04-14T07:28:53"/>
    <s v="false"/>
    <s v="Musculação&quot; em casa&quot;"/>
    <n v="0"/>
    <n v="403"/>
    <d v="1899-12-30T00:43:43"/>
    <n v="138"/>
    <n v="170"/>
    <s v="--"/>
    <s v="--"/>
    <s v="--"/>
    <s v="--"/>
    <s v="--"/>
    <s v="--"/>
    <s v="--"/>
    <n v="0"/>
    <n v="0"/>
    <n v="0"/>
    <n v="0"/>
    <n v="0"/>
    <n v="0"/>
    <s v="--"/>
    <s v="--"/>
    <d v="1899-12-31T19:43:00"/>
    <d v="1899-12-30T00:00:00"/>
    <n v="0"/>
    <d v="1899-12-30T00:00:00"/>
    <s v="Não"/>
    <s v="00:00.00"/>
    <n v="1"/>
    <n v="0"/>
    <d v="1899-12-30T00:00:00"/>
    <d v="1899-12-30T00:43:43"/>
    <s v="--"/>
    <s v="--"/>
  </r>
  <r>
    <x v="2"/>
    <d v="2020-04-13T06:45:27"/>
    <s v="false"/>
    <s v="Blumenau Corrida"/>
    <n v="5.32"/>
    <n v="470"/>
    <d v="1899-12-30T00:30:01"/>
    <n v="180"/>
    <n v="194"/>
    <s v="--"/>
    <s v="--"/>
    <s v="--"/>
    <d v="1899-12-30T05:39:00"/>
    <d v="1899-12-30T05:13:00"/>
    <n v="42"/>
    <n v="48"/>
    <n v="0"/>
    <n v="0"/>
    <n v="0"/>
    <n v="0"/>
    <n v="0"/>
    <n v="0"/>
    <s v="--"/>
    <s v="--"/>
    <d v="1899-12-31T06:01:00"/>
    <d v="1899-12-30T00:00:00"/>
    <n v="0"/>
    <d v="1899-12-30T00:00:00"/>
    <s v="Não"/>
    <s v="00:00.00"/>
    <n v="1"/>
    <n v="0"/>
    <d v="1899-12-30T00:30:01"/>
    <d v="1899-12-30T00:30:01"/>
    <n v="12"/>
    <n v="38"/>
  </r>
  <r>
    <x v="2"/>
    <d v="2020-04-11T08:28:23"/>
    <s v="false"/>
    <s v="Blumenau Corrida"/>
    <n v="5.23"/>
    <n v="465"/>
    <d v="1899-12-30T00:30:01"/>
    <n v="179"/>
    <n v="192"/>
    <s v="--"/>
    <s v="--"/>
    <s v="--"/>
    <d v="1899-12-30T05:44:00"/>
    <d v="1899-12-30T01:04:00"/>
    <n v="45"/>
    <n v="50"/>
    <n v="0"/>
    <n v="0"/>
    <n v="0"/>
    <n v="0"/>
    <n v="0"/>
    <n v="0"/>
    <s v="--"/>
    <s v="--"/>
    <d v="1899-12-31T06:01:00"/>
    <d v="1899-12-30T00:00:00"/>
    <n v="0"/>
    <d v="1899-12-30T00:00:00"/>
    <s v="Não"/>
    <s v="00:00.00"/>
    <n v="1"/>
    <n v="0"/>
    <d v="1899-12-30T00:30:01"/>
    <d v="1899-12-30T00:30:01"/>
    <n v="22"/>
    <n v="45"/>
  </r>
  <r>
    <x v="2"/>
    <d v="2020-04-08T07:46:34"/>
    <s v="false"/>
    <s v="Blumenau Corrida"/>
    <n v="5.19"/>
    <n v="346"/>
    <d v="1899-12-30T00:40:47"/>
    <s v="--"/>
    <s v="--"/>
    <s v="--"/>
    <s v="--"/>
    <s v="--"/>
    <d v="1899-12-30T07:52:00"/>
    <d v="1899-12-30T01:03:00"/>
    <n v="21"/>
    <n v="20"/>
    <n v="0"/>
    <n v="0"/>
    <n v="0"/>
    <n v="0"/>
    <n v="0"/>
    <n v="0"/>
    <s v="--"/>
    <s v="--"/>
    <d v="1899-12-31T16:47:00"/>
    <d v="1899-12-30T00:00:00"/>
    <n v="0"/>
    <d v="1899-12-30T00:00:00"/>
    <s v="Não"/>
    <s v="02:01.44"/>
    <n v="14"/>
    <n v="0"/>
    <d v="1899-12-30T00:40:46"/>
    <d v="1899-12-30T00:40:47"/>
    <n v="18"/>
    <n v="26"/>
  </r>
  <r>
    <x v="2"/>
    <d v="2020-04-06T08:28:29"/>
    <s v="false"/>
    <s v="Blumenau Corrida"/>
    <n v="3.57"/>
    <n v="312"/>
    <d v="1899-12-30T00:33:33"/>
    <n v="139"/>
    <n v="178"/>
    <s v="--"/>
    <s v="--"/>
    <s v="--"/>
    <d v="1899-12-30T09:24:00"/>
    <d v="1899-12-30T00:35:00"/>
    <n v="16"/>
    <n v="16"/>
    <n v="0"/>
    <n v="0"/>
    <n v="0"/>
    <n v="0"/>
    <n v="0"/>
    <n v="0"/>
    <s v="--"/>
    <s v="--"/>
    <d v="1899-12-31T09:33:00"/>
    <d v="1899-12-30T00:00:00"/>
    <n v="0"/>
    <d v="1899-12-30T00:00:00"/>
    <s v="Não"/>
    <s v="02:49.21"/>
    <n v="8"/>
    <n v="0"/>
    <d v="1899-12-30T00:32:13"/>
    <d v="1899-12-30T00:33:33"/>
    <n v="18"/>
    <n v="25"/>
  </r>
  <r>
    <x v="2"/>
    <d v="2020-03-14T06:54:48"/>
    <s v="false"/>
    <s v="Blumenau Corrida"/>
    <n v="10.01"/>
    <n v="711"/>
    <d v="1899-12-30T01:05:37"/>
    <s v="--"/>
    <s v="--"/>
    <s v="--"/>
    <s v="--"/>
    <s v="--"/>
    <d v="1899-12-30T06:33:00"/>
    <d v="1899-12-30T01:44:00"/>
    <n v="133"/>
    <n v="134"/>
    <n v="0"/>
    <n v="0"/>
    <n v="0"/>
    <n v="0"/>
    <n v="0"/>
    <n v="0"/>
    <s v="--"/>
    <s v="--"/>
    <d v="1899-12-30T01:05:37"/>
    <d v="1899-12-30T00:00:00"/>
    <n v="0"/>
    <d v="1899-12-30T00:00:00"/>
    <s v="Não"/>
    <s v="00:00.00"/>
    <n v="1"/>
    <n v="0"/>
    <d v="1899-12-30T01:05:37"/>
    <d v="1899-12-30T01:05:37"/>
    <n v="21"/>
    <n v="60"/>
  </r>
  <r>
    <x v="2"/>
    <d v="2020-03-09T19:05:22"/>
    <s v="false"/>
    <s v="Blumenau Corrida"/>
    <n v="6.17"/>
    <n v="449"/>
    <d v="1899-12-30T00:35:30"/>
    <s v="--"/>
    <s v="--"/>
    <s v="--"/>
    <s v="--"/>
    <s v="--"/>
    <d v="1899-12-30T05:45:00"/>
    <d v="1899-12-30T05:19:00"/>
    <n v="13"/>
    <n v="15"/>
    <n v="0"/>
    <n v="0"/>
    <n v="0"/>
    <n v="0"/>
    <n v="0"/>
    <n v="0"/>
    <s v="--"/>
    <s v="--"/>
    <d v="1899-12-31T11:30:00"/>
    <d v="1899-12-30T00:00:00"/>
    <n v="0"/>
    <d v="1899-12-30T00:00:00"/>
    <s v="Não"/>
    <s v="05:40.48"/>
    <n v="6"/>
    <n v="0"/>
    <d v="1899-12-30T00:35:29"/>
    <d v="1899-12-30T00:35:30"/>
    <n v="13"/>
    <n v="21"/>
  </r>
  <r>
    <x v="2"/>
    <d v="2020-03-04T19:09:53"/>
    <s v="false"/>
    <s v="Blumenau Corrida"/>
    <n v="3.3"/>
    <n v="193"/>
    <d v="1899-12-30T00:31:07"/>
    <s v="--"/>
    <s v="--"/>
    <s v="--"/>
    <s v="--"/>
    <s v="--"/>
    <d v="1899-12-30T09:27:00"/>
    <d v="1899-12-30T06:16:00"/>
    <n v="7"/>
    <n v="10"/>
    <n v="0"/>
    <n v="0"/>
    <n v="0"/>
    <n v="0"/>
    <n v="0"/>
    <n v="0"/>
    <s v="--"/>
    <s v="--"/>
    <d v="1899-12-31T07:07:00"/>
    <d v="1899-12-30T00:00:00"/>
    <n v="0"/>
    <d v="1899-12-30T00:00:00"/>
    <s v="Não"/>
    <s v="00:00.00"/>
    <n v="1"/>
    <n v="0"/>
    <d v="1899-12-30T00:31:06"/>
    <d v="1899-12-30T00:33:17"/>
    <n v="13"/>
    <n v="20"/>
  </r>
  <r>
    <x v="2"/>
    <d v="2020-03-02T19:08:10"/>
    <s v="false"/>
    <s v="Blumenau Corrida"/>
    <n v="4.5"/>
    <n v="333"/>
    <d v="1899-12-30T00:27:37"/>
    <s v="--"/>
    <s v="--"/>
    <s v="--"/>
    <s v="--"/>
    <s v="--"/>
    <d v="1899-12-30T06:08:00"/>
    <d v="1899-12-30T03:10:00"/>
    <n v="17"/>
    <n v="14"/>
    <n v="0"/>
    <n v="0"/>
    <n v="0"/>
    <n v="0"/>
    <n v="0"/>
    <n v="0"/>
    <s v="--"/>
    <s v="--"/>
    <d v="1899-12-31T03:37:00"/>
    <d v="1899-12-30T00:00:00"/>
    <n v="0"/>
    <d v="1899-12-30T00:00:00"/>
    <s v="Não"/>
    <s v="00:02.13"/>
    <n v="18"/>
    <n v="0"/>
    <d v="1899-12-30T00:25:14"/>
    <d v="1899-12-30T00:40:04"/>
    <n v="17"/>
    <n v="26"/>
  </r>
  <r>
    <x v="2"/>
    <d v="2020-02-29T06:48:19"/>
    <s v="false"/>
    <s v="Blumenau Corrida"/>
    <n v="10"/>
    <n v="733"/>
    <d v="1899-12-30T01:00:44"/>
    <s v="--"/>
    <s v="--"/>
    <s v="--"/>
    <s v="--"/>
    <s v="--"/>
    <d v="1899-12-30T06:04:00"/>
    <d v="1899-12-30T02:22:00"/>
    <n v="142"/>
    <n v="145"/>
    <n v="0"/>
    <n v="0"/>
    <n v="0"/>
    <n v="0"/>
    <n v="0"/>
    <n v="0"/>
    <s v="--"/>
    <s v="--"/>
    <d v="1899-12-30T01:00:44"/>
    <d v="1899-12-30T00:00:00"/>
    <n v="0"/>
    <d v="1899-12-30T00:00:00"/>
    <s v="Não"/>
    <s v="00:00.00"/>
    <n v="1"/>
    <n v="0"/>
    <d v="1899-12-30T01:00:44"/>
    <d v="1899-12-30T01:00:44"/>
    <n v="22"/>
    <n v="60"/>
  </r>
  <r>
    <x v="2"/>
    <d v="2020-02-26T19:13:49"/>
    <s v="false"/>
    <s v="Blumenau Corrida"/>
    <n v="3.47"/>
    <n v="192"/>
    <d v="1899-12-30T00:35:35"/>
    <s v="--"/>
    <s v="--"/>
    <s v="--"/>
    <s v="--"/>
    <s v="--"/>
    <d v="1899-12-30T10:16:00"/>
    <d v="1899-12-30T06:26:00"/>
    <n v="61"/>
    <n v="61"/>
    <n v="0"/>
    <n v="0"/>
    <n v="0"/>
    <n v="0"/>
    <n v="0"/>
    <n v="0"/>
    <s v="--"/>
    <s v="--"/>
    <d v="1899-12-31T11:35:00"/>
    <d v="1899-12-30T00:00:00"/>
    <n v="0"/>
    <d v="1899-12-30T00:00:00"/>
    <s v="Não"/>
    <s v="00:37.96"/>
    <n v="7"/>
    <n v="0"/>
    <d v="1899-12-30T00:33:45"/>
    <d v="1899-12-30T00:35:35"/>
    <n v="17"/>
    <n v="28"/>
  </r>
  <r>
    <x v="2"/>
    <d v="2020-02-24T19:11:49"/>
    <s v="false"/>
    <s v="Blumenau Corrida"/>
    <n v="1.53"/>
    <n v="80"/>
    <d v="1899-12-30T00:18:36"/>
    <s v="--"/>
    <s v="--"/>
    <s v="--"/>
    <s v="--"/>
    <s v="--"/>
    <d v="1899-12-30T12:09:00"/>
    <d v="1899-12-30T08:52:00"/>
    <n v="13"/>
    <s v="--"/>
    <n v="0"/>
    <n v="0"/>
    <n v="0"/>
    <n v="0"/>
    <n v="0"/>
    <n v="0"/>
    <s v="--"/>
    <s v="--"/>
    <d v="1899-12-30T18:36:00"/>
    <d v="1899-12-30T00:00:00"/>
    <n v="0"/>
    <d v="1899-12-30T00:00:00"/>
    <s v="Não"/>
    <s v="00:00.00"/>
    <n v="1"/>
    <n v="0"/>
    <d v="1899-12-30T00:18:36"/>
    <d v="1899-12-30T00:18:36"/>
    <n v="14"/>
    <n v="29"/>
  </r>
  <r>
    <x v="2"/>
    <d v="2020-02-24T18:51:28"/>
    <s v="false"/>
    <s v="Blumenau Corrida"/>
    <n v="3.06"/>
    <n v="192"/>
    <d v="1899-12-30T00:20:06"/>
    <s v="--"/>
    <s v="--"/>
    <s v="--"/>
    <s v="--"/>
    <s v="--"/>
    <d v="1899-12-30T06:34:00"/>
    <d v="1899-12-30T04:03:00"/>
    <n v="6"/>
    <n v="6"/>
    <n v="0"/>
    <n v="0"/>
    <n v="0"/>
    <n v="0"/>
    <n v="0"/>
    <n v="0"/>
    <s v="--"/>
    <s v="--"/>
    <d v="1899-12-30T20:06:00"/>
    <d v="1899-12-30T00:00:00"/>
    <n v="0"/>
    <d v="1899-12-30T00:00:00"/>
    <s v="Não"/>
    <s v="00:58.40"/>
    <n v="20"/>
    <n v="0"/>
    <d v="1899-12-30T00:20:01"/>
    <d v="1899-12-30T00:20:06"/>
    <n v="14"/>
    <n v="18"/>
  </r>
  <r>
    <x v="2"/>
    <d v="2020-02-24T18:35:14"/>
    <s v="false"/>
    <s v="Blumenau Corrida"/>
    <n v="2"/>
    <n v="149"/>
    <d v="1899-12-30T00:11:42"/>
    <s v="--"/>
    <s v="--"/>
    <s v="--"/>
    <s v="--"/>
    <s v="--"/>
    <d v="1899-12-30T05:51:00"/>
    <d v="1899-12-30T04:02:00"/>
    <n v="3"/>
    <n v="18"/>
    <n v="0"/>
    <n v="0"/>
    <n v="0"/>
    <n v="0"/>
    <n v="0"/>
    <n v="0"/>
    <s v="--"/>
    <s v="--"/>
    <d v="1899-12-30T11:42:00"/>
    <d v="1899-12-30T00:00:00"/>
    <n v="0"/>
    <d v="1899-12-30T00:00:00"/>
    <s v="Não"/>
    <s v="00:00.00"/>
    <n v="1"/>
    <n v="0"/>
    <d v="1899-12-30T00:11:42"/>
    <d v="1899-12-30T00:11:42"/>
    <n v="12"/>
    <n v="28"/>
  </r>
  <r>
    <x v="2"/>
    <d v="2020-02-21T13:08:18"/>
    <s v="false"/>
    <s v="Corrida"/>
    <n v="0"/>
    <s v="--"/>
    <d v="1899-12-30T00:00:07"/>
    <s v="--"/>
    <s v="--"/>
    <s v="--"/>
    <s v="--"/>
    <s v="--"/>
    <s v="--"/>
    <s v="--"/>
    <s v="--"/>
    <s v="--"/>
    <n v="0"/>
    <n v="0"/>
    <n v="0"/>
    <n v="0"/>
    <n v="0"/>
    <n v="0"/>
    <s v="--"/>
    <s v="--"/>
    <d v="1899-12-30T00:00:07"/>
    <d v="1899-12-30T00:00:00"/>
    <n v="0"/>
    <d v="1899-12-30T00:00:00"/>
    <s v="Não"/>
    <s v="00:00.00"/>
    <n v="1"/>
    <n v="0"/>
    <d v="1899-12-30T00:00:00"/>
    <d v="1899-12-30T00:00:07"/>
    <s v="--"/>
    <s v="--"/>
  </r>
  <r>
    <x v="2"/>
    <d v="2020-02-19T19:08:03"/>
    <s v="false"/>
    <s v="Blumenau Corrida"/>
    <n v="5.37"/>
    <n v="362"/>
    <d v="1899-12-30T00:47:58"/>
    <s v="--"/>
    <s v="--"/>
    <s v="--"/>
    <s v="--"/>
    <s v="--"/>
    <d v="1899-12-30T08:56:00"/>
    <d v="1899-12-30T03:58:00"/>
    <n v="148"/>
    <n v="138"/>
    <n v="0"/>
    <n v="0"/>
    <n v="0"/>
    <n v="0"/>
    <n v="0"/>
    <n v="0"/>
    <s v="--"/>
    <s v="--"/>
    <d v="1899-12-31T23:58:00"/>
    <d v="1899-12-30T00:00:00"/>
    <n v="0"/>
    <d v="1899-12-30T00:00:00"/>
    <s v="Não"/>
    <s v="00:36.84"/>
    <n v="24"/>
    <n v="0"/>
    <d v="1899-12-30T00:47:54"/>
    <d v="1899-12-30T00:47:58"/>
    <n v="13"/>
    <n v="61"/>
  </r>
  <r>
    <x v="2"/>
    <d v="2020-02-15T06:59:00"/>
    <s v="false"/>
    <s v="Blumenau Corrida"/>
    <n v="10"/>
    <n v="726"/>
    <d v="1899-12-30T01:02:29"/>
    <s v="--"/>
    <s v="--"/>
    <s v="--"/>
    <s v="--"/>
    <s v="--"/>
    <d v="1899-12-30T06:15:00"/>
    <d v="1899-12-30T02:07:00"/>
    <n v="125"/>
    <n v="129"/>
    <n v="0"/>
    <n v="0"/>
    <n v="0"/>
    <n v="0"/>
    <n v="0"/>
    <n v="0"/>
    <s v="--"/>
    <s v="--"/>
    <d v="1899-12-30T01:02:29"/>
    <d v="1899-12-30T00:00:00"/>
    <n v="0"/>
    <d v="1899-12-30T00:00:00"/>
    <s v="Não"/>
    <s v="00:00.00"/>
    <n v="1"/>
    <n v="0"/>
    <d v="1899-12-30T01:02:29"/>
    <d v="1899-12-30T01:02:29"/>
    <n v="22"/>
    <n v="59"/>
  </r>
  <r>
    <x v="2"/>
    <d v="2020-02-12T19:16:23"/>
    <s v="false"/>
    <s v="Blumenau Corrida"/>
    <n v="4.17"/>
    <n v="293"/>
    <d v="1899-12-30T00:33:09"/>
    <s v="--"/>
    <s v="--"/>
    <s v="--"/>
    <s v="--"/>
    <s v="--"/>
    <d v="1899-12-30T07:57:00"/>
    <d v="1899-12-30T04:28:00"/>
    <n v="138"/>
    <n v="145"/>
    <n v="0"/>
    <n v="0"/>
    <n v="0"/>
    <n v="0"/>
    <n v="0"/>
    <n v="0"/>
    <s v="--"/>
    <s v="--"/>
    <d v="1899-12-31T09:09:00"/>
    <d v="1899-12-30T00:00:00"/>
    <n v="0"/>
    <d v="1899-12-30T00:00:00"/>
    <s v="Não"/>
    <s v="01:04.36"/>
    <n v="15"/>
    <n v="0"/>
    <d v="1899-12-30T00:31:16"/>
    <d v="1899-12-30T00:33:37"/>
    <n v="19"/>
    <n v="63"/>
  </r>
  <r>
    <x v="2"/>
    <d v="2020-02-10T19:10:00"/>
    <s v="false"/>
    <s v="Blumenau Corrida"/>
    <n v="6.22"/>
    <n v="449"/>
    <d v="1899-12-30T00:44:21"/>
    <s v="--"/>
    <s v="--"/>
    <s v="--"/>
    <s v="--"/>
    <s v="--"/>
    <d v="1899-12-30T07:08:00"/>
    <d v="1899-12-30T03:32:00"/>
    <n v="6"/>
    <n v="7"/>
    <n v="0"/>
    <n v="0"/>
    <n v="0"/>
    <n v="0"/>
    <n v="0"/>
    <n v="0"/>
    <s v="--"/>
    <s v="--"/>
    <d v="1899-12-31T20:21:00"/>
    <d v="1899-12-30T00:00:00"/>
    <n v="0"/>
    <d v="1899-12-30T00:00:00"/>
    <s v="Não"/>
    <s v="00:44.84"/>
    <n v="19"/>
    <n v="0"/>
    <d v="1899-12-30T00:44:18"/>
    <d v="1899-12-30T00:44:21"/>
    <n v="13"/>
    <n v="20"/>
  </r>
  <r>
    <x v="2"/>
    <d v="2020-02-09T07:46:49"/>
    <s v="false"/>
    <s v="Blumenau Corrida"/>
    <n v="7.36"/>
    <n v="516"/>
    <d v="1899-12-30T00:50:37"/>
    <s v="--"/>
    <s v="--"/>
    <s v="--"/>
    <s v="--"/>
    <s v="--"/>
    <d v="1899-12-30T06:53:00"/>
    <d v="1899-12-30T03:03:00"/>
    <n v="27"/>
    <n v="31"/>
    <n v="0"/>
    <n v="0"/>
    <n v="0"/>
    <n v="0"/>
    <n v="0"/>
    <n v="0"/>
    <s v="--"/>
    <s v="--"/>
    <d v="1900-01-01T02:37:00"/>
    <d v="1899-12-30T00:00:00"/>
    <n v="0"/>
    <d v="1899-12-30T00:00:00"/>
    <s v="Não"/>
    <s v="00:01.16"/>
    <n v="10"/>
    <n v="0"/>
    <d v="1899-12-30T00:50:34"/>
    <d v="1899-12-30T00:50:37"/>
    <n v="12"/>
    <n v="29"/>
  </r>
  <r>
    <x v="2"/>
    <d v="2020-02-05T19:09:03"/>
    <s v="false"/>
    <s v="Blumenau Corrida"/>
    <n v="5.18"/>
    <n v="363"/>
    <d v="1899-12-30T00:40:10"/>
    <s v="--"/>
    <s v="--"/>
    <s v="--"/>
    <s v="--"/>
    <s v="--"/>
    <d v="1899-12-30T07:45:00"/>
    <d v="1899-12-30T04:27:00"/>
    <n v="158"/>
    <n v="151"/>
    <n v="0"/>
    <n v="0"/>
    <n v="0"/>
    <n v="0"/>
    <n v="0"/>
    <n v="0"/>
    <s v="--"/>
    <s v="--"/>
    <d v="1899-12-31T16:10:00"/>
    <d v="1899-12-30T00:00:00"/>
    <n v="0"/>
    <d v="1899-12-30T00:00:00"/>
    <s v="Não"/>
    <s v="00:58.36"/>
    <n v="17"/>
    <n v="0"/>
    <d v="1899-12-30T00:37:49"/>
    <d v="1899-12-30T00:40:10"/>
    <n v="16"/>
    <n v="55"/>
  </r>
  <r>
    <x v="2"/>
    <d v="2020-02-02T07:56:37"/>
    <s v="false"/>
    <s v="Blumenau Corrida"/>
    <n v="9.2799999999999994"/>
    <n v="658"/>
    <d v="1899-12-30T01:02:55"/>
    <s v="--"/>
    <s v="--"/>
    <s v="--"/>
    <s v="--"/>
    <s v="--"/>
    <d v="1899-12-30T06:47:00"/>
    <d v="1899-12-30T05:04:00"/>
    <n v="92"/>
    <n v="92"/>
    <n v="0"/>
    <n v="0"/>
    <n v="0"/>
    <n v="0"/>
    <n v="0"/>
    <n v="0"/>
    <s v="--"/>
    <s v="--"/>
    <d v="1899-12-30T01:02:55"/>
    <d v="1899-12-30T00:00:00"/>
    <n v="0"/>
    <d v="1899-12-30T00:00:00"/>
    <s v="Não"/>
    <s v="00:00.00"/>
    <n v="1"/>
    <n v="0"/>
    <d v="1899-12-30T01:02:54"/>
    <d v="1899-12-30T01:02:55"/>
    <n v="12"/>
    <n v="56"/>
  </r>
  <r>
    <x v="2"/>
    <d v="2020-01-29T19:04:28"/>
    <s v="false"/>
    <s v="Blumenau Corrida"/>
    <n v="6.13"/>
    <n v="450"/>
    <d v="1899-12-30T00:35:34"/>
    <s v="--"/>
    <s v="--"/>
    <s v="--"/>
    <s v="--"/>
    <s v="--"/>
    <d v="1899-12-30T05:48:00"/>
    <d v="1899-12-30T05:03:00"/>
    <n v="15"/>
    <n v="16"/>
    <n v="0"/>
    <n v="0"/>
    <n v="0"/>
    <n v="0"/>
    <n v="0"/>
    <n v="0"/>
    <s v="--"/>
    <s v="--"/>
    <d v="1899-12-31T11:34:00"/>
    <d v="1899-12-30T00:00:00"/>
    <n v="0"/>
    <d v="1899-12-30T00:00:00"/>
    <s v="Não"/>
    <s v="00:00.00"/>
    <n v="1"/>
    <n v="0"/>
    <d v="1899-12-30T00:35:34"/>
    <d v="1899-12-30T00:35:34"/>
    <n v="13"/>
    <n v="20"/>
  </r>
  <r>
    <x v="2"/>
    <d v="2020-01-27T19:36:10"/>
    <s v="false"/>
    <s v="Blumenau Corrida"/>
    <n v="0.65"/>
    <n v="49"/>
    <d v="1899-12-30T00:04:18"/>
    <s v="--"/>
    <s v="--"/>
    <s v="--"/>
    <s v="--"/>
    <s v="--"/>
    <d v="1899-12-30T06:33:00"/>
    <d v="1899-12-30T05:30:00"/>
    <n v="8"/>
    <n v="7"/>
    <n v="0"/>
    <n v="0"/>
    <n v="0"/>
    <n v="0"/>
    <n v="0"/>
    <n v="0"/>
    <s v="--"/>
    <s v="--"/>
    <d v="1899-12-30T00:04:18"/>
    <d v="1899-12-30T00:00:00"/>
    <n v="0"/>
    <d v="1899-12-30T00:00:00"/>
    <s v="Não"/>
    <s v="00:00.00"/>
    <n v="1"/>
    <n v="0"/>
    <d v="1899-12-30T00:04:18"/>
    <d v="1899-12-30T00:04:18"/>
    <n v="17"/>
    <n v="26"/>
  </r>
  <r>
    <x v="2"/>
    <d v="2020-01-27T19:28:14"/>
    <s v="false"/>
    <s v="Blumenau Corrida"/>
    <n v="0.99"/>
    <n v="73"/>
    <d v="1899-12-30T00:04:06"/>
    <s v="--"/>
    <s v="--"/>
    <s v="--"/>
    <s v="--"/>
    <s v="--"/>
    <d v="1899-12-30T04:07:00"/>
    <d v="1899-12-30T03:39:00"/>
    <n v="8"/>
    <n v="17"/>
    <n v="0"/>
    <n v="0"/>
    <n v="0"/>
    <n v="0"/>
    <n v="0"/>
    <n v="0"/>
    <s v="--"/>
    <s v="--"/>
    <d v="1899-12-30T00:04:06"/>
    <d v="1899-12-30T00:00:00"/>
    <n v="0"/>
    <d v="1899-12-30T00:00:00"/>
    <s v="Não"/>
    <s v="00:00.00"/>
    <n v="1"/>
    <n v="0"/>
    <d v="1899-12-30T00:04:06"/>
    <d v="1899-12-30T00:04:06"/>
    <n v="17"/>
    <n v="27"/>
  </r>
  <r>
    <x v="2"/>
    <d v="2020-01-27T19:19:49"/>
    <s v="false"/>
    <s v="Blumenau Corrida"/>
    <n v="0.63"/>
    <n v="47"/>
    <d v="1899-12-30T00:04:02"/>
    <s v="--"/>
    <s v="--"/>
    <s v="--"/>
    <s v="--"/>
    <s v="--"/>
    <d v="1899-12-30T06:26:00"/>
    <d v="1899-12-30T05:55:00"/>
    <n v="8"/>
    <n v="9"/>
    <n v="0"/>
    <n v="0"/>
    <n v="0"/>
    <n v="0"/>
    <n v="0"/>
    <n v="0"/>
    <s v="--"/>
    <s v="--"/>
    <d v="1899-12-30T00:04:02"/>
    <d v="1899-12-30T00:00:00"/>
    <n v="0"/>
    <d v="1899-12-30T00:00:00"/>
    <s v="Não"/>
    <s v="00:00.00"/>
    <n v="1"/>
    <n v="0"/>
    <d v="1899-12-30T00:04:02"/>
    <d v="1899-12-30T00:04:02"/>
    <n v="17"/>
    <n v="27"/>
  </r>
  <r>
    <x v="2"/>
    <d v="2020-01-22T19:05:33"/>
    <s v="false"/>
    <s v="Blumenau Corrida"/>
    <n v="5.32"/>
    <n v="380"/>
    <d v="1899-12-30T00:34:44"/>
    <s v="--"/>
    <s v="--"/>
    <s v="--"/>
    <s v="--"/>
    <s v="--"/>
    <d v="1899-12-30T06:32:00"/>
    <d v="1899-12-30T04:26:00"/>
    <n v="107"/>
    <n v="117"/>
    <n v="0"/>
    <n v="0"/>
    <n v="0"/>
    <n v="0"/>
    <n v="0"/>
    <n v="0"/>
    <s v="--"/>
    <s v="--"/>
    <d v="1899-12-31T10:44:00"/>
    <d v="1899-12-30T00:00:00"/>
    <n v="0"/>
    <d v="1899-12-30T00:00:00"/>
    <s v="Não"/>
    <s v="00:00.85"/>
    <n v="15"/>
    <n v="0"/>
    <d v="1899-12-30T00:34:41"/>
    <d v="1899-12-30T00:40:49"/>
    <n v="13"/>
    <n v="54"/>
  </r>
  <r>
    <x v="2"/>
    <d v="2020-01-20T19:05:50"/>
    <s v="false"/>
    <s v="Blumenau Corrida"/>
    <n v="6.96"/>
    <n v="503"/>
    <d v="1899-12-30T00:47:17"/>
    <s v="--"/>
    <s v="--"/>
    <s v="--"/>
    <s v="--"/>
    <s v="--"/>
    <d v="1899-12-30T06:47:00"/>
    <d v="1899-12-30T04:12:00"/>
    <n v="56"/>
    <n v="49"/>
    <n v="0"/>
    <n v="0"/>
    <n v="0"/>
    <n v="0"/>
    <n v="0"/>
    <n v="0"/>
    <s v="--"/>
    <s v="--"/>
    <d v="1899-12-31T23:17:00"/>
    <d v="1899-12-30T00:00:00"/>
    <n v="0"/>
    <d v="1899-12-30T00:00:00"/>
    <s v="Não"/>
    <s v="01:00.45"/>
    <n v="15"/>
    <n v="0"/>
    <d v="1899-12-30T00:45:51"/>
    <d v="1899-12-30T00:47:17"/>
    <n v="9"/>
    <n v="24"/>
  </r>
  <r>
    <x v="2"/>
    <d v="2020-01-18T07:26:32"/>
    <s v="false"/>
    <s v="Blumenau Corrida"/>
    <n v="7.71"/>
    <n v="565"/>
    <d v="1899-12-30T00:50:19"/>
    <s v="--"/>
    <s v="--"/>
    <s v="--"/>
    <s v="--"/>
    <s v="--"/>
    <d v="1899-12-30T06:31:00"/>
    <d v="1899-12-30T03:45:00"/>
    <n v="117"/>
    <n v="122"/>
    <n v="0"/>
    <n v="0"/>
    <n v="0"/>
    <n v="0"/>
    <n v="0"/>
    <n v="0"/>
    <s v="--"/>
    <s v="--"/>
    <d v="1900-01-01T02:19:00"/>
    <d v="1899-12-30T00:00:00"/>
    <n v="0"/>
    <d v="1899-12-30T00:00:00"/>
    <s v="Não"/>
    <s v="00:00.00"/>
    <n v="1"/>
    <n v="0"/>
    <d v="1899-12-30T00:50:19"/>
    <d v="1899-12-30T00:50:19"/>
    <n v="22"/>
    <n v="65"/>
  </r>
  <r>
    <x v="2"/>
    <d v="2020-01-15T19:43:08"/>
    <s v="false"/>
    <s v="Blumenau Corrida"/>
    <n v="0.41"/>
    <n v="30"/>
    <d v="1899-12-30T00:02:13"/>
    <s v="--"/>
    <s v="--"/>
    <s v="--"/>
    <s v="--"/>
    <s v="--"/>
    <d v="1899-12-30T05:24:00"/>
    <d v="1899-12-30T05:01:00"/>
    <s v="--"/>
    <s v="--"/>
    <n v="0"/>
    <n v="0"/>
    <n v="0"/>
    <n v="0"/>
    <n v="0"/>
    <n v="0"/>
    <s v="--"/>
    <s v="--"/>
    <d v="1899-12-30T00:02:13"/>
    <d v="1899-12-30T00:00:00"/>
    <n v="0"/>
    <d v="1899-12-30T00:00:00"/>
    <s v="Não"/>
    <s v="00:00.00"/>
    <n v="1"/>
    <n v="0"/>
    <d v="1899-12-30T00:02:13"/>
    <d v="1899-12-30T00:02:13"/>
    <n v="14"/>
    <n v="15"/>
  </r>
  <r>
    <x v="2"/>
    <d v="2020-01-15T19:05:45"/>
    <s v="false"/>
    <s v="Blumenau Corrida"/>
    <n v="5.66"/>
    <n v="410"/>
    <d v="1899-12-30T00:35:17"/>
    <s v="--"/>
    <s v="--"/>
    <s v="--"/>
    <s v="--"/>
    <s v="--"/>
    <d v="1899-12-30T06:14:00"/>
    <d v="1899-12-30T04:15:00"/>
    <s v="--"/>
    <s v="--"/>
    <n v="0"/>
    <n v="0"/>
    <n v="0"/>
    <n v="0"/>
    <n v="0"/>
    <n v="0"/>
    <s v="--"/>
    <s v="--"/>
    <d v="1899-12-31T11:17:00"/>
    <d v="1899-12-30T00:00:00"/>
    <n v="0"/>
    <d v="1899-12-30T00:00:00"/>
    <s v="Não"/>
    <s v="01:29.64"/>
    <n v="11"/>
    <n v="0"/>
    <d v="1899-12-30T00:32:51"/>
    <d v="1899-12-30T00:35:17"/>
    <n v="14"/>
    <n v="15"/>
  </r>
  <r>
    <x v="2"/>
    <d v="2020-01-13T19:13:36"/>
    <s v="false"/>
    <s v="Blumenau Correr"/>
    <n v="5.42"/>
    <n v="398"/>
    <d v="1899-12-30T00:30:32"/>
    <s v="--"/>
    <s v="--"/>
    <s v="--"/>
    <s v="--"/>
    <s v="--"/>
    <d v="1899-12-30T05:38:00"/>
    <d v="1899-12-30T03:36:00"/>
    <n v="41"/>
    <n v="40"/>
    <n v="0"/>
    <n v="0"/>
    <n v="0"/>
    <n v="0"/>
    <n v="0"/>
    <n v="0"/>
    <s v="--"/>
    <s v="--"/>
    <d v="1899-12-31T06:32:00"/>
    <d v="1899-12-30T00:00:00"/>
    <n v="0"/>
    <d v="1899-12-30T00:00:00"/>
    <s v="Não"/>
    <s v="00:00.00"/>
    <n v="1"/>
    <n v="0"/>
    <d v="1899-12-30T00:30:32"/>
    <d v="1899-12-30T00:32:25"/>
    <n v="15"/>
    <n v="24"/>
  </r>
  <r>
    <x v="2"/>
    <d v="2020-01-13T19:05:33"/>
    <s v="false"/>
    <s v="Blumenau Correr"/>
    <n v="0.69"/>
    <n v="51"/>
    <d v="1899-12-30T00:04:35"/>
    <s v="--"/>
    <s v="--"/>
    <s v="--"/>
    <s v="--"/>
    <s v="--"/>
    <d v="1899-12-30T06:39:00"/>
    <d v="1899-12-30T05:54:00"/>
    <n v="7"/>
    <n v="6"/>
    <n v="0"/>
    <n v="0"/>
    <n v="0"/>
    <n v="0"/>
    <n v="0"/>
    <n v="0"/>
    <s v="--"/>
    <s v="--"/>
    <d v="1899-12-30T00:04:35"/>
    <d v="1899-12-30T00:00:00"/>
    <n v="0"/>
    <d v="1899-12-30T00:00:00"/>
    <s v="Não"/>
    <s v="00:00.00"/>
    <n v="1"/>
    <n v="0"/>
    <d v="1899-12-30T00:04:35"/>
    <d v="1899-12-30T00:04:35"/>
    <n v="9"/>
    <n v="20"/>
  </r>
  <r>
    <x v="2"/>
    <d v="2020-01-11T07:30:46"/>
    <s v="false"/>
    <s v="Blumenau Correr"/>
    <n v="1.75"/>
    <n v="92"/>
    <d v="1899-12-30T00:22:10"/>
    <s v="--"/>
    <s v="--"/>
    <s v="--"/>
    <s v="--"/>
    <s v="--"/>
    <d v="1899-12-30T12:39:00"/>
    <d v="1899-12-30T08:29:00"/>
    <n v="18"/>
    <n v="15"/>
    <n v="0"/>
    <n v="0"/>
    <n v="0"/>
    <n v="0"/>
    <n v="0"/>
    <n v="0"/>
    <s v="--"/>
    <s v="--"/>
    <d v="1899-12-30T22:10:00"/>
    <d v="1899-12-30T00:00:00"/>
    <n v="0"/>
    <d v="1899-12-30T00:00:00"/>
    <s v="Não"/>
    <s v="00:00.00"/>
    <n v="1"/>
    <n v="0"/>
    <d v="1899-12-30T00:22:10"/>
    <d v="1899-12-30T00:22:10"/>
    <n v="14"/>
    <n v="28"/>
  </r>
  <r>
    <x v="2"/>
    <d v="2020-01-11T06:50:57"/>
    <s v="false"/>
    <s v="Blumenau Correr"/>
    <n v="4.8099999999999996"/>
    <n v="343"/>
    <d v="1899-12-30T00:38:59"/>
    <s v="--"/>
    <s v="--"/>
    <s v="--"/>
    <s v="--"/>
    <s v="--"/>
    <d v="1899-12-30T08:07:00"/>
    <d v="1899-12-30T04:22:00"/>
    <n v="6"/>
    <n v="5"/>
    <n v="0"/>
    <n v="0"/>
    <n v="0"/>
    <n v="0"/>
    <n v="0"/>
    <n v="0"/>
    <s v="--"/>
    <s v="--"/>
    <d v="1899-12-31T14:59:00"/>
    <d v="1899-12-30T00:00:00"/>
    <n v="0"/>
    <d v="1899-12-30T00:00:00"/>
    <s v="Não"/>
    <s v="00:02.29"/>
    <n v="16"/>
    <n v="0"/>
    <d v="1899-12-30T00:35:38"/>
    <d v="1899-12-30T00:38:59"/>
    <n v="14"/>
    <n v="18"/>
  </r>
  <r>
    <x v="2"/>
    <d v="2020-01-11T06:41:08"/>
    <s v="false"/>
    <s v="Blumenau Correr"/>
    <n v="1.42"/>
    <n v="104"/>
    <d v="1899-12-30T00:08:19"/>
    <s v="--"/>
    <s v="--"/>
    <s v="--"/>
    <s v="--"/>
    <s v="--"/>
    <d v="1899-12-30T05:52:00"/>
    <d v="1899-12-30T04:03:00"/>
    <n v="8"/>
    <n v="19"/>
    <n v="0"/>
    <n v="0"/>
    <n v="0"/>
    <n v="0"/>
    <n v="0"/>
    <n v="0"/>
    <s v="--"/>
    <s v="--"/>
    <d v="1899-12-30T00:08:19"/>
    <d v="1899-12-30T00:00:00"/>
    <n v="0"/>
    <d v="1899-12-30T00:00:00"/>
    <s v="Não"/>
    <s v="00:00.00"/>
    <n v="1"/>
    <n v="0"/>
    <d v="1899-12-30T00:08:19"/>
    <d v="1899-12-30T00:08:19"/>
    <n v="14"/>
    <n v="28"/>
  </r>
  <r>
    <x v="2"/>
    <d v="2020-01-06T19:17:39"/>
    <s v="false"/>
    <s v="Blumenau Correr"/>
    <n v="4.04"/>
    <n v="287"/>
    <d v="1899-12-30T00:27:06"/>
    <s v="--"/>
    <s v="--"/>
    <s v="--"/>
    <s v="--"/>
    <s v="--"/>
    <d v="1899-12-30T06:43:00"/>
    <d v="1899-12-30T03:46:00"/>
    <n v="43"/>
    <n v="36"/>
    <n v="0"/>
    <n v="0"/>
    <n v="0"/>
    <n v="0"/>
    <n v="0"/>
    <n v="0"/>
    <s v="--"/>
    <s v="--"/>
    <d v="1899-12-31T03:06:00"/>
    <d v="1899-12-30T00:00:00"/>
    <n v="0"/>
    <d v="1899-12-30T00:00:00"/>
    <s v="Não"/>
    <s v="00:53.56"/>
    <n v="23"/>
    <n v="0"/>
    <d v="1899-12-30T00:26:27"/>
    <d v="1899-12-30T00:27:06"/>
    <n v="17"/>
    <n v="26"/>
  </r>
  <r>
    <x v="2"/>
    <d v="2020-01-06T19:11:51"/>
    <s v="false"/>
    <s v="Blumenau Correr"/>
    <n v="0.63"/>
    <n v="45"/>
    <d v="1899-12-30T00:03:45"/>
    <s v="--"/>
    <s v="--"/>
    <s v="--"/>
    <s v="--"/>
    <s v="--"/>
    <d v="1899-12-30T05:59:00"/>
    <d v="1899-12-30T05:10:00"/>
    <n v="2"/>
    <s v="--"/>
    <n v="0"/>
    <n v="0"/>
    <n v="0"/>
    <n v="0"/>
    <n v="0"/>
    <n v="0"/>
    <s v="--"/>
    <s v="--"/>
    <d v="1899-12-30T00:03:45"/>
    <d v="1899-12-30T00:00:00"/>
    <n v="0"/>
    <d v="1899-12-30T00:00:00"/>
    <s v="Não"/>
    <s v="00:00.00"/>
    <n v="1"/>
    <n v="0"/>
    <d v="1899-12-30T00:03:45"/>
    <d v="1899-12-30T00:03:45"/>
    <n v="17"/>
    <n v="21"/>
  </r>
  <r>
    <x v="2"/>
    <d v="2019-12-02T18:16:17"/>
    <s v="false"/>
    <s v="Blumenau Correr"/>
    <n v="8"/>
    <n v="567"/>
    <d v="1899-12-30T00:48:43"/>
    <s v="--"/>
    <s v="--"/>
    <s v="--"/>
    <s v="--"/>
    <s v="--"/>
    <d v="1899-12-30T06:05:00"/>
    <d v="1899-12-30T04:38:00"/>
    <n v="26"/>
    <n v="30"/>
    <n v="0"/>
    <n v="0"/>
    <n v="0"/>
    <n v="0"/>
    <n v="0"/>
    <n v="0"/>
    <s v="--"/>
    <s v="--"/>
    <d v="1900-01-01T00:43:00"/>
    <d v="1899-12-30T00:00:00"/>
    <n v="0"/>
    <d v="1899-12-30T00:00:00"/>
    <s v="Não"/>
    <s v="02:02.08"/>
    <n v="11"/>
    <n v="0"/>
    <d v="1899-12-30T00:48:41"/>
    <d v="1899-12-30T00:48:43"/>
    <n v="12"/>
    <n v="29"/>
  </r>
  <r>
    <x v="2"/>
    <d v="2019-11-20T20:08:06"/>
    <s v="false"/>
    <s v="Blumenau Correr"/>
    <n v="4"/>
    <n v="292"/>
    <d v="1899-12-30T00:22:08"/>
    <s v="--"/>
    <s v="--"/>
    <s v="--"/>
    <s v="--"/>
    <s v="--"/>
    <d v="1899-12-30T05:32:00"/>
    <d v="1899-12-30T05:08:00"/>
    <n v="44"/>
    <n v="42"/>
    <n v="0"/>
    <n v="0"/>
    <n v="0"/>
    <n v="0"/>
    <n v="0"/>
    <n v="0"/>
    <s v="--"/>
    <s v="--"/>
    <d v="1899-12-30T22:08:00"/>
    <d v="1899-12-30T00:00:00"/>
    <n v="0"/>
    <d v="1899-12-30T00:00:00"/>
    <s v="Não"/>
    <s v="00:00.00"/>
    <n v="1"/>
    <n v="0"/>
    <d v="1899-12-30T00:22:08"/>
    <d v="1899-12-30T00:22:08"/>
    <n v="17"/>
    <n v="27"/>
  </r>
  <r>
    <x v="2"/>
    <d v="2019-11-13T20:11:10"/>
    <s v="false"/>
    <s v="Blumenau Correr"/>
    <n v="5"/>
    <n v="360"/>
    <d v="1899-12-30T00:26:25"/>
    <s v="--"/>
    <s v="--"/>
    <s v="--"/>
    <s v="--"/>
    <s v="--"/>
    <d v="1899-12-30T05:17:00"/>
    <d v="1899-12-30T04:42:00"/>
    <n v="51"/>
    <n v="44"/>
    <n v="0"/>
    <n v="0"/>
    <n v="0"/>
    <n v="0"/>
    <n v="0"/>
    <n v="0"/>
    <s v="--"/>
    <s v="--"/>
    <d v="1899-12-31T02:25:00"/>
    <d v="1899-12-30T00:00:00"/>
    <n v="0"/>
    <d v="1899-12-30T00:00:00"/>
    <s v="Não"/>
    <s v="00:00.77"/>
    <n v="6"/>
    <n v="0"/>
    <d v="1899-12-30T00:26:24"/>
    <d v="1899-12-30T00:26:25"/>
    <n v="17"/>
    <n v="26"/>
  </r>
  <r>
    <x v="2"/>
    <d v="2019-11-12T22:06:05"/>
    <s v="false"/>
    <s v="Correr"/>
    <n v="0"/>
    <s v="--"/>
    <d v="1899-12-30T00:56:46"/>
    <s v="--"/>
    <s v="--"/>
    <s v="--"/>
    <s v="--"/>
    <s v="--"/>
    <s v="--"/>
    <s v="--"/>
    <s v="--"/>
    <s v="--"/>
    <n v="0"/>
    <n v="0"/>
    <n v="0"/>
    <n v="0"/>
    <n v="0"/>
    <n v="0"/>
    <s v="--"/>
    <s v="--"/>
    <d v="1900-01-01T08:46:00"/>
    <d v="1899-12-30T00:00:00"/>
    <n v="0"/>
    <d v="1899-12-30T00:00:00"/>
    <s v="Não"/>
    <s v="00:00.00"/>
    <n v="1"/>
    <n v="0"/>
    <d v="1899-12-30T00:00:00"/>
    <d v="1899-12-30T00:56:46"/>
    <s v="--"/>
    <s v="--"/>
  </r>
  <r>
    <x v="2"/>
    <d v="2019-11-11T20:13:32"/>
    <s v="false"/>
    <s v="Blumenau Correr"/>
    <n v="6"/>
    <n v="437"/>
    <d v="1899-12-30T00:34:36"/>
    <s v="--"/>
    <s v="--"/>
    <s v="--"/>
    <s v="--"/>
    <s v="--"/>
    <d v="1899-12-30T05:46:00"/>
    <d v="1899-12-30T04:55:00"/>
    <n v="70"/>
    <n v="67"/>
    <n v="0"/>
    <n v="0"/>
    <n v="0"/>
    <n v="0"/>
    <n v="0"/>
    <n v="0"/>
    <s v="--"/>
    <s v="--"/>
    <d v="1899-12-31T10:36:00"/>
    <d v="1899-12-30T00:00:00"/>
    <n v="0"/>
    <d v="1899-12-30T00:00:00"/>
    <s v="Não"/>
    <s v="00:00.81"/>
    <n v="8"/>
    <n v="0"/>
    <d v="1899-12-30T00:34:36"/>
    <d v="1899-12-30T00:34:36"/>
    <n v="15"/>
    <n v="27"/>
  </r>
  <r>
    <x v="2"/>
    <d v="2019-11-08T19:33:01"/>
    <s v="false"/>
    <s v="Blumenau Corrida"/>
    <n v="0.97"/>
    <n v="65"/>
    <d v="1899-12-30T00:04:56"/>
    <s v="--"/>
    <s v="--"/>
    <s v="--"/>
    <n v="151"/>
    <n v="173"/>
    <d v="1899-12-30T05:06:00"/>
    <d v="1899-12-30T02:24:00"/>
    <s v="--"/>
    <s v="--"/>
    <n v="1.3"/>
    <n v="0"/>
    <n v="0"/>
    <n v="0"/>
    <n v="0"/>
    <n v="0"/>
    <s v="--"/>
    <s v="--"/>
    <d v="1899-12-30T00:04:56"/>
    <d v="1899-12-30T00:00:00"/>
    <n v="0"/>
    <d v="1899-12-30T00:00:00"/>
    <s v="Não"/>
    <s v="00:00.00"/>
    <n v="1"/>
    <n v="0"/>
    <d v="1899-12-30T00:04:30"/>
    <d v="1899-12-30T00:05:02"/>
    <n v="11"/>
    <n v="13"/>
  </r>
  <r>
    <x v="2"/>
    <d v="2019-11-08T19:16:29"/>
    <s v="false"/>
    <s v="Blumenau Corrida"/>
    <n v="2.31"/>
    <n v="172"/>
    <d v="1899-12-30T00:11:05"/>
    <s v="--"/>
    <s v="--"/>
    <s v="--"/>
    <n v="169"/>
    <n v="177"/>
    <d v="1899-12-30T04:47:00"/>
    <d v="1899-12-30T03:57:00"/>
    <s v="--"/>
    <s v="--"/>
    <n v="1.24"/>
    <n v="0"/>
    <n v="0"/>
    <n v="0"/>
    <n v="0"/>
    <n v="0"/>
    <s v="--"/>
    <s v="--"/>
    <d v="1899-12-30T11:05:00"/>
    <d v="1899-12-30T00:00:00"/>
    <n v="0"/>
    <d v="1899-12-30T00:00:00"/>
    <s v="Não"/>
    <s v="01:41.76"/>
    <n v="3"/>
    <n v="0"/>
    <d v="1899-12-30T00:10:58"/>
    <d v="1899-12-30T00:14:25"/>
    <n v="11"/>
    <n v="13"/>
  </r>
  <r>
    <x v="2"/>
    <d v="2019-11-08T19:06:10"/>
    <s v="false"/>
    <s v="Blumenau Corrida"/>
    <n v="1.02"/>
    <n v="73"/>
    <d v="1899-12-30T00:05:51"/>
    <s v="--"/>
    <s v="--"/>
    <s v="--"/>
    <n v="159"/>
    <n v="164"/>
    <d v="1899-12-30T05:45:00"/>
    <d v="1899-12-30T05:31:00"/>
    <s v="--"/>
    <s v="--"/>
    <n v="1.0900000000000001"/>
    <n v="0"/>
    <n v="0"/>
    <n v="0"/>
    <n v="0"/>
    <n v="0"/>
    <s v="--"/>
    <s v="--"/>
    <d v="1899-12-30T00:05:51"/>
    <d v="1899-12-30T00:00:00"/>
    <n v="0"/>
    <d v="1899-12-30T00:00:00"/>
    <s v="Não"/>
    <s v="00:06.54"/>
    <n v="2"/>
    <n v="0"/>
    <d v="1899-12-30T00:05:50"/>
    <d v="1899-12-30T00:05:51"/>
    <n v="10"/>
    <n v="13"/>
  </r>
  <r>
    <x v="2"/>
    <d v="2019-11-06T18:03:39"/>
    <s v="false"/>
    <s v="Blumenau Corrida"/>
    <n v="2.34"/>
    <n v="79"/>
    <d v="1899-12-30T00:11:26"/>
    <s v="--"/>
    <s v="--"/>
    <s v="--"/>
    <n v="173"/>
    <n v="185"/>
    <d v="1899-12-30T04:53:00"/>
    <d v="1899-12-30T02:49:00"/>
    <s v="--"/>
    <s v="--"/>
    <n v="1.19"/>
    <n v="0"/>
    <n v="0"/>
    <n v="0"/>
    <n v="0"/>
    <n v="0"/>
    <s v="--"/>
    <s v="--"/>
    <d v="1899-12-30T11:26:00"/>
    <d v="1899-12-30T00:00:00"/>
    <n v="0"/>
    <d v="1899-12-30T00:00:00"/>
    <s v="Não"/>
    <s v="01:43.26"/>
    <n v="3"/>
    <n v="0"/>
    <d v="1899-12-30T00:10:41"/>
    <d v="1899-12-30T00:12:00"/>
    <n v="11"/>
    <n v="13"/>
  </r>
  <r>
    <x v="2"/>
    <d v="2019-11-06T18:01:54"/>
    <s v="false"/>
    <s v="Blumenau Corrida"/>
    <n v="0.16"/>
    <s v="--"/>
    <d v="1899-12-30T00:00:52"/>
    <s v="--"/>
    <s v="--"/>
    <s v="--"/>
    <n v="118"/>
    <n v="118"/>
    <d v="1899-12-30T05:20:00"/>
    <s v="--"/>
    <s v="--"/>
    <s v="--"/>
    <n v="1.59"/>
    <n v="0"/>
    <n v="0"/>
    <n v="0"/>
    <n v="0"/>
    <n v="0"/>
    <s v="--"/>
    <s v="--"/>
    <d v="1899-12-30T00:00:52"/>
    <d v="1899-12-30T00:00:00"/>
    <n v="0"/>
    <d v="1899-12-30T00:00:00"/>
    <s v="Não"/>
    <s v="00:00.00"/>
    <n v="1"/>
    <n v="0"/>
    <d v="1899-12-30T00:00:00"/>
    <d v="1899-12-30T00:00:57"/>
    <n v="11"/>
    <n v="13"/>
  </r>
  <r>
    <x v="2"/>
    <d v="2019-11-06T17:53:13"/>
    <s v="false"/>
    <s v="Blumenau Corrida"/>
    <n v="0.4"/>
    <n v="14"/>
    <d v="1899-12-30T00:02:19"/>
    <s v="--"/>
    <s v="--"/>
    <s v="--"/>
    <n v="157"/>
    <n v="171"/>
    <d v="1899-12-30T05:50:00"/>
    <d v="1899-12-30T04:59:00"/>
    <s v="--"/>
    <s v="--"/>
    <n v="1.0900000000000001"/>
    <n v="0"/>
    <n v="0"/>
    <n v="0"/>
    <n v="0"/>
    <n v="0"/>
    <s v="--"/>
    <s v="--"/>
    <d v="1899-12-30T00:02:19"/>
    <d v="1899-12-30T00:00:00"/>
    <n v="0"/>
    <d v="1899-12-30T00:00:00"/>
    <s v="Não"/>
    <s v="00:00.00"/>
    <n v="1"/>
    <n v="0"/>
    <d v="1899-12-30T00:02:19"/>
    <d v="1899-12-30T00:02:19"/>
    <n v="11"/>
    <n v="13"/>
  </r>
  <r>
    <x v="2"/>
    <d v="2019-11-05T17:47:59"/>
    <s v="false"/>
    <s v="Blumenau Corrida"/>
    <n v="5.09"/>
    <n v="186"/>
    <d v="1899-12-30T00:30:03"/>
    <s v="--"/>
    <s v="--"/>
    <s v="--"/>
    <n v="164"/>
    <n v="171"/>
    <d v="1899-12-30T05:54:00"/>
    <d v="1899-12-30T04:31:00"/>
    <n v="1"/>
    <n v="1"/>
    <n v="1.03"/>
    <n v="0"/>
    <n v="0"/>
    <n v="0"/>
    <n v="0"/>
    <n v="0"/>
    <s v="--"/>
    <s v="--"/>
    <d v="1899-12-31T06:03:00"/>
    <d v="1899-12-30T00:00:00"/>
    <n v="0"/>
    <d v="1899-12-30T00:00:00"/>
    <s v="Não"/>
    <s v="00:34.37"/>
    <n v="6"/>
    <n v="0"/>
    <d v="1899-12-30T00:30:02"/>
    <d v="1899-12-30T00:30:03"/>
    <n v="10"/>
    <n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B6319A-1976-4209-9C0C-59A495AE184A}" name="Tabela dinâmica45" cacheId="32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1:B5" firstHeaderRow="1" firstDataRow="1" firstDataCol="1"/>
  <pivotFields count="38">
    <pivotField showAll="0"/>
    <pivotField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0" showAll="0"/>
    <pivotField showAll="0"/>
    <pivotField numFmtId="2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</pivotFields>
  <rowFields count="1">
    <field x="37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oma de Tempo" fld="6" baseField="37" baseItem="1" numFmtId="172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0DF0B3-3AB7-4C0C-B80C-15E0318AFE5F}" name="Tabela dinâmica44" cacheId="32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1:B5" firstHeaderRow="1" firstDataRow="1" firstDataCol="1"/>
  <pivotFields count="38">
    <pivotField showAll="0"/>
    <pivotField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0" showAll="0"/>
    <pivotField showAll="0"/>
    <pivotField numFmtId="2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</pivotFields>
  <rowFields count="1">
    <field x="37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oma de Distância" fld="4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BADCE1-BEE7-430B-9936-A3F117881E47}" name="Tabela dinâmica43" cacheId="32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1:B5" firstHeaderRow="1" firstDataRow="1" firstDataCol="1"/>
  <pivotFields count="38">
    <pivotField showAll="0"/>
    <pivotField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0" showAll="0"/>
    <pivotField showAll="0"/>
    <pivotField numFmtId="2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1">
    <field x="37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oma de Calorias" fld="5" baseField="37" baseItem="1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B8199-CCF6-4026-8756-C45157E761C4}" name="Tabela dinâmica40" cacheId="32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1:B5" firstHeaderRow="1" firstDataRow="1" firstDataCol="1"/>
  <pivotFields count="38">
    <pivotField showAll="0"/>
    <pivotField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0" showAll="0"/>
    <pivotField showAll="0"/>
    <pivotField numFmtId="2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1">
    <field x="37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Média de FC Média" fld="7" subtotal="average" baseField="37" baseItem="1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753E35-E80C-4292-A536-57C09F5D4E06}" name="Tabela dinâmica36" cacheId="32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2">
  <location ref="A1:B4" firstHeaderRow="1" firstDataRow="1" firstDataCol="1"/>
  <pivotFields count="38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6">
        <item sd="0" x="0"/>
        <item sd="0" x="1"/>
        <item sd="0" x="2"/>
        <item sd="0" x="3"/>
        <item sd="0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7"/>
  </rowFields>
  <rowItems count="3">
    <i>
      <x v="1"/>
    </i>
    <i>
      <x v="2"/>
    </i>
    <i>
      <x v="3"/>
    </i>
  </rowItems>
  <colItems count="1">
    <i/>
  </colItems>
  <dataFields count="1">
    <dataField name="Contagem de Tipo de atividade" fld="0" subtotal="count" baseField="0" baseItem="0"/>
  </dataFields>
  <chartFormats count="1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998F5C-5CEE-44CB-86D7-AA46EC35405D}" name="Tabela dinâmica9" cacheId="35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2">
  <location ref="A1:B5" firstHeaderRow="1" firstDataRow="1" firstDataCol="1"/>
  <pivotFields count="36">
    <pivotField axis="axisRow" dataField="1" compact="0" outline="0" showAll="0" defaultSubtotal="0">
      <items count="5">
        <item x="1"/>
        <item x="2"/>
        <item x="3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4">
    <i>
      <x/>
    </i>
    <i>
      <x v="1"/>
    </i>
    <i>
      <x v="2"/>
    </i>
    <i>
      <x v="3"/>
    </i>
  </rowItems>
  <colItems count="1">
    <i/>
  </colItems>
  <dataFields count="1">
    <dataField name="Contagem de Tipo de atividade" fld="0" subtotal="count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8AF3C-4CF1-49C9-9B41-998D4CED9384}" name="Tabela dinâmica16" cacheId="35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2">
  <location ref="A1:B5" firstHeaderRow="1" firstDataRow="1" firstDataCol="1"/>
  <pivotFields count="36">
    <pivotField axis="axisRow" compact="0" outline="0" showAll="0" defaultSubtotal="0">
      <items count="5">
        <item x="1"/>
        <item x="2"/>
        <item x="3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4">
    <i>
      <x/>
    </i>
    <i>
      <x v="1"/>
    </i>
    <i>
      <x v="2"/>
    </i>
    <i>
      <x v="3"/>
    </i>
  </rowItems>
  <colItems count="1">
    <i/>
  </colItems>
  <dataFields count="1">
    <dataField name="Soma de Distância" fld="4" baseField="0" baseItem="0"/>
  </dataField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CBF711-0D77-4CE6-8808-FD33D4904E09}" name="Tabela dinâmica21" cacheId="347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2">
  <location ref="A1:B5" firstHeaderRow="1" firstDataRow="1" firstDataCol="1"/>
  <pivotFields count="36">
    <pivotField axis="axisRow" compact="0" outline="0" showAll="0" defaultSubtotal="0">
      <items count="5">
        <item x="1"/>
        <item x="2"/>
        <item x="3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4">
    <i>
      <x/>
    </i>
    <i>
      <x v="1"/>
    </i>
    <i>
      <x v="2"/>
    </i>
    <i>
      <x v="3"/>
    </i>
  </rowItems>
  <colItems count="1">
    <i/>
  </colItems>
  <dataFields count="1">
    <dataField name="Soma de Calorias" fld="5" baseField="0" baseItem="0"/>
  </dataFields>
  <chartFormats count="1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BD22D1-3999-4B6A-A6D2-ACA84E3F421E}" name="Tabela dinâmica26" cacheId="34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2">
  <location ref="A1:B5" firstHeaderRow="1" firstDataRow="1" firstDataCol="1"/>
  <pivotFields count="36">
    <pivotField axis="axisRow" compact="0" outline="0" showAll="0" defaultSubtotal="0">
      <items count="5">
        <item x="1"/>
        <item x="2"/>
        <item x="3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4">
    <i>
      <x/>
    </i>
    <i>
      <x v="1"/>
    </i>
    <i>
      <x v="2"/>
    </i>
    <i>
      <x v="3"/>
    </i>
  </rowItems>
  <colItems count="1">
    <i/>
  </colItems>
  <dataFields count="1">
    <dataField name="Soma de Tempo" fld="6" baseField="0" baseItem="0" numFmtId="172"/>
  </dataFields>
  <chartFormats count="5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A9ECC-C766-4BA6-888D-DB0ADFFBDDFD}" name="Tabela dinâmica31" cacheId="34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2">
  <location ref="A1:B5" firstHeaderRow="1" firstDataRow="1" firstDataCol="1"/>
  <pivotFields count="36">
    <pivotField axis="axisRow" compact="0" outline="0" showAll="0" defaultSubtotal="0">
      <items count="5">
        <item x="1"/>
        <item x="2"/>
        <item x="3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4">
    <i>
      <x/>
    </i>
    <i>
      <x v="1"/>
    </i>
    <i>
      <x v="2"/>
    </i>
    <i>
      <x v="3"/>
    </i>
  </rowItems>
  <colItems count="1">
    <i/>
  </colItems>
  <dataFields count="1">
    <dataField name="Média de FC Média" fld="7" subtotal="average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tivities" connectionId="1" xr16:uid="{AF1B95D6-93B7-4C3C-B08B-815E687F6061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J241"/>
  <sheetViews>
    <sheetView workbookViewId="0"/>
  </sheetViews>
  <sheetFormatPr defaultRowHeight="15" x14ac:dyDescent="0.25"/>
  <cols>
    <col min="1" max="1" width="17.5703125" bestFit="1" customWidth="1"/>
    <col min="2" max="2" width="15.85546875" bestFit="1" customWidth="1"/>
    <col min="3" max="3" width="8.28515625" bestFit="1" customWidth="1"/>
    <col min="4" max="4" width="53.140625" bestFit="1" customWidth="1"/>
    <col min="5" max="5" width="9" bestFit="1" customWidth="1"/>
    <col min="6" max="6" width="8" bestFit="1" customWidth="1"/>
    <col min="7" max="7" width="8.140625" bestFit="1" customWidth="1"/>
    <col min="9" max="9" width="10.5703125" bestFit="1" customWidth="1"/>
    <col min="10" max="10" width="22.5703125" bestFit="1" customWidth="1"/>
    <col min="11" max="11" width="24.7109375" bestFit="1" customWidth="1"/>
    <col min="12" max="12" width="26.28515625" bestFit="1" customWidth="1"/>
    <col min="13" max="13" width="17.28515625" bestFit="1" customWidth="1"/>
    <col min="14" max="14" width="18.7109375" bestFit="1" customWidth="1"/>
    <col min="15" max="15" width="18" bestFit="1" customWidth="1"/>
    <col min="16" max="16" width="17.28515625" bestFit="1" customWidth="1"/>
    <col min="17" max="17" width="30.140625" bestFit="1" customWidth="1"/>
    <col min="18" max="18" width="26.28515625" bestFit="1" customWidth="1"/>
    <col min="19" max="19" width="22.7109375" bestFit="1" customWidth="1"/>
    <col min="20" max="20" width="20.5703125" bestFit="1" customWidth="1"/>
    <col min="21" max="21" width="13.7109375" bestFit="1" customWidth="1"/>
    <col min="22" max="22" width="5.85546875" bestFit="1" customWidth="1"/>
    <col min="23" max="23" width="18.28515625" bestFit="1" customWidth="1"/>
    <col min="24" max="24" width="17.5703125" bestFit="1" customWidth="1"/>
    <col min="25" max="25" width="18.140625" bestFit="1" customWidth="1"/>
    <col min="26" max="26" width="15.7109375" bestFit="1" customWidth="1"/>
    <col min="27" max="27" width="13.140625" bestFit="1" customWidth="1"/>
    <col min="28" max="28" width="21.140625" bestFit="1" customWidth="1"/>
    <col min="29" max="29" width="15" bestFit="1" customWidth="1"/>
    <col min="30" max="30" width="21.85546875" bestFit="1" customWidth="1"/>
    <col min="31" max="31" width="16.85546875" bestFit="1" customWidth="1"/>
    <col min="32" max="32" width="13.5703125" bestFit="1" customWidth="1"/>
    <col min="33" max="33" width="21.5703125" bestFit="1" customWidth="1"/>
    <col min="34" max="34" width="8.140625" bestFit="1" customWidth="1"/>
    <col min="35" max="35" width="15.85546875" bestFit="1" customWidth="1"/>
    <col min="36" max="36" width="16.28515625" bestFit="1" customWidth="1"/>
  </cols>
  <sheetData>
    <row r="1" spans="1:36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7" t="s">
        <v>20</v>
      </c>
      <c r="V1" s="7" t="s">
        <v>21</v>
      </c>
      <c r="W1" s="7" t="s">
        <v>22</v>
      </c>
      <c r="X1" s="7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D1" s="7" t="s">
        <v>29</v>
      </c>
      <c r="AE1" s="7" t="s">
        <v>30</v>
      </c>
      <c r="AF1" s="7" t="s">
        <v>31</v>
      </c>
      <c r="AG1" s="7" t="s">
        <v>32</v>
      </c>
      <c r="AH1" s="7" t="s">
        <v>33</v>
      </c>
      <c r="AI1" s="7" t="s">
        <v>34</v>
      </c>
      <c r="AJ1" s="7" t="s">
        <v>35</v>
      </c>
    </row>
    <row r="2" spans="1:36" x14ac:dyDescent="0.25">
      <c r="A2" t="s">
        <v>36</v>
      </c>
      <c r="B2" s="1">
        <v>44396.284513888888</v>
      </c>
      <c r="C2" t="s">
        <v>37</v>
      </c>
      <c r="D2" t="s">
        <v>38</v>
      </c>
      <c r="E2">
        <v>0</v>
      </c>
      <c r="F2">
        <v>170</v>
      </c>
      <c r="G2" s="2">
        <v>2.5138888888888891E-2</v>
      </c>
      <c r="H2">
        <v>107</v>
      </c>
      <c r="I2">
        <v>152</v>
      </c>
      <c r="J2">
        <v>1.1000000000000001</v>
      </c>
      <c r="K2" t="s">
        <v>39</v>
      </c>
      <c r="L2" t="s">
        <v>39</v>
      </c>
      <c r="M2" t="s">
        <v>39</v>
      </c>
      <c r="N2" t="s">
        <v>39</v>
      </c>
      <c r="O2" t="s">
        <v>39</v>
      </c>
      <c r="P2" t="s">
        <v>39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166</v>
      </c>
      <c r="X2">
        <v>20</v>
      </c>
      <c r="Y2" s="3">
        <v>1.5083333333333335</v>
      </c>
      <c r="Z2" s="4">
        <v>0</v>
      </c>
      <c r="AA2">
        <v>0</v>
      </c>
      <c r="AB2" s="4">
        <v>0</v>
      </c>
      <c r="AC2" t="s">
        <v>40</v>
      </c>
      <c r="AD2" t="s">
        <v>41</v>
      </c>
      <c r="AE2">
        <v>1</v>
      </c>
      <c r="AF2">
        <v>0</v>
      </c>
      <c r="AG2" s="2">
        <v>1.3090277777777779E-2</v>
      </c>
      <c r="AH2" s="2">
        <v>2.5138888888888891E-2</v>
      </c>
      <c r="AI2" t="s">
        <v>39</v>
      </c>
      <c r="AJ2" t="s">
        <v>39</v>
      </c>
    </row>
    <row r="3" spans="1:36" x14ac:dyDescent="0.25">
      <c r="A3" t="s">
        <v>42</v>
      </c>
      <c r="B3" s="1">
        <v>44395.359930555554</v>
      </c>
      <c r="C3" t="s">
        <v>37</v>
      </c>
      <c r="D3" t="s">
        <v>43</v>
      </c>
      <c r="E3">
        <v>18.04</v>
      </c>
      <c r="F3">
        <v>636</v>
      </c>
      <c r="G3" s="2">
        <v>8.5925925925925919E-2</v>
      </c>
      <c r="H3">
        <v>116</v>
      </c>
      <c r="I3">
        <v>163</v>
      </c>
      <c r="J3">
        <v>2.2000000000000002</v>
      </c>
      <c r="K3" t="s">
        <v>39</v>
      </c>
      <c r="L3" t="s">
        <v>39</v>
      </c>
      <c r="M3">
        <v>8.6999999999999993</v>
      </c>
      <c r="N3">
        <v>24.6</v>
      </c>
      <c r="O3">
        <v>142</v>
      </c>
      <c r="P3">
        <v>145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39</v>
      </c>
      <c r="X3" t="s">
        <v>39</v>
      </c>
      <c r="Y3" s="2">
        <v>8.5925925925925919E-2</v>
      </c>
      <c r="Z3" s="4">
        <v>0</v>
      </c>
      <c r="AA3">
        <v>0</v>
      </c>
      <c r="AB3" s="4">
        <v>0</v>
      </c>
      <c r="AC3" t="s">
        <v>40</v>
      </c>
      <c r="AD3" t="s">
        <v>44</v>
      </c>
      <c r="AE3">
        <v>4</v>
      </c>
      <c r="AF3">
        <v>0</v>
      </c>
      <c r="AG3" s="2">
        <v>6.2442129629629632E-2</v>
      </c>
      <c r="AH3" s="2">
        <v>8.5925925925925919E-2</v>
      </c>
      <c r="AI3">
        <v>3</v>
      </c>
      <c r="AJ3">
        <v>41</v>
      </c>
    </row>
    <row r="4" spans="1:36" x14ac:dyDescent="0.25">
      <c r="A4" t="s">
        <v>45</v>
      </c>
      <c r="B4" s="1">
        <v>44394.30064814815</v>
      </c>
      <c r="C4" t="s">
        <v>37</v>
      </c>
      <c r="D4" t="s">
        <v>46</v>
      </c>
      <c r="E4">
        <v>6.05</v>
      </c>
      <c r="F4">
        <v>602</v>
      </c>
      <c r="G4" s="2">
        <v>3.4479166666666665E-2</v>
      </c>
      <c r="H4">
        <v>176</v>
      </c>
      <c r="I4">
        <v>218</v>
      </c>
      <c r="J4">
        <v>4.5999999999999996</v>
      </c>
      <c r="K4">
        <v>113</v>
      </c>
      <c r="L4">
        <v>243</v>
      </c>
      <c r="M4" s="4">
        <v>0.34236111111111112</v>
      </c>
      <c r="N4" s="4">
        <v>0.17222222222222225</v>
      </c>
      <c r="O4">
        <v>293</v>
      </c>
      <c r="P4">
        <v>294</v>
      </c>
      <c r="Q4">
        <v>1.01</v>
      </c>
      <c r="R4">
        <v>0</v>
      </c>
      <c r="S4">
        <v>0</v>
      </c>
      <c r="T4">
        <v>0</v>
      </c>
      <c r="U4">
        <v>0</v>
      </c>
      <c r="V4">
        <v>0</v>
      </c>
      <c r="W4" t="s">
        <v>39</v>
      </c>
      <c r="X4" t="s">
        <v>39</v>
      </c>
      <c r="Y4" s="3">
        <v>2.0687500000000001</v>
      </c>
      <c r="Z4" s="4">
        <v>0</v>
      </c>
      <c r="AA4">
        <v>0</v>
      </c>
      <c r="AB4" s="4">
        <v>0</v>
      </c>
      <c r="AC4" t="s">
        <v>40</v>
      </c>
      <c r="AD4" t="s">
        <v>47</v>
      </c>
      <c r="AE4">
        <v>8</v>
      </c>
      <c r="AF4">
        <v>0</v>
      </c>
      <c r="AG4" s="2">
        <v>2.9282407407407406E-2</v>
      </c>
      <c r="AH4" s="2">
        <v>3.4479166666666665E-2</v>
      </c>
      <c r="AI4">
        <v>84</v>
      </c>
      <c r="AJ4">
        <v>380</v>
      </c>
    </row>
    <row r="5" spans="1:36" x14ac:dyDescent="0.25">
      <c r="A5" t="s">
        <v>36</v>
      </c>
      <c r="B5" s="1">
        <v>44390.289004629631</v>
      </c>
      <c r="C5" t="s">
        <v>37</v>
      </c>
      <c r="D5" t="s">
        <v>38</v>
      </c>
      <c r="E5">
        <v>0</v>
      </c>
      <c r="F5">
        <v>219</v>
      </c>
      <c r="G5" s="2">
        <v>2.614583333333333E-2</v>
      </c>
      <c r="H5">
        <v>117</v>
      </c>
      <c r="I5">
        <v>160</v>
      </c>
      <c r="J5">
        <v>1.7</v>
      </c>
      <c r="K5" t="s">
        <v>39</v>
      </c>
      <c r="L5" t="s">
        <v>39</v>
      </c>
      <c r="M5" t="s">
        <v>39</v>
      </c>
      <c r="N5" t="s">
        <v>39</v>
      </c>
      <c r="O5" t="s">
        <v>39</v>
      </c>
      <c r="P5" t="s">
        <v>39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159</v>
      </c>
      <c r="X5">
        <v>20</v>
      </c>
      <c r="Y5" s="3">
        <v>1.5687499999999999</v>
      </c>
      <c r="Z5" s="4">
        <v>0</v>
      </c>
      <c r="AA5">
        <v>0</v>
      </c>
      <c r="AB5" s="4">
        <v>0</v>
      </c>
      <c r="AC5" t="s">
        <v>40</v>
      </c>
      <c r="AD5" t="s">
        <v>48</v>
      </c>
      <c r="AE5">
        <v>1</v>
      </c>
      <c r="AF5">
        <v>0</v>
      </c>
      <c r="AG5" s="2">
        <v>1.2962962962962963E-2</v>
      </c>
      <c r="AH5" s="2">
        <v>2.614583333333333E-2</v>
      </c>
      <c r="AI5" t="s">
        <v>39</v>
      </c>
      <c r="AJ5" t="s">
        <v>39</v>
      </c>
    </row>
    <row r="6" spans="1:36" x14ac:dyDescent="0.25">
      <c r="A6" t="s">
        <v>45</v>
      </c>
      <c r="B6" s="1">
        <v>44389.278287037036</v>
      </c>
      <c r="C6" t="s">
        <v>37</v>
      </c>
      <c r="D6" t="s">
        <v>49</v>
      </c>
      <c r="E6">
        <v>5.91</v>
      </c>
      <c r="F6">
        <v>396</v>
      </c>
      <c r="G6" s="2">
        <v>2.7789351851851853E-2</v>
      </c>
      <c r="H6">
        <v>153</v>
      </c>
      <c r="I6">
        <v>189</v>
      </c>
      <c r="J6">
        <v>3.2</v>
      </c>
      <c r="K6">
        <v>137</v>
      </c>
      <c r="L6">
        <v>181</v>
      </c>
      <c r="M6" s="4">
        <v>0.28194444444444444</v>
      </c>
      <c r="N6" s="4">
        <v>0.16111111111111112</v>
      </c>
      <c r="O6">
        <v>36</v>
      </c>
      <c r="P6">
        <v>36</v>
      </c>
      <c r="Q6">
        <v>1.06</v>
      </c>
      <c r="R6">
        <v>0</v>
      </c>
      <c r="S6">
        <v>0</v>
      </c>
      <c r="T6">
        <v>0</v>
      </c>
      <c r="U6">
        <v>0</v>
      </c>
      <c r="V6">
        <v>0</v>
      </c>
      <c r="W6" t="s">
        <v>39</v>
      </c>
      <c r="X6" t="s">
        <v>39</v>
      </c>
      <c r="Y6" s="3">
        <v>1.6673611111111111</v>
      </c>
      <c r="Z6" s="4">
        <v>0</v>
      </c>
      <c r="AA6">
        <v>0</v>
      </c>
      <c r="AB6" s="4">
        <v>0</v>
      </c>
      <c r="AC6" t="s">
        <v>40</v>
      </c>
      <c r="AD6" t="s">
        <v>50</v>
      </c>
      <c r="AE6">
        <v>8</v>
      </c>
      <c r="AF6">
        <v>0</v>
      </c>
      <c r="AG6" s="2">
        <v>2.7210648148148147E-2</v>
      </c>
      <c r="AH6" s="2">
        <v>2.8321759259259258E-2</v>
      </c>
      <c r="AI6">
        <v>11</v>
      </c>
      <c r="AJ6">
        <v>21</v>
      </c>
    </row>
    <row r="7" spans="1:36" x14ac:dyDescent="0.25">
      <c r="A7" t="s">
        <v>45</v>
      </c>
      <c r="B7" s="1">
        <v>44387.325219907405</v>
      </c>
      <c r="C7" t="s">
        <v>37</v>
      </c>
      <c r="D7" t="s">
        <v>49</v>
      </c>
      <c r="E7">
        <v>16.010000000000002</v>
      </c>
      <c r="F7" s="5">
        <v>1233</v>
      </c>
      <c r="G7" s="2">
        <v>7.256944444444445E-2</v>
      </c>
      <c r="H7">
        <v>174</v>
      </c>
      <c r="I7">
        <v>206</v>
      </c>
      <c r="J7">
        <v>5</v>
      </c>
      <c r="K7">
        <v>150</v>
      </c>
      <c r="L7">
        <v>247</v>
      </c>
      <c r="M7" s="4">
        <v>0.2722222222222222</v>
      </c>
      <c r="N7" s="4">
        <v>0.22569444444444445</v>
      </c>
      <c r="O7">
        <v>305</v>
      </c>
      <c r="P7">
        <v>307</v>
      </c>
      <c r="Q7">
        <v>1.02</v>
      </c>
      <c r="R7">
        <v>0</v>
      </c>
      <c r="S7">
        <v>0</v>
      </c>
      <c r="T7">
        <v>0</v>
      </c>
      <c r="U7">
        <v>0</v>
      </c>
      <c r="V7">
        <v>0</v>
      </c>
      <c r="W7" t="s">
        <v>39</v>
      </c>
      <c r="X7" t="s">
        <v>39</v>
      </c>
      <c r="Y7" s="2">
        <v>7.256944444444445E-2</v>
      </c>
      <c r="Z7" s="4">
        <v>0</v>
      </c>
      <c r="AA7">
        <v>0</v>
      </c>
      <c r="AB7" s="4">
        <v>0</v>
      </c>
      <c r="AC7" t="s">
        <v>40</v>
      </c>
      <c r="AD7" t="s">
        <v>51</v>
      </c>
      <c r="AE7">
        <v>17</v>
      </c>
      <c r="AF7">
        <v>0</v>
      </c>
      <c r="AG7" s="2">
        <v>7.2511574074074062E-2</v>
      </c>
      <c r="AH7" s="2">
        <v>7.256944444444445E-2</v>
      </c>
      <c r="AI7">
        <v>17</v>
      </c>
      <c r="AJ7">
        <v>125</v>
      </c>
    </row>
    <row r="8" spans="1:36" x14ac:dyDescent="0.25">
      <c r="A8" t="s">
        <v>36</v>
      </c>
      <c r="B8" s="1">
        <v>44386.292685185188</v>
      </c>
      <c r="C8" t="s">
        <v>37</v>
      </c>
      <c r="D8" t="s">
        <v>38</v>
      </c>
      <c r="E8">
        <v>0</v>
      </c>
      <c r="F8">
        <v>333</v>
      </c>
      <c r="G8" s="2">
        <v>3.7372685185185189E-2</v>
      </c>
      <c r="H8">
        <v>125</v>
      </c>
      <c r="I8">
        <v>168</v>
      </c>
      <c r="J8">
        <v>2.2000000000000002</v>
      </c>
      <c r="K8" t="s">
        <v>39</v>
      </c>
      <c r="L8" t="s">
        <v>39</v>
      </c>
      <c r="M8" t="s">
        <v>39</v>
      </c>
      <c r="N8" t="s">
        <v>39</v>
      </c>
      <c r="O8" t="s">
        <v>39</v>
      </c>
      <c r="P8" t="s">
        <v>39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265</v>
      </c>
      <c r="X8">
        <v>24</v>
      </c>
      <c r="Y8" s="3">
        <v>2.2423611111111112</v>
      </c>
      <c r="Z8" s="4">
        <v>0</v>
      </c>
      <c r="AA8">
        <v>0</v>
      </c>
      <c r="AB8" s="4">
        <v>0</v>
      </c>
      <c r="AC8" t="s">
        <v>40</v>
      </c>
      <c r="AD8" t="s">
        <v>52</v>
      </c>
      <c r="AE8">
        <v>1</v>
      </c>
      <c r="AF8">
        <v>0</v>
      </c>
      <c r="AG8" s="2">
        <v>2.0347222222222221E-2</v>
      </c>
      <c r="AH8" s="2">
        <v>3.7372685185185189E-2</v>
      </c>
      <c r="AI8" t="s">
        <v>39</v>
      </c>
      <c r="AJ8" t="s">
        <v>39</v>
      </c>
    </row>
    <row r="9" spans="1:36" x14ac:dyDescent="0.25">
      <c r="A9" t="s">
        <v>45</v>
      </c>
      <c r="B9" s="1">
        <v>44385.742731481485</v>
      </c>
      <c r="C9" t="s">
        <v>37</v>
      </c>
      <c r="D9" t="s">
        <v>53</v>
      </c>
      <c r="E9">
        <v>10.01</v>
      </c>
      <c r="F9">
        <v>744</v>
      </c>
      <c r="G9" s="2">
        <v>4.296296296296296E-2</v>
      </c>
      <c r="H9">
        <v>172</v>
      </c>
      <c r="I9">
        <v>188</v>
      </c>
      <c r="J9">
        <v>5</v>
      </c>
      <c r="K9">
        <v>160</v>
      </c>
      <c r="L9">
        <v>168</v>
      </c>
      <c r="M9" s="4">
        <v>0.25763888888888892</v>
      </c>
      <c r="N9" s="4">
        <v>0.21111111111111111</v>
      </c>
      <c r="O9">
        <v>64</v>
      </c>
      <c r="P9">
        <v>78</v>
      </c>
      <c r="Q9">
        <v>1.01</v>
      </c>
      <c r="R9">
        <v>0</v>
      </c>
      <c r="S9">
        <v>0</v>
      </c>
      <c r="T9">
        <v>0</v>
      </c>
      <c r="U9">
        <v>0</v>
      </c>
      <c r="V9">
        <v>0</v>
      </c>
      <c r="W9" t="s">
        <v>39</v>
      </c>
      <c r="X9" t="s">
        <v>39</v>
      </c>
      <c r="Y9" s="2">
        <v>4.296296296296296E-2</v>
      </c>
      <c r="Z9" s="4">
        <v>0</v>
      </c>
      <c r="AA9">
        <v>0</v>
      </c>
      <c r="AB9" s="4">
        <v>0</v>
      </c>
      <c r="AC9" t="s">
        <v>40</v>
      </c>
      <c r="AD9" t="s">
        <v>54</v>
      </c>
      <c r="AE9">
        <v>11</v>
      </c>
      <c r="AF9">
        <v>0</v>
      </c>
      <c r="AG9" s="2">
        <v>4.2858796296296298E-2</v>
      </c>
      <c r="AH9" s="2">
        <v>4.296296296296296E-2</v>
      </c>
      <c r="AI9">
        <v>9</v>
      </c>
      <c r="AJ9">
        <v>49</v>
      </c>
    </row>
    <row r="10" spans="1:36" x14ac:dyDescent="0.25">
      <c r="A10" t="s">
        <v>45</v>
      </c>
      <c r="B10" s="1">
        <v>44380.339074074072</v>
      </c>
      <c r="C10" t="s">
        <v>37</v>
      </c>
      <c r="D10" t="s">
        <v>49</v>
      </c>
      <c r="E10">
        <v>14.12</v>
      </c>
      <c r="F10" s="5">
        <v>1047</v>
      </c>
      <c r="G10" s="2">
        <v>6.2523148148148147E-2</v>
      </c>
      <c r="H10">
        <v>170</v>
      </c>
      <c r="I10">
        <v>201</v>
      </c>
      <c r="J10">
        <v>5</v>
      </c>
      <c r="K10">
        <v>153</v>
      </c>
      <c r="L10">
        <v>244</v>
      </c>
      <c r="M10" s="4">
        <v>0.26597222222222222</v>
      </c>
      <c r="N10" s="4">
        <v>0.23055555555555554</v>
      </c>
      <c r="O10">
        <v>175</v>
      </c>
      <c r="P10">
        <v>177</v>
      </c>
      <c r="Q10">
        <v>1.03</v>
      </c>
      <c r="R10">
        <v>0</v>
      </c>
      <c r="S10">
        <v>0</v>
      </c>
      <c r="T10">
        <v>0</v>
      </c>
      <c r="U10">
        <v>0</v>
      </c>
      <c r="V10">
        <v>0</v>
      </c>
      <c r="W10" t="s">
        <v>39</v>
      </c>
      <c r="X10" t="s">
        <v>39</v>
      </c>
      <c r="Y10" s="2">
        <v>6.2523148148148147E-2</v>
      </c>
      <c r="Z10" s="4">
        <v>0</v>
      </c>
      <c r="AA10">
        <v>0</v>
      </c>
      <c r="AB10" s="4">
        <v>0</v>
      </c>
      <c r="AC10" t="s">
        <v>40</v>
      </c>
      <c r="AD10" t="s">
        <v>55</v>
      </c>
      <c r="AE10">
        <v>15</v>
      </c>
      <c r="AF10">
        <v>0</v>
      </c>
      <c r="AG10" s="2">
        <v>6.2488425925925926E-2</v>
      </c>
      <c r="AH10" s="2">
        <v>6.2523148148148147E-2</v>
      </c>
      <c r="AI10">
        <v>15</v>
      </c>
      <c r="AJ10">
        <v>64</v>
      </c>
    </row>
    <row r="11" spans="1:36" x14ac:dyDescent="0.25">
      <c r="A11" t="s">
        <v>36</v>
      </c>
      <c r="B11" s="1">
        <v>44379.293217592596</v>
      </c>
      <c r="C11" t="s">
        <v>37</v>
      </c>
      <c r="D11" t="s">
        <v>38</v>
      </c>
      <c r="E11">
        <v>0</v>
      </c>
      <c r="F11">
        <v>280</v>
      </c>
      <c r="G11" s="2">
        <v>3.471064814814815E-2</v>
      </c>
      <c r="H11">
        <v>119</v>
      </c>
      <c r="I11">
        <v>168</v>
      </c>
      <c r="J11">
        <v>2.1</v>
      </c>
      <c r="K11" t="s">
        <v>39</v>
      </c>
      <c r="L11" t="s">
        <v>39</v>
      </c>
      <c r="M11" t="s">
        <v>39</v>
      </c>
      <c r="N11" t="s">
        <v>39</v>
      </c>
      <c r="O11" t="s">
        <v>39</v>
      </c>
      <c r="P11" t="s">
        <v>39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236</v>
      </c>
      <c r="X11">
        <v>24</v>
      </c>
      <c r="Y11" s="3">
        <v>2.0826388888888889</v>
      </c>
      <c r="Z11" s="4">
        <v>0</v>
      </c>
      <c r="AA11">
        <v>0</v>
      </c>
      <c r="AB11" s="4">
        <v>0</v>
      </c>
      <c r="AC11" t="s">
        <v>40</v>
      </c>
      <c r="AD11" t="s">
        <v>56</v>
      </c>
      <c r="AE11">
        <v>1</v>
      </c>
      <c r="AF11">
        <v>0</v>
      </c>
      <c r="AG11" s="2">
        <v>1.8229166666666668E-2</v>
      </c>
      <c r="AH11" s="2">
        <v>3.471064814814815E-2</v>
      </c>
      <c r="AI11" t="s">
        <v>39</v>
      </c>
      <c r="AJ11" t="s">
        <v>39</v>
      </c>
    </row>
    <row r="12" spans="1:36" x14ac:dyDescent="0.25">
      <c r="A12" t="s">
        <v>57</v>
      </c>
      <c r="B12" s="1">
        <v>44378.761817129627</v>
      </c>
      <c r="C12" t="s">
        <v>37</v>
      </c>
      <c r="D12" t="s">
        <v>58</v>
      </c>
      <c r="E12">
        <v>8.01</v>
      </c>
      <c r="F12">
        <v>610</v>
      </c>
      <c r="G12" s="2">
        <v>3.6076388888888887E-2</v>
      </c>
      <c r="H12">
        <v>165</v>
      </c>
      <c r="I12">
        <v>176</v>
      </c>
      <c r="J12">
        <v>4.3</v>
      </c>
      <c r="K12">
        <v>157</v>
      </c>
      <c r="L12">
        <v>180</v>
      </c>
      <c r="M12" s="4">
        <v>0.27013888888888887</v>
      </c>
      <c r="N12" s="4">
        <v>0.2298611111111111</v>
      </c>
      <c r="O12" t="s">
        <v>39</v>
      </c>
      <c r="P12" t="s">
        <v>39</v>
      </c>
      <c r="Q12">
        <v>0.98</v>
      </c>
      <c r="R12">
        <v>0</v>
      </c>
      <c r="S12">
        <v>0</v>
      </c>
      <c r="T12">
        <v>0</v>
      </c>
      <c r="U12">
        <v>0</v>
      </c>
      <c r="V12">
        <v>0</v>
      </c>
      <c r="W12" t="s">
        <v>39</v>
      </c>
      <c r="X12" t="s">
        <v>39</v>
      </c>
      <c r="Y12" s="3">
        <v>2.1645833333333333</v>
      </c>
      <c r="Z12" s="4">
        <v>0</v>
      </c>
      <c r="AA12">
        <v>0</v>
      </c>
      <c r="AB12" s="4">
        <v>0</v>
      </c>
      <c r="AC12" t="s">
        <v>40</v>
      </c>
      <c r="AD12" t="s">
        <v>59</v>
      </c>
      <c r="AE12">
        <v>9</v>
      </c>
      <c r="AF12">
        <v>0</v>
      </c>
      <c r="AG12" s="2">
        <v>3.577546296296296E-2</v>
      </c>
      <c r="AH12" s="2">
        <v>3.6076388888888887E-2</v>
      </c>
      <c r="AI12" t="s">
        <v>39</v>
      </c>
      <c r="AJ12" t="s">
        <v>39</v>
      </c>
    </row>
    <row r="13" spans="1:36" x14ac:dyDescent="0.25">
      <c r="A13" t="s">
        <v>36</v>
      </c>
      <c r="B13" s="1">
        <v>44377.292592592596</v>
      </c>
      <c r="C13" t="s">
        <v>37</v>
      </c>
      <c r="D13" t="s">
        <v>38</v>
      </c>
      <c r="E13">
        <v>0</v>
      </c>
      <c r="F13">
        <v>313</v>
      </c>
      <c r="G13" s="2">
        <v>3.560185185185185E-2</v>
      </c>
      <c r="H13">
        <v>124</v>
      </c>
      <c r="I13">
        <v>142</v>
      </c>
      <c r="J13">
        <v>2</v>
      </c>
      <c r="K13" t="s">
        <v>39</v>
      </c>
      <c r="L13" t="s">
        <v>39</v>
      </c>
      <c r="M13" t="s">
        <v>39</v>
      </c>
      <c r="N13" t="s">
        <v>39</v>
      </c>
      <c r="O13" t="s">
        <v>39</v>
      </c>
      <c r="P13" t="s">
        <v>39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173</v>
      </c>
      <c r="X13">
        <v>24</v>
      </c>
      <c r="Y13" s="3">
        <v>2.1361111111111111</v>
      </c>
      <c r="Z13" s="4">
        <v>0</v>
      </c>
      <c r="AA13">
        <v>0</v>
      </c>
      <c r="AB13" s="4">
        <v>0</v>
      </c>
      <c r="AC13" t="s">
        <v>40</v>
      </c>
      <c r="AD13" t="s">
        <v>60</v>
      </c>
      <c r="AE13">
        <v>1</v>
      </c>
      <c r="AF13">
        <v>0</v>
      </c>
      <c r="AG13" s="2">
        <v>1.849537037037037E-2</v>
      </c>
      <c r="AH13" s="2">
        <v>3.560185185185185E-2</v>
      </c>
      <c r="AI13" t="s">
        <v>39</v>
      </c>
      <c r="AJ13" t="s">
        <v>39</v>
      </c>
    </row>
    <row r="14" spans="1:36" x14ac:dyDescent="0.25">
      <c r="A14" t="s">
        <v>57</v>
      </c>
      <c r="B14" s="1">
        <v>44376.726226851853</v>
      </c>
      <c r="C14" t="s">
        <v>37</v>
      </c>
      <c r="D14" t="s">
        <v>61</v>
      </c>
      <c r="E14">
        <v>8.1</v>
      </c>
      <c r="F14">
        <v>615</v>
      </c>
      <c r="G14" s="2">
        <v>4.4976851851851851E-2</v>
      </c>
      <c r="H14">
        <v>151</v>
      </c>
      <c r="I14">
        <v>183</v>
      </c>
      <c r="J14">
        <v>3.5</v>
      </c>
      <c r="K14">
        <v>123</v>
      </c>
      <c r="L14">
        <v>210</v>
      </c>
      <c r="M14" s="4">
        <v>0.33333333333333331</v>
      </c>
      <c r="N14" s="4">
        <v>0.20416666666666669</v>
      </c>
      <c r="O14" t="s">
        <v>39</v>
      </c>
      <c r="P14" t="s">
        <v>39</v>
      </c>
      <c r="Q14">
        <v>0.84</v>
      </c>
      <c r="R14">
        <v>0</v>
      </c>
      <c r="S14">
        <v>0</v>
      </c>
      <c r="T14">
        <v>0</v>
      </c>
      <c r="U14">
        <v>0</v>
      </c>
      <c r="V14">
        <v>0</v>
      </c>
      <c r="W14" t="s">
        <v>39</v>
      </c>
      <c r="X14" t="s">
        <v>39</v>
      </c>
      <c r="Y14" s="2">
        <v>4.4976851851851851E-2</v>
      </c>
      <c r="Z14" s="4">
        <v>0</v>
      </c>
      <c r="AA14">
        <v>0</v>
      </c>
      <c r="AB14" s="4">
        <v>0</v>
      </c>
      <c r="AC14" t="s">
        <v>40</v>
      </c>
      <c r="AD14" t="s">
        <v>62</v>
      </c>
      <c r="AE14">
        <v>15</v>
      </c>
      <c r="AF14">
        <v>0</v>
      </c>
      <c r="AG14" s="2">
        <v>3.2789351851851854E-2</v>
      </c>
      <c r="AH14" s="2">
        <v>4.4976851851851851E-2</v>
      </c>
      <c r="AI14" t="s">
        <v>39</v>
      </c>
      <c r="AJ14" t="s">
        <v>39</v>
      </c>
    </row>
    <row r="15" spans="1:36" x14ac:dyDescent="0.25">
      <c r="A15" t="s">
        <v>36</v>
      </c>
      <c r="B15" s="1">
        <v>44375.293229166666</v>
      </c>
      <c r="C15" t="s">
        <v>37</v>
      </c>
      <c r="D15" t="s">
        <v>38</v>
      </c>
      <c r="E15">
        <v>0</v>
      </c>
      <c r="F15">
        <v>313</v>
      </c>
      <c r="G15" s="2">
        <v>3.425925925925926E-2</v>
      </c>
      <c r="H15">
        <v>124</v>
      </c>
      <c r="I15">
        <v>174</v>
      </c>
      <c r="J15">
        <v>2.4</v>
      </c>
      <c r="K15" t="s">
        <v>39</v>
      </c>
      <c r="L15" t="s">
        <v>39</v>
      </c>
      <c r="M15" t="s">
        <v>39</v>
      </c>
      <c r="N15" t="s">
        <v>39</v>
      </c>
      <c r="O15" t="s">
        <v>39</v>
      </c>
      <c r="P15" t="s">
        <v>39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266</v>
      </c>
      <c r="X15">
        <v>24</v>
      </c>
      <c r="Y15" s="3">
        <v>2.0555555555555558</v>
      </c>
      <c r="Z15" s="4">
        <v>0</v>
      </c>
      <c r="AA15">
        <v>0</v>
      </c>
      <c r="AB15" s="4">
        <v>0</v>
      </c>
      <c r="AC15" t="s">
        <v>40</v>
      </c>
      <c r="AD15" t="s">
        <v>63</v>
      </c>
      <c r="AE15">
        <v>1</v>
      </c>
      <c r="AF15">
        <v>0</v>
      </c>
      <c r="AG15" s="2">
        <v>1.744212962962963E-2</v>
      </c>
      <c r="AH15" s="2">
        <v>3.425925925925926E-2</v>
      </c>
      <c r="AI15" t="s">
        <v>39</v>
      </c>
      <c r="AJ15" t="s">
        <v>39</v>
      </c>
    </row>
    <row r="16" spans="1:36" x14ac:dyDescent="0.25">
      <c r="A16" t="s">
        <v>45</v>
      </c>
      <c r="B16" s="1">
        <v>44374.37604166667</v>
      </c>
      <c r="C16" t="s">
        <v>37</v>
      </c>
      <c r="D16" t="s">
        <v>49</v>
      </c>
      <c r="E16">
        <v>13.95</v>
      </c>
      <c r="F16" s="5">
        <v>1038</v>
      </c>
      <c r="G16" s="2">
        <v>6.2523148148148147E-2</v>
      </c>
      <c r="H16">
        <v>171</v>
      </c>
      <c r="I16">
        <v>201</v>
      </c>
      <c r="J16">
        <v>5</v>
      </c>
      <c r="K16">
        <v>150</v>
      </c>
      <c r="L16">
        <v>241</v>
      </c>
      <c r="M16" s="4">
        <v>0.26874999999999999</v>
      </c>
      <c r="N16" s="4">
        <v>0.23402777777777781</v>
      </c>
      <c r="O16">
        <v>169</v>
      </c>
      <c r="P16">
        <v>178</v>
      </c>
      <c r="Q16">
        <v>1.03</v>
      </c>
      <c r="R16">
        <v>0</v>
      </c>
      <c r="S16">
        <v>0</v>
      </c>
      <c r="T16">
        <v>0</v>
      </c>
      <c r="U16">
        <v>0</v>
      </c>
      <c r="V16">
        <v>0</v>
      </c>
      <c r="W16" t="s">
        <v>39</v>
      </c>
      <c r="X16" t="s">
        <v>39</v>
      </c>
      <c r="Y16" s="2">
        <v>6.2523148148148147E-2</v>
      </c>
      <c r="Z16" s="4">
        <v>0</v>
      </c>
      <c r="AA16">
        <v>0</v>
      </c>
      <c r="AB16" s="4">
        <v>0</v>
      </c>
      <c r="AC16" t="s">
        <v>40</v>
      </c>
      <c r="AD16" t="s">
        <v>64</v>
      </c>
      <c r="AE16">
        <v>14</v>
      </c>
      <c r="AF16">
        <v>0</v>
      </c>
      <c r="AG16" s="2">
        <v>6.2395833333333338E-2</v>
      </c>
      <c r="AH16" s="2">
        <v>6.2523148148148147E-2</v>
      </c>
      <c r="AI16">
        <v>10</v>
      </c>
      <c r="AJ16">
        <v>57</v>
      </c>
    </row>
    <row r="17" spans="1:36" x14ac:dyDescent="0.25">
      <c r="A17" t="s">
        <v>36</v>
      </c>
      <c r="B17" s="1">
        <v>44372.295474537037</v>
      </c>
      <c r="C17" t="s">
        <v>37</v>
      </c>
      <c r="D17" t="s">
        <v>38</v>
      </c>
      <c r="E17">
        <v>0</v>
      </c>
      <c r="F17">
        <v>319</v>
      </c>
      <c r="G17" s="2">
        <v>3.6562499999999998E-2</v>
      </c>
      <c r="H17">
        <v>124</v>
      </c>
      <c r="I17">
        <v>148</v>
      </c>
      <c r="J17">
        <v>2</v>
      </c>
      <c r="K17" t="s">
        <v>39</v>
      </c>
      <c r="L17" t="s">
        <v>39</v>
      </c>
      <c r="M17" t="s">
        <v>39</v>
      </c>
      <c r="N17" t="s">
        <v>39</v>
      </c>
      <c r="O17" t="s">
        <v>39</v>
      </c>
      <c r="P17" t="s">
        <v>39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157</v>
      </c>
      <c r="X17">
        <v>24</v>
      </c>
      <c r="Y17" s="3">
        <v>2.1937500000000001</v>
      </c>
      <c r="Z17" s="4">
        <v>0</v>
      </c>
      <c r="AA17">
        <v>0</v>
      </c>
      <c r="AB17" s="4">
        <v>0</v>
      </c>
      <c r="AC17" t="s">
        <v>40</v>
      </c>
      <c r="AD17" t="s">
        <v>65</v>
      </c>
      <c r="AE17">
        <v>1</v>
      </c>
      <c r="AF17">
        <v>0</v>
      </c>
      <c r="AG17" s="2">
        <v>1.7488425925925925E-2</v>
      </c>
      <c r="AH17" s="2">
        <v>3.6562499999999998E-2</v>
      </c>
      <c r="AI17" t="s">
        <v>39</v>
      </c>
      <c r="AJ17" t="s">
        <v>39</v>
      </c>
    </row>
    <row r="18" spans="1:36" x14ac:dyDescent="0.25">
      <c r="A18" t="s">
        <v>57</v>
      </c>
      <c r="B18" s="1">
        <v>44371.752430555556</v>
      </c>
      <c r="C18" t="s">
        <v>37</v>
      </c>
      <c r="D18" t="s">
        <v>66</v>
      </c>
      <c r="E18">
        <v>10.01</v>
      </c>
      <c r="F18">
        <v>704</v>
      </c>
      <c r="G18" s="2">
        <v>4.144675925925926E-2</v>
      </c>
      <c r="H18">
        <v>167</v>
      </c>
      <c r="I18">
        <v>185</v>
      </c>
      <c r="J18">
        <v>4.9000000000000004</v>
      </c>
      <c r="K18">
        <v>160</v>
      </c>
      <c r="L18">
        <v>176</v>
      </c>
      <c r="M18" s="4">
        <v>0.24861111111111112</v>
      </c>
      <c r="N18" s="4">
        <v>0.21666666666666667</v>
      </c>
      <c r="O18" t="s">
        <v>39</v>
      </c>
      <c r="P18" t="s">
        <v>39</v>
      </c>
      <c r="Q18">
        <v>1.05</v>
      </c>
      <c r="R18">
        <v>0</v>
      </c>
      <c r="S18">
        <v>0</v>
      </c>
      <c r="T18">
        <v>0</v>
      </c>
      <c r="U18">
        <v>0</v>
      </c>
      <c r="V18">
        <v>0</v>
      </c>
      <c r="W18" t="s">
        <v>39</v>
      </c>
      <c r="X18" t="s">
        <v>39</v>
      </c>
      <c r="Y18" s="3">
        <v>2.4868055555555553</v>
      </c>
      <c r="Z18" s="4">
        <v>0</v>
      </c>
      <c r="AA18">
        <v>0</v>
      </c>
      <c r="AB18" s="4">
        <v>0</v>
      </c>
      <c r="AC18" t="s">
        <v>40</v>
      </c>
      <c r="AD18" t="s">
        <v>67</v>
      </c>
      <c r="AE18">
        <v>11</v>
      </c>
      <c r="AF18">
        <v>0</v>
      </c>
      <c r="AG18" s="2">
        <v>4.1365740740740745E-2</v>
      </c>
      <c r="AH18" s="2">
        <v>4.144675925925926E-2</v>
      </c>
      <c r="AI18" t="s">
        <v>39</v>
      </c>
      <c r="AJ18" t="s">
        <v>39</v>
      </c>
    </row>
    <row r="19" spans="1:36" x14ac:dyDescent="0.25">
      <c r="A19" t="s">
        <v>45</v>
      </c>
      <c r="B19" s="1">
        <v>44369.285729166666</v>
      </c>
      <c r="C19" t="s">
        <v>37</v>
      </c>
      <c r="D19" t="s">
        <v>68</v>
      </c>
      <c r="E19">
        <v>8.01</v>
      </c>
      <c r="F19">
        <v>560</v>
      </c>
      <c r="G19" s="2">
        <v>3.3958333333333333E-2</v>
      </c>
      <c r="H19">
        <v>166</v>
      </c>
      <c r="I19">
        <v>186</v>
      </c>
      <c r="J19">
        <v>4.2</v>
      </c>
      <c r="K19">
        <v>158</v>
      </c>
      <c r="L19">
        <v>170</v>
      </c>
      <c r="M19" s="4">
        <v>0.25416666666666665</v>
      </c>
      <c r="N19" s="4">
        <v>0.19583333333333333</v>
      </c>
      <c r="O19">
        <v>24</v>
      </c>
      <c r="P19">
        <v>36</v>
      </c>
      <c r="Q19">
        <v>1.03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39</v>
      </c>
      <c r="X19" t="s">
        <v>39</v>
      </c>
      <c r="Y19" s="3">
        <v>2.0375000000000001</v>
      </c>
      <c r="Z19" s="4">
        <v>0</v>
      </c>
      <c r="AA19">
        <v>0</v>
      </c>
      <c r="AB19" s="4">
        <v>0</v>
      </c>
      <c r="AC19" t="s">
        <v>40</v>
      </c>
      <c r="AD19" t="s">
        <v>69</v>
      </c>
      <c r="AE19">
        <v>11</v>
      </c>
      <c r="AF19">
        <v>0</v>
      </c>
      <c r="AG19" s="2">
        <v>3.3912037037037039E-2</v>
      </c>
      <c r="AH19" s="2">
        <v>3.3958333333333333E-2</v>
      </c>
      <c r="AI19">
        <v>12</v>
      </c>
      <c r="AJ19">
        <v>28</v>
      </c>
    </row>
    <row r="20" spans="1:36" x14ac:dyDescent="0.25">
      <c r="A20" t="s">
        <v>36</v>
      </c>
      <c r="B20" s="1">
        <v>44368.288298611114</v>
      </c>
      <c r="C20" t="s">
        <v>37</v>
      </c>
      <c r="D20" t="s">
        <v>38</v>
      </c>
      <c r="E20">
        <v>0</v>
      </c>
      <c r="F20">
        <v>296</v>
      </c>
      <c r="G20" s="2">
        <v>3.6851851851851851E-2</v>
      </c>
      <c r="H20">
        <v>119</v>
      </c>
      <c r="I20">
        <v>164</v>
      </c>
      <c r="J20">
        <v>2.1</v>
      </c>
      <c r="K20" t="s">
        <v>39</v>
      </c>
      <c r="L20" t="s">
        <v>39</v>
      </c>
      <c r="M20" t="s">
        <v>39</v>
      </c>
      <c r="N20" t="s">
        <v>39</v>
      </c>
      <c r="O20" t="s">
        <v>39</v>
      </c>
      <c r="P20" t="s">
        <v>39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321</v>
      </c>
      <c r="X20">
        <v>27</v>
      </c>
      <c r="Y20" s="3">
        <v>2.2111111111111112</v>
      </c>
      <c r="Z20" s="4">
        <v>0</v>
      </c>
      <c r="AA20">
        <v>0</v>
      </c>
      <c r="AB20" s="4">
        <v>0</v>
      </c>
      <c r="AC20" t="s">
        <v>40</v>
      </c>
      <c r="AD20" t="s">
        <v>70</v>
      </c>
      <c r="AE20">
        <v>1</v>
      </c>
      <c r="AF20">
        <v>0</v>
      </c>
      <c r="AG20" s="2">
        <v>1.8298611111111113E-2</v>
      </c>
      <c r="AH20" s="2">
        <v>3.6851851851851851E-2</v>
      </c>
      <c r="AI20" t="s">
        <v>39</v>
      </c>
      <c r="AJ20" t="s">
        <v>39</v>
      </c>
    </row>
    <row r="21" spans="1:36" x14ac:dyDescent="0.25">
      <c r="A21" t="s">
        <v>57</v>
      </c>
      <c r="B21" s="1">
        <v>44367.389363425929</v>
      </c>
      <c r="C21" t="s">
        <v>37</v>
      </c>
      <c r="D21" t="s">
        <v>57</v>
      </c>
      <c r="E21">
        <v>6.19</v>
      </c>
      <c r="F21">
        <v>470</v>
      </c>
      <c r="G21" s="2">
        <v>3.1967592592592589E-2</v>
      </c>
      <c r="H21">
        <v>155</v>
      </c>
      <c r="I21">
        <v>186</v>
      </c>
      <c r="J21">
        <v>3.6</v>
      </c>
      <c r="K21">
        <v>142</v>
      </c>
      <c r="L21">
        <v>225</v>
      </c>
      <c r="M21" s="4">
        <v>0.30972222222222223</v>
      </c>
      <c r="N21" s="4">
        <v>0.20138888888888887</v>
      </c>
      <c r="O21" t="s">
        <v>39</v>
      </c>
      <c r="P21" t="s">
        <v>39</v>
      </c>
      <c r="Q21">
        <v>0.93</v>
      </c>
      <c r="R21">
        <v>0</v>
      </c>
      <c r="S21">
        <v>0</v>
      </c>
      <c r="T21">
        <v>0</v>
      </c>
      <c r="U21">
        <v>0</v>
      </c>
      <c r="V21">
        <v>0</v>
      </c>
      <c r="W21" t="s">
        <v>39</v>
      </c>
      <c r="X21" t="s">
        <v>39</v>
      </c>
      <c r="Y21" s="3">
        <v>1.9180555555555554</v>
      </c>
      <c r="Z21" s="4">
        <v>0</v>
      </c>
      <c r="AA21">
        <v>0</v>
      </c>
      <c r="AB21" s="4">
        <v>0</v>
      </c>
      <c r="AC21" t="s">
        <v>40</v>
      </c>
      <c r="AD21" t="s">
        <v>71</v>
      </c>
      <c r="AE21">
        <v>7</v>
      </c>
      <c r="AF21">
        <v>0</v>
      </c>
      <c r="AG21" s="2">
        <v>3.0335648148148143E-2</v>
      </c>
      <c r="AH21" s="2">
        <v>3.1967592592592589E-2</v>
      </c>
      <c r="AI21" t="s">
        <v>39</v>
      </c>
      <c r="AJ21" t="s">
        <v>39</v>
      </c>
    </row>
    <row r="22" spans="1:36" x14ac:dyDescent="0.25">
      <c r="A22" t="s">
        <v>57</v>
      </c>
      <c r="B22" s="1">
        <v>44364.748564814814</v>
      </c>
      <c r="C22" t="s">
        <v>37</v>
      </c>
      <c r="D22" t="s">
        <v>72</v>
      </c>
      <c r="E22">
        <v>8.02</v>
      </c>
      <c r="F22">
        <v>555</v>
      </c>
      <c r="G22" s="2">
        <v>3.4652777777777775E-2</v>
      </c>
      <c r="H22">
        <v>159</v>
      </c>
      <c r="I22">
        <v>172</v>
      </c>
      <c r="J22">
        <v>4.0999999999999996</v>
      </c>
      <c r="K22">
        <v>157</v>
      </c>
      <c r="L22">
        <v>161</v>
      </c>
      <c r="M22" s="4">
        <v>0.2590277777777778</v>
      </c>
      <c r="N22" s="4">
        <v>0.2076388888888889</v>
      </c>
      <c r="O22" t="s">
        <v>39</v>
      </c>
      <c r="P22" t="s">
        <v>39</v>
      </c>
      <c r="Q22">
        <v>1.03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39</v>
      </c>
      <c r="X22" t="s">
        <v>39</v>
      </c>
      <c r="Y22" s="3">
        <v>2.0791666666666666</v>
      </c>
      <c r="Z22" s="4">
        <v>0</v>
      </c>
      <c r="AA22">
        <v>0</v>
      </c>
      <c r="AB22" s="4">
        <v>0</v>
      </c>
      <c r="AC22" t="s">
        <v>40</v>
      </c>
      <c r="AD22" t="s">
        <v>73</v>
      </c>
      <c r="AE22">
        <v>9</v>
      </c>
      <c r="AF22">
        <v>0</v>
      </c>
      <c r="AG22" s="2">
        <v>3.4641203703703702E-2</v>
      </c>
      <c r="AH22" s="2">
        <v>3.4652777777777775E-2</v>
      </c>
      <c r="AI22" t="s">
        <v>39</v>
      </c>
      <c r="AJ22" t="s">
        <v>39</v>
      </c>
    </row>
    <row r="23" spans="1:36" x14ac:dyDescent="0.25">
      <c r="A23" t="s">
        <v>57</v>
      </c>
      <c r="B23" s="1">
        <v>44362.757893518516</v>
      </c>
      <c r="C23" t="s">
        <v>37</v>
      </c>
      <c r="D23" t="s">
        <v>74</v>
      </c>
      <c r="E23">
        <v>7.01</v>
      </c>
      <c r="F23">
        <v>410</v>
      </c>
      <c r="G23" s="2">
        <v>2.9560185185185189E-2</v>
      </c>
      <c r="H23">
        <v>147</v>
      </c>
      <c r="I23">
        <v>172</v>
      </c>
      <c r="J23">
        <v>3.3</v>
      </c>
      <c r="K23">
        <v>155</v>
      </c>
      <c r="L23">
        <v>161</v>
      </c>
      <c r="M23" s="4">
        <v>0.25277777777777777</v>
      </c>
      <c r="N23" s="4">
        <v>0.19305555555555554</v>
      </c>
      <c r="O23" t="s">
        <v>39</v>
      </c>
      <c r="P23" t="s">
        <v>39</v>
      </c>
      <c r="Q23">
        <v>1.06</v>
      </c>
      <c r="R23">
        <v>0</v>
      </c>
      <c r="S23">
        <v>0</v>
      </c>
      <c r="T23">
        <v>0</v>
      </c>
      <c r="U23">
        <v>0</v>
      </c>
      <c r="V23">
        <v>0</v>
      </c>
      <c r="W23" t="s">
        <v>39</v>
      </c>
      <c r="X23" t="s">
        <v>39</v>
      </c>
      <c r="Y23" s="3">
        <v>1.7736111111111112</v>
      </c>
      <c r="Z23" s="4">
        <v>0</v>
      </c>
      <c r="AA23">
        <v>0</v>
      </c>
      <c r="AB23" s="4">
        <v>0</v>
      </c>
      <c r="AC23" t="s">
        <v>40</v>
      </c>
      <c r="AD23" t="s">
        <v>75</v>
      </c>
      <c r="AE23">
        <v>24</v>
      </c>
      <c r="AF23">
        <v>0</v>
      </c>
      <c r="AG23" s="2">
        <v>2.946759259259259E-2</v>
      </c>
      <c r="AH23" s="2">
        <v>2.9560185185185189E-2</v>
      </c>
      <c r="AI23" t="s">
        <v>39</v>
      </c>
      <c r="AJ23" t="s">
        <v>39</v>
      </c>
    </row>
    <row r="24" spans="1:36" x14ac:dyDescent="0.25">
      <c r="A24" t="s">
        <v>45</v>
      </c>
      <c r="B24" s="1">
        <v>44360.365925925929</v>
      </c>
      <c r="C24" t="s">
        <v>37</v>
      </c>
      <c r="D24" t="s">
        <v>49</v>
      </c>
      <c r="E24">
        <v>18.399999999999999</v>
      </c>
      <c r="F24" s="5">
        <v>1332</v>
      </c>
      <c r="G24" s="2">
        <v>8.3344907407407409E-2</v>
      </c>
      <c r="H24">
        <v>167</v>
      </c>
      <c r="I24">
        <v>192</v>
      </c>
      <c r="J24">
        <v>5</v>
      </c>
      <c r="K24">
        <v>154</v>
      </c>
      <c r="L24">
        <v>244</v>
      </c>
      <c r="M24" s="4">
        <v>0.27152777777777776</v>
      </c>
      <c r="N24" s="4">
        <v>0.2298611111111111</v>
      </c>
      <c r="O24">
        <v>409</v>
      </c>
      <c r="P24">
        <v>377</v>
      </c>
      <c r="Q24">
        <v>1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39</v>
      </c>
      <c r="X24" t="s">
        <v>39</v>
      </c>
      <c r="Y24" s="2">
        <v>8.3344907407407409E-2</v>
      </c>
      <c r="Z24" s="4">
        <v>0</v>
      </c>
      <c r="AA24">
        <v>0</v>
      </c>
      <c r="AB24" s="4">
        <v>0</v>
      </c>
      <c r="AC24" t="s">
        <v>40</v>
      </c>
      <c r="AD24" t="s">
        <v>76</v>
      </c>
      <c r="AE24">
        <v>19</v>
      </c>
      <c r="AF24">
        <v>0</v>
      </c>
      <c r="AG24" s="2">
        <v>8.3206018518518512E-2</v>
      </c>
      <c r="AH24" s="2">
        <v>8.3344907407407409E-2</v>
      </c>
      <c r="AI24">
        <v>17</v>
      </c>
      <c r="AJ24">
        <v>160</v>
      </c>
    </row>
    <row r="25" spans="1:36" x14ac:dyDescent="0.25">
      <c r="A25" t="s">
        <v>36</v>
      </c>
      <c r="B25" s="1">
        <v>44358.28392361111</v>
      </c>
      <c r="C25" t="s">
        <v>37</v>
      </c>
      <c r="D25" t="s">
        <v>38</v>
      </c>
      <c r="E25">
        <v>0</v>
      </c>
      <c r="F25">
        <v>310</v>
      </c>
      <c r="G25" s="2">
        <v>4.3831018518518512E-2</v>
      </c>
      <c r="H25">
        <v>114</v>
      </c>
      <c r="I25">
        <v>146</v>
      </c>
      <c r="J25">
        <v>1.4</v>
      </c>
      <c r="K25" t="s">
        <v>39</v>
      </c>
      <c r="L25" t="s">
        <v>39</v>
      </c>
      <c r="M25" t="s">
        <v>39</v>
      </c>
      <c r="N25" t="s">
        <v>39</v>
      </c>
      <c r="O25" t="s">
        <v>39</v>
      </c>
      <c r="P25" t="s">
        <v>39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209</v>
      </c>
      <c r="X25">
        <v>28</v>
      </c>
      <c r="Y25" s="2">
        <v>4.3831018518518512E-2</v>
      </c>
      <c r="Z25" s="4">
        <v>0</v>
      </c>
      <c r="AA25">
        <v>0</v>
      </c>
      <c r="AB25" s="4">
        <v>0</v>
      </c>
      <c r="AC25" t="s">
        <v>40</v>
      </c>
      <c r="AD25" t="s">
        <v>77</v>
      </c>
      <c r="AE25">
        <v>1</v>
      </c>
      <c r="AF25">
        <v>0</v>
      </c>
      <c r="AG25" s="2">
        <v>1.954861111111111E-2</v>
      </c>
      <c r="AH25" s="2">
        <v>4.3831018518518512E-2</v>
      </c>
      <c r="AI25" t="s">
        <v>39</v>
      </c>
      <c r="AJ25" t="s">
        <v>39</v>
      </c>
    </row>
    <row r="26" spans="1:36" x14ac:dyDescent="0.25">
      <c r="A26" t="s">
        <v>57</v>
      </c>
      <c r="B26" s="1">
        <v>44357.773530092592</v>
      </c>
      <c r="C26" t="s">
        <v>37</v>
      </c>
      <c r="D26" t="s">
        <v>66</v>
      </c>
      <c r="E26">
        <v>10.01</v>
      </c>
      <c r="F26">
        <v>693</v>
      </c>
      <c r="G26" s="2">
        <v>4.2465277777777775E-2</v>
      </c>
      <c r="H26">
        <v>165</v>
      </c>
      <c r="I26">
        <v>179</v>
      </c>
      <c r="J26">
        <v>5</v>
      </c>
      <c r="K26">
        <v>158</v>
      </c>
      <c r="L26">
        <v>167</v>
      </c>
      <c r="M26" s="4">
        <v>0.25416666666666665</v>
      </c>
      <c r="N26" s="4">
        <v>0.19305555555555554</v>
      </c>
      <c r="O26" t="s">
        <v>39</v>
      </c>
      <c r="P26" t="s">
        <v>39</v>
      </c>
      <c r="Q26">
        <v>1.04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39</v>
      </c>
      <c r="X26" t="s">
        <v>39</v>
      </c>
      <c r="Y26" s="2">
        <v>4.2465277777777775E-2</v>
      </c>
      <c r="Z26" s="4">
        <v>0</v>
      </c>
      <c r="AA26">
        <v>0</v>
      </c>
      <c r="AB26" s="4">
        <v>0</v>
      </c>
      <c r="AC26" t="s">
        <v>40</v>
      </c>
      <c r="AD26" t="s">
        <v>78</v>
      </c>
      <c r="AE26">
        <v>11</v>
      </c>
      <c r="AF26">
        <v>0</v>
      </c>
      <c r="AG26" s="2">
        <v>4.1921296296296297E-2</v>
      </c>
      <c r="AH26" s="2">
        <v>4.2465277777777775E-2</v>
      </c>
      <c r="AI26" t="s">
        <v>39</v>
      </c>
      <c r="AJ26" t="s">
        <v>39</v>
      </c>
    </row>
    <row r="27" spans="1:36" x14ac:dyDescent="0.25">
      <c r="A27" t="s">
        <v>57</v>
      </c>
      <c r="B27" s="1">
        <v>44355.755243055559</v>
      </c>
      <c r="C27" t="s">
        <v>37</v>
      </c>
      <c r="D27" t="s">
        <v>79</v>
      </c>
      <c r="E27">
        <v>7.2</v>
      </c>
      <c r="F27">
        <v>471</v>
      </c>
      <c r="G27" s="2">
        <v>3.7523148148148146E-2</v>
      </c>
      <c r="H27">
        <v>144</v>
      </c>
      <c r="I27">
        <v>184</v>
      </c>
      <c r="J27">
        <v>3.1</v>
      </c>
      <c r="K27">
        <v>130</v>
      </c>
      <c r="L27">
        <v>170</v>
      </c>
      <c r="M27" s="4">
        <v>0.3125</v>
      </c>
      <c r="N27" s="4">
        <v>0.18472222222222223</v>
      </c>
      <c r="O27" t="s">
        <v>39</v>
      </c>
      <c r="P27" t="s">
        <v>39</v>
      </c>
      <c r="Q27">
        <v>0.93</v>
      </c>
      <c r="R27">
        <v>0</v>
      </c>
      <c r="S27">
        <v>0</v>
      </c>
      <c r="T27">
        <v>0</v>
      </c>
      <c r="U27">
        <v>0</v>
      </c>
      <c r="V27">
        <v>0</v>
      </c>
      <c r="W27" t="s">
        <v>39</v>
      </c>
      <c r="X27" t="s">
        <v>39</v>
      </c>
      <c r="Y27" s="3">
        <v>2.2513888888888887</v>
      </c>
      <c r="Z27" s="4">
        <v>0</v>
      </c>
      <c r="AA27">
        <v>0</v>
      </c>
      <c r="AB27" s="4">
        <v>0</v>
      </c>
      <c r="AC27" t="s">
        <v>40</v>
      </c>
      <c r="AD27" t="s">
        <v>75</v>
      </c>
      <c r="AE27">
        <v>17</v>
      </c>
      <c r="AF27">
        <v>0</v>
      </c>
      <c r="AG27" s="2">
        <v>2.9756944444444447E-2</v>
      </c>
      <c r="AH27" s="2">
        <v>3.7523148148148146E-2</v>
      </c>
      <c r="AI27" t="s">
        <v>39</v>
      </c>
      <c r="AJ27" t="s">
        <v>39</v>
      </c>
    </row>
    <row r="28" spans="1:36" x14ac:dyDescent="0.25">
      <c r="A28" t="s">
        <v>36</v>
      </c>
      <c r="B28" s="1">
        <v>44354.280347222222</v>
      </c>
      <c r="C28" t="s">
        <v>37</v>
      </c>
      <c r="D28" t="s">
        <v>38</v>
      </c>
      <c r="E28">
        <v>0</v>
      </c>
      <c r="F28">
        <v>262</v>
      </c>
      <c r="G28" s="2">
        <v>4.0370370370370369E-2</v>
      </c>
      <c r="H28">
        <v>110</v>
      </c>
      <c r="I28">
        <v>150</v>
      </c>
      <c r="J28">
        <v>1.5</v>
      </c>
      <c r="K28" t="s">
        <v>39</v>
      </c>
      <c r="L28" t="s">
        <v>39</v>
      </c>
      <c r="M28" t="s">
        <v>39</v>
      </c>
      <c r="N28" t="s">
        <v>39</v>
      </c>
      <c r="O28" t="s">
        <v>39</v>
      </c>
      <c r="P28" t="s">
        <v>39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332</v>
      </c>
      <c r="X28">
        <v>28</v>
      </c>
      <c r="Y28" s="3">
        <v>2.4222222222222221</v>
      </c>
      <c r="Z28" s="4">
        <v>0</v>
      </c>
      <c r="AA28">
        <v>0</v>
      </c>
      <c r="AB28" s="4">
        <v>0</v>
      </c>
      <c r="AC28" t="s">
        <v>40</v>
      </c>
      <c r="AD28" t="s">
        <v>80</v>
      </c>
      <c r="AE28">
        <v>1</v>
      </c>
      <c r="AF28">
        <v>0</v>
      </c>
      <c r="AG28" s="2">
        <v>1.9421296296296294E-2</v>
      </c>
      <c r="AH28" s="2">
        <v>4.0370370370370369E-2</v>
      </c>
      <c r="AI28" t="s">
        <v>39</v>
      </c>
      <c r="AJ28" t="s">
        <v>39</v>
      </c>
    </row>
    <row r="29" spans="1:36" x14ac:dyDescent="0.25">
      <c r="A29" t="s">
        <v>45</v>
      </c>
      <c r="B29" s="1">
        <v>44353.370069444441</v>
      </c>
      <c r="C29" t="s">
        <v>37</v>
      </c>
      <c r="D29" t="s">
        <v>49</v>
      </c>
      <c r="E29">
        <v>13.67</v>
      </c>
      <c r="F29" s="5">
        <v>1054</v>
      </c>
      <c r="G29" s="2">
        <v>6.2511574074074081E-2</v>
      </c>
      <c r="H29">
        <v>174</v>
      </c>
      <c r="I29">
        <v>205</v>
      </c>
      <c r="J29">
        <v>5</v>
      </c>
      <c r="K29">
        <v>143</v>
      </c>
      <c r="L29">
        <v>244</v>
      </c>
      <c r="M29" s="4">
        <v>0.27430555555555552</v>
      </c>
      <c r="N29" s="4">
        <v>0.17708333333333334</v>
      </c>
      <c r="O29">
        <v>327</v>
      </c>
      <c r="P29">
        <v>335</v>
      </c>
      <c r="Q29">
        <v>1.07</v>
      </c>
      <c r="R29">
        <v>0</v>
      </c>
      <c r="S29">
        <v>0</v>
      </c>
      <c r="T29">
        <v>0</v>
      </c>
      <c r="U29">
        <v>0</v>
      </c>
      <c r="V29">
        <v>0</v>
      </c>
      <c r="W29" t="s">
        <v>39</v>
      </c>
      <c r="X29" t="s">
        <v>39</v>
      </c>
      <c r="Y29" s="2">
        <v>6.2511574074074081E-2</v>
      </c>
      <c r="Z29" s="4">
        <v>0</v>
      </c>
      <c r="AA29">
        <v>0</v>
      </c>
      <c r="AB29" s="4">
        <v>0</v>
      </c>
      <c r="AC29" t="s">
        <v>40</v>
      </c>
      <c r="AD29" t="s">
        <v>81</v>
      </c>
      <c r="AE29">
        <v>14</v>
      </c>
      <c r="AF29">
        <v>0</v>
      </c>
      <c r="AG29" s="2">
        <v>6.236111111111111E-2</v>
      </c>
      <c r="AH29" s="2">
        <v>6.2511574074074081E-2</v>
      </c>
      <c r="AI29">
        <v>16</v>
      </c>
      <c r="AJ29">
        <v>123</v>
      </c>
    </row>
    <row r="30" spans="1:36" x14ac:dyDescent="0.25">
      <c r="A30" t="s">
        <v>45</v>
      </c>
      <c r="B30" s="1">
        <v>44350.309224537035</v>
      </c>
      <c r="C30" t="s">
        <v>37</v>
      </c>
      <c r="D30" t="s">
        <v>82</v>
      </c>
      <c r="E30">
        <v>8.65</v>
      </c>
      <c r="F30">
        <v>600</v>
      </c>
      <c r="G30" s="2">
        <v>3.9768518518518516E-2</v>
      </c>
      <c r="H30">
        <v>159</v>
      </c>
      <c r="I30">
        <v>183</v>
      </c>
      <c r="J30">
        <v>4.5999999999999996</v>
      </c>
      <c r="K30">
        <v>146</v>
      </c>
      <c r="L30">
        <v>249</v>
      </c>
      <c r="M30" s="4">
        <v>0.27569444444444446</v>
      </c>
      <c r="N30" s="4">
        <v>0.16180555555555556</v>
      </c>
      <c r="O30">
        <v>22</v>
      </c>
      <c r="P30">
        <v>33</v>
      </c>
      <c r="Q30">
        <v>1.03</v>
      </c>
      <c r="R30">
        <v>0</v>
      </c>
      <c r="S30">
        <v>0</v>
      </c>
      <c r="T30">
        <v>0</v>
      </c>
      <c r="U30">
        <v>0</v>
      </c>
      <c r="V30">
        <v>0</v>
      </c>
      <c r="W30" t="s">
        <v>39</v>
      </c>
      <c r="X30" t="s">
        <v>39</v>
      </c>
      <c r="Y30" s="3">
        <v>2.3861111111111111</v>
      </c>
      <c r="Z30" s="4">
        <v>0</v>
      </c>
      <c r="AA30">
        <v>0</v>
      </c>
      <c r="AB30" s="4">
        <v>0</v>
      </c>
      <c r="AC30" t="s">
        <v>40</v>
      </c>
      <c r="AD30" t="s">
        <v>83</v>
      </c>
      <c r="AE30">
        <v>25</v>
      </c>
      <c r="AF30">
        <v>0</v>
      </c>
      <c r="AG30" s="2">
        <v>3.7418981481481477E-2</v>
      </c>
      <c r="AH30" s="2">
        <v>3.9768518518518516E-2</v>
      </c>
      <c r="AI30">
        <v>7</v>
      </c>
      <c r="AJ30">
        <v>25</v>
      </c>
    </row>
    <row r="31" spans="1:36" x14ac:dyDescent="0.25">
      <c r="A31" t="s">
        <v>45</v>
      </c>
      <c r="B31" s="1">
        <v>44348.264907407407</v>
      </c>
      <c r="C31" t="s">
        <v>37</v>
      </c>
      <c r="D31" t="s">
        <v>53</v>
      </c>
      <c r="E31">
        <v>10.02</v>
      </c>
      <c r="F31">
        <v>706</v>
      </c>
      <c r="G31" s="2">
        <v>4.2997685185185187E-2</v>
      </c>
      <c r="H31">
        <v>168</v>
      </c>
      <c r="I31">
        <v>190</v>
      </c>
      <c r="J31">
        <v>5</v>
      </c>
      <c r="K31">
        <v>156</v>
      </c>
      <c r="L31">
        <v>170</v>
      </c>
      <c r="M31" s="4">
        <v>0.25763888888888892</v>
      </c>
      <c r="N31" s="4">
        <v>0.21875</v>
      </c>
      <c r="O31">
        <v>76</v>
      </c>
      <c r="P31">
        <v>76</v>
      </c>
      <c r="Q31">
        <v>1.04</v>
      </c>
      <c r="R31">
        <v>0</v>
      </c>
      <c r="S31">
        <v>0</v>
      </c>
      <c r="T31">
        <v>0</v>
      </c>
      <c r="U31">
        <v>0</v>
      </c>
      <c r="V31">
        <v>0</v>
      </c>
      <c r="W31" t="s">
        <v>39</v>
      </c>
      <c r="X31" t="s">
        <v>39</v>
      </c>
      <c r="Y31" s="2">
        <v>4.2997685185185187E-2</v>
      </c>
      <c r="Z31" s="4">
        <v>0</v>
      </c>
      <c r="AA31">
        <v>0</v>
      </c>
      <c r="AB31" s="4">
        <v>0</v>
      </c>
      <c r="AC31" t="s">
        <v>40</v>
      </c>
      <c r="AD31" t="s">
        <v>84</v>
      </c>
      <c r="AE31">
        <v>11</v>
      </c>
      <c r="AF31">
        <v>0</v>
      </c>
      <c r="AG31" s="2">
        <v>4.296296296296296E-2</v>
      </c>
      <c r="AH31" s="2">
        <v>4.2997685185185187E-2</v>
      </c>
      <c r="AI31">
        <v>12</v>
      </c>
      <c r="AJ31">
        <v>42</v>
      </c>
    </row>
    <row r="32" spans="1:36" x14ac:dyDescent="0.25">
      <c r="A32" t="s">
        <v>36</v>
      </c>
      <c r="B32" s="1">
        <v>44347.280624999999</v>
      </c>
      <c r="C32" t="s">
        <v>37</v>
      </c>
      <c r="D32" t="s">
        <v>38</v>
      </c>
      <c r="E32">
        <v>0</v>
      </c>
      <c r="F32">
        <v>242</v>
      </c>
      <c r="G32" s="2">
        <v>4.0092592592592589E-2</v>
      </c>
      <c r="H32">
        <v>110</v>
      </c>
      <c r="I32">
        <v>157</v>
      </c>
      <c r="J32">
        <v>1.6</v>
      </c>
      <c r="K32" t="s">
        <v>39</v>
      </c>
      <c r="L32" t="s">
        <v>39</v>
      </c>
      <c r="M32" t="s">
        <v>39</v>
      </c>
      <c r="N32" t="s">
        <v>39</v>
      </c>
      <c r="O32" t="s">
        <v>39</v>
      </c>
      <c r="P32" t="s">
        <v>39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368</v>
      </c>
      <c r="X32">
        <v>31</v>
      </c>
      <c r="Y32" s="3">
        <v>2.4055555555555554</v>
      </c>
      <c r="Z32" s="4">
        <v>0</v>
      </c>
      <c r="AA32">
        <v>0</v>
      </c>
      <c r="AB32" s="4">
        <v>0</v>
      </c>
      <c r="AC32" t="s">
        <v>40</v>
      </c>
      <c r="AD32" t="s">
        <v>85</v>
      </c>
      <c r="AE32">
        <v>1</v>
      </c>
      <c r="AF32">
        <v>0</v>
      </c>
      <c r="AG32" s="2">
        <v>1.8807870370370371E-2</v>
      </c>
      <c r="AH32" s="2">
        <v>4.0208333333333332E-2</v>
      </c>
      <c r="AI32" t="s">
        <v>39</v>
      </c>
      <c r="AJ32" t="s">
        <v>39</v>
      </c>
    </row>
    <row r="33" spans="1:36" x14ac:dyDescent="0.25">
      <c r="A33" t="s">
        <v>45</v>
      </c>
      <c r="B33" s="1">
        <v>44346.35423611111</v>
      </c>
      <c r="C33" t="s">
        <v>37</v>
      </c>
      <c r="D33" t="s">
        <v>49</v>
      </c>
      <c r="E33">
        <v>16.010000000000002</v>
      </c>
      <c r="F33" s="5">
        <v>1056</v>
      </c>
      <c r="G33" s="2">
        <v>7.1412037037037038E-2</v>
      </c>
      <c r="H33">
        <v>163</v>
      </c>
      <c r="I33">
        <v>185</v>
      </c>
      <c r="J33">
        <v>5</v>
      </c>
      <c r="K33">
        <v>154</v>
      </c>
      <c r="L33">
        <v>168</v>
      </c>
      <c r="M33" s="4">
        <v>0.2673611111111111</v>
      </c>
      <c r="N33" s="4">
        <v>0.22361111111111109</v>
      </c>
      <c r="O33">
        <v>273</v>
      </c>
      <c r="P33">
        <v>282</v>
      </c>
      <c r="Q33">
        <v>1.01</v>
      </c>
      <c r="R33">
        <v>0</v>
      </c>
      <c r="S33">
        <v>0</v>
      </c>
      <c r="T33">
        <v>0</v>
      </c>
      <c r="U33">
        <v>0</v>
      </c>
      <c r="V33">
        <v>0</v>
      </c>
      <c r="W33" t="s">
        <v>39</v>
      </c>
      <c r="X33" t="s">
        <v>39</v>
      </c>
      <c r="Y33" s="2">
        <v>7.1412037037037038E-2</v>
      </c>
      <c r="Z33" s="4">
        <v>0</v>
      </c>
      <c r="AA33">
        <v>0</v>
      </c>
      <c r="AB33" s="4">
        <v>0</v>
      </c>
      <c r="AC33" t="s">
        <v>40</v>
      </c>
      <c r="AD33" t="s">
        <v>86</v>
      </c>
      <c r="AE33">
        <v>17</v>
      </c>
      <c r="AF33">
        <v>0</v>
      </c>
      <c r="AG33" s="2">
        <v>7.1365740740740743E-2</v>
      </c>
      <c r="AH33" s="2">
        <v>7.1412037037037038E-2</v>
      </c>
      <c r="AI33">
        <v>17</v>
      </c>
      <c r="AJ33">
        <v>114</v>
      </c>
    </row>
    <row r="34" spans="1:36" x14ac:dyDescent="0.25">
      <c r="A34" t="s">
        <v>36</v>
      </c>
      <c r="B34" s="1">
        <v>44344.282372685186</v>
      </c>
      <c r="C34" t="s">
        <v>37</v>
      </c>
      <c r="D34" t="s">
        <v>38</v>
      </c>
      <c r="E34">
        <v>0</v>
      </c>
      <c r="F34">
        <v>251</v>
      </c>
      <c r="G34" s="2">
        <v>4.1782407407407407E-2</v>
      </c>
      <c r="H34">
        <v>113</v>
      </c>
      <c r="I34">
        <v>137</v>
      </c>
      <c r="J34">
        <v>1.3</v>
      </c>
      <c r="K34" t="s">
        <v>39</v>
      </c>
      <c r="L34" t="s">
        <v>39</v>
      </c>
      <c r="M34" t="s">
        <v>39</v>
      </c>
      <c r="N34" t="s">
        <v>39</v>
      </c>
      <c r="O34" t="s">
        <v>39</v>
      </c>
      <c r="P34" t="s">
        <v>39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299</v>
      </c>
      <c r="X34">
        <v>45</v>
      </c>
      <c r="Y34" s="2">
        <v>4.1782407407407407E-2</v>
      </c>
      <c r="Z34" s="4">
        <v>0</v>
      </c>
      <c r="AA34">
        <v>0</v>
      </c>
      <c r="AB34" s="4">
        <v>0</v>
      </c>
      <c r="AC34" t="s">
        <v>40</v>
      </c>
      <c r="AD34" t="s">
        <v>87</v>
      </c>
      <c r="AE34">
        <v>1</v>
      </c>
      <c r="AF34">
        <v>0</v>
      </c>
      <c r="AG34" s="2">
        <v>1.7858796296296296E-2</v>
      </c>
      <c r="AH34" s="2">
        <v>4.1782407407407407E-2</v>
      </c>
      <c r="AI34" t="s">
        <v>39</v>
      </c>
      <c r="AJ34" t="s">
        <v>39</v>
      </c>
    </row>
    <row r="35" spans="1:36" x14ac:dyDescent="0.25">
      <c r="A35" t="s">
        <v>45</v>
      </c>
      <c r="B35" s="1">
        <v>44343.266504629632</v>
      </c>
      <c r="C35" t="s">
        <v>37</v>
      </c>
      <c r="D35" t="s">
        <v>49</v>
      </c>
      <c r="E35">
        <v>10</v>
      </c>
      <c r="F35">
        <v>841</v>
      </c>
      <c r="G35" s="2">
        <v>4.3969907407407409E-2</v>
      </c>
      <c r="H35">
        <v>165</v>
      </c>
      <c r="I35">
        <v>183</v>
      </c>
      <c r="J35" t="s">
        <v>39</v>
      </c>
      <c r="K35" t="s">
        <v>39</v>
      </c>
      <c r="L35" t="s">
        <v>39</v>
      </c>
      <c r="M35" s="4">
        <v>0.2638888888888889</v>
      </c>
      <c r="N35" s="4">
        <v>0.125</v>
      </c>
      <c r="O35">
        <v>85</v>
      </c>
      <c r="P35">
        <v>89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 t="s">
        <v>39</v>
      </c>
      <c r="X35" t="s">
        <v>39</v>
      </c>
      <c r="Y35" s="2">
        <v>4.3969907407407409E-2</v>
      </c>
      <c r="Z35" s="4">
        <v>0</v>
      </c>
      <c r="AA35">
        <v>0</v>
      </c>
      <c r="AB35" s="4">
        <v>0</v>
      </c>
      <c r="AC35" t="s">
        <v>40</v>
      </c>
      <c r="AD35" t="s">
        <v>88</v>
      </c>
      <c r="AE35">
        <v>11</v>
      </c>
      <c r="AF35">
        <v>0</v>
      </c>
      <c r="AG35" s="2">
        <v>4.3263888888888886E-2</v>
      </c>
      <c r="AH35" s="2">
        <v>4.3969907407407409E-2</v>
      </c>
      <c r="AI35">
        <v>14</v>
      </c>
      <c r="AJ35">
        <v>40</v>
      </c>
    </row>
    <row r="36" spans="1:36" x14ac:dyDescent="0.25">
      <c r="A36" t="s">
        <v>45</v>
      </c>
      <c r="B36" s="1">
        <v>44341.740810185183</v>
      </c>
      <c r="C36" t="s">
        <v>37</v>
      </c>
      <c r="D36" t="s">
        <v>49</v>
      </c>
      <c r="E36">
        <v>9.2100000000000009</v>
      </c>
      <c r="F36">
        <v>742</v>
      </c>
      <c r="G36" s="2">
        <v>4.1631944444444451E-2</v>
      </c>
      <c r="H36">
        <v>159</v>
      </c>
      <c r="I36">
        <v>182</v>
      </c>
      <c r="J36" t="s">
        <v>39</v>
      </c>
      <c r="K36" t="s">
        <v>39</v>
      </c>
      <c r="L36" t="s">
        <v>39</v>
      </c>
      <c r="M36" s="4">
        <v>0.27152777777777776</v>
      </c>
      <c r="N36" s="4">
        <v>3.6111111111111115E-2</v>
      </c>
      <c r="O36">
        <v>32</v>
      </c>
      <c r="P36">
        <v>32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 t="s">
        <v>39</v>
      </c>
      <c r="X36" t="s">
        <v>39</v>
      </c>
      <c r="Y36" s="3">
        <v>2.4979166666666668</v>
      </c>
      <c r="Z36" s="4">
        <v>0</v>
      </c>
      <c r="AA36">
        <v>0</v>
      </c>
      <c r="AB36" s="4">
        <v>0</v>
      </c>
      <c r="AC36" t="s">
        <v>40</v>
      </c>
      <c r="AD36" t="s">
        <v>89</v>
      </c>
      <c r="AE36">
        <v>14</v>
      </c>
      <c r="AF36">
        <v>0</v>
      </c>
      <c r="AG36" s="2">
        <v>4.1180555555555554E-2</v>
      </c>
      <c r="AH36" s="2">
        <v>4.1631944444444451E-2</v>
      </c>
      <c r="AI36">
        <v>10</v>
      </c>
      <c r="AJ36">
        <v>25</v>
      </c>
    </row>
    <row r="37" spans="1:36" x14ac:dyDescent="0.25">
      <c r="A37" t="s">
        <v>45</v>
      </c>
      <c r="B37" s="1">
        <v>44336.26771990741</v>
      </c>
      <c r="C37" t="s">
        <v>37</v>
      </c>
      <c r="D37" t="s">
        <v>49</v>
      </c>
      <c r="E37">
        <v>10.08</v>
      </c>
      <c r="F37">
        <v>826</v>
      </c>
      <c r="G37" s="2">
        <v>4.2256944444444444E-2</v>
      </c>
      <c r="H37">
        <v>167</v>
      </c>
      <c r="I37">
        <v>184</v>
      </c>
      <c r="J37" t="s">
        <v>39</v>
      </c>
      <c r="K37" t="s">
        <v>39</v>
      </c>
      <c r="L37" t="s">
        <v>39</v>
      </c>
      <c r="M37" s="4">
        <v>0.25138888888888888</v>
      </c>
      <c r="N37" s="4">
        <v>0.18541666666666667</v>
      </c>
      <c r="O37">
        <v>37</v>
      </c>
      <c r="P37">
        <v>50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 t="s">
        <v>39</v>
      </c>
      <c r="X37" t="s">
        <v>39</v>
      </c>
      <c r="Y37" s="2">
        <v>4.2256944444444444E-2</v>
      </c>
      <c r="Z37" s="4">
        <v>0</v>
      </c>
      <c r="AA37">
        <v>0</v>
      </c>
      <c r="AB37" s="4">
        <v>0</v>
      </c>
      <c r="AC37" t="s">
        <v>40</v>
      </c>
      <c r="AD37" t="s">
        <v>90</v>
      </c>
      <c r="AE37">
        <v>9</v>
      </c>
      <c r="AF37">
        <v>0</v>
      </c>
      <c r="AG37" s="2">
        <v>4.223379629629629E-2</v>
      </c>
      <c r="AH37" s="2">
        <v>4.2256944444444444E-2</v>
      </c>
      <c r="AI37">
        <v>9</v>
      </c>
      <c r="AJ37">
        <v>26</v>
      </c>
    </row>
    <row r="38" spans="1:36" x14ac:dyDescent="0.25">
      <c r="A38" t="s">
        <v>45</v>
      </c>
      <c r="B38" s="1">
        <v>44331.321018518516</v>
      </c>
      <c r="C38" t="s">
        <v>37</v>
      </c>
      <c r="D38" t="s">
        <v>49</v>
      </c>
      <c r="E38">
        <v>11.24</v>
      </c>
      <c r="F38">
        <v>953</v>
      </c>
      <c r="G38" s="2">
        <v>5.0092592592592598E-2</v>
      </c>
      <c r="H38">
        <v>164</v>
      </c>
      <c r="I38">
        <v>179</v>
      </c>
      <c r="J38" t="s">
        <v>39</v>
      </c>
      <c r="K38" t="s">
        <v>39</v>
      </c>
      <c r="L38" t="s">
        <v>39</v>
      </c>
      <c r="M38" s="4">
        <v>0.2673611111111111</v>
      </c>
      <c r="N38" s="4">
        <v>7.2916666666666671E-2</v>
      </c>
      <c r="O38">
        <v>125</v>
      </c>
      <c r="P38">
        <v>131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 t="s">
        <v>39</v>
      </c>
      <c r="X38" t="s">
        <v>39</v>
      </c>
      <c r="Y38" s="2">
        <v>5.0092592592592598E-2</v>
      </c>
      <c r="Z38" s="4">
        <v>0</v>
      </c>
      <c r="AA38">
        <v>0</v>
      </c>
      <c r="AB38" s="4">
        <v>0</v>
      </c>
      <c r="AC38" t="s">
        <v>40</v>
      </c>
      <c r="AD38" t="s">
        <v>91</v>
      </c>
      <c r="AE38">
        <v>12</v>
      </c>
      <c r="AF38">
        <v>0</v>
      </c>
      <c r="AG38" s="2">
        <v>5.004629629629629E-2</v>
      </c>
      <c r="AH38" s="2">
        <v>5.0092592592592598E-2</v>
      </c>
      <c r="AI38">
        <v>15</v>
      </c>
      <c r="AJ38">
        <v>59</v>
      </c>
    </row>
    <row r="39" spans="1:36" x14ac:dyDescent="0.25">
      <c r="A39" t="s">
        <v>45</v>
      </c>
      <c r="B39" s="1">
        <v>44329.731273148151</v>
      </c>
      <c r="C39" t="s">
        <v>37</v>
      </c>
      <c r="D39" t="s">
        <v>49</v>
      </c>
      <c r="E39">
        <v>9.01</v>
      </c>
      <c r="F39">
        <v>701</v>
      </c>
      <c r="G39" s="2">
        <v>3.7870370370370367E-2</v>
      </c>
      <c r="H39">
        <v>162</v>
      </c>
      <c r="I39">
        <v>187</v>
      </c>
      <c r="J39" t="s">
        <v>39</v>
      </c>
      <c r="K39" t="s">
        <v>39</v>
      </c>
      <c r="L39" t="s">
        <v>39</v>
      </c>
      <c r="M39" s="4">
        <v>0.25208333333333333</v>
      </c>
      <c r="N39" s="4">
        <v>0.16458333333333333</v>
      </c>
      <c r="O39">
        <v>29</v>
      </c>
      <c r="P39">
        <v>43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 t="s">
        <v>39</v>
      </c>
      <c r="X39" t="s">
        <v>39</v>
      </c>
      <c r="Y39" s="3">
        <v>2.2722222222222221</v>
      </c>
      <c r="Z39" s="4">
        <v>0</v>
      </c>
      <c r="AA39">
        <v>0</v>
      </c>
      <c r="AB39" s="4">
        <v>0</v>
      </c>
      <c r="AC39" t="s">
        <v>40</v>
      </c>
      <c r="AD39" t="s">
        <v>92</v>
      </c>
      <c r="AE39">
        <v>10</v>
      </c>
      <c r="AF39">
        <v>0</v>
      </c>
      <c r="AG39" s="2">
        <v>3.78587962962963E-2</v>
      </c>
      <c r="AH39" s="2">
        <v>3.7870370370370367E-2</v>
      </c>
      <c r="AI39">
        <v>12</v>
      </c>
      <c r="AJ39">
        <v>28</v>
      </c>
    </row>
    <row r="40" spans="1:36" x14ac:dyDescent="0.25">
      <c r="A40" t="s">
        <v>45</v>
      </c>
      <c r="B40" s="1">
        <v>44324.31622685185</v>
      </c>
      <c r="C40" t="s">
        <v>37</v>
      </c>
      <c r="D40" t="s">
        <v>49</v>
      </c>
      <c r="E40">
        <v>16.149999999999999</v>
      </c>
      <c r="F40" s="5">
        <v>1374</v>
      </c>
      <c r="G40" s="2">
        <v>6.9456018518518514E-2</v>
      </c>
      <c r="H40">
        <v>168</v>
      </c>
      <c r="I40">
        <v>181</v>
      </c>
      <c r="J40" t="s">
        <v>39</v>
      </c>
      <c r="K40" t="s">
        <v>39</v>
      </c>
      <c r="L40" t="s">
        <v>39</v>
      </c>
      <c r="M40" s="4">
        <v>0.25763888888888892</v>
      </c>
      <c r="N40" s="4">
        <v>4.1666666666666664E-2</v>
      </c>
      <c r="O40">
        <v>255</v>
      </c>
      <c r="P40">
        <v>270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 t="s">
        <v>39</v>
      </c>
      <c r="X40" t="s">
        <v>39</v>
      </c>
      <c r="Y40" s="2">
        <v>6.9456018518518514E-2</v>
      </c>
      <c r="Z40" s="4">
        <v>0</v>
      </c>
      <c r="AA40">
        <v>0</v>
      </c>
      <c r="AB40" s="4">
        <v>0</v>
      </c>
      <c r="AC40" t="s">
        <v>40</v>
      </c>
      <c r="AD40" t="s">
        <v>93</v>
      </c>
      <c r="AE40">
        <v>17</v>
      </c>
      <c r="AF40">
        <v>0</v>
      </c>
      <c r="AG40" s="2">
        <v>6.9386574074074073E-2</v>
      </c>
      <c r="AH40" s="2">
        <v>6.9456018518518514E-2</v>
      </c>
      <c r="AI40">
        <v>20</v>
      </c>
      <c r="AJ40">
        <v>117</v>
      </c>
    </row>
    <row r="41" spans="1:36" x14ac:dyDescent="0.25">
      <c r="A41" t="s">
        <v>45</v>
      </c>
      <c r="B41" s="1">
        <v>44322.283773148149</v>
      </c>
      <c r="C41" t="s">
        <v>37</v>
      </c>
      <c r="D41" t="s">
        <v>49</v>
      </c>
      <c r="E41">
        <v>7</v>
      </c>
      <c r="F41">
        <v>573</v>
      </c>
      <c r="G41" s="2">
        <v>3.0081018518518521E-2</v>
      </c>
      <c r="H41">
        <v>164</v>
      </c>
      <c r="I41">
        <v>176</v>
      </c>
      <c r="J41" t="s">
        <v>39</v>
      </c>
      <c r="K41" t="s">
        <v>39</v>
      </c>
      <c r="L41" t="s">
        <v>39</v>
      </c>
      <c r="M41" s="4">
        <v>0.25763888888888892</v>
      </c>
      <c r="N41" s="4">
        <v>0.23541666666666669</v>
      </c>
      <c r="O41">
        <v>35</v>
      </c>
      <c r="P41">
        <v>36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 t="s">
        <v>39</v>
      </c>
      <c r="X41" t="s">
        <v>39</v>
      </c>
      <c r="Y41" s="3">
        <v>1.8048611111111112</v>
      </c>
      <c r="Z41" s="4">
        <v>0</v>
      </c>
      <c r="AA41">
        <v>0</v>
      </c>
      <c r="AB41" s="4">
        <v>0</v>
      </c>
      <c r="AC41" t="s">
        <v>40</v>
      </c>
      <c r="AD41" t="s">
        <v>94</v>
      </c>
      <c r="AE41">
        <v>8</v>
      </c>
      <c r="AF41">
        <v>0</v>
      </c>
      <c r="AG41" s="2">
        <v>3.005787037037037E-2</v>
      </c>
      <c r="AH41" s="2">
        <v>3.0081018518518521E-2</v>
      </c>
      <c r="AI41">
        <v>12</v>
      </c>
      <c r="AJ41">
        <v>29</v>
      </c>
    </row>
    <row r="42" spans="1:36" x14ac:dyDescent="0.25">
      <c r="A42" t="s">
        <v>45</v>
      </c>
      <c r="B42" s="1">
        <v>44320.740694444445</v>
      </c>
      <c r="C42" t="s">
        <v>37</v>
      </c>
      <c r="D42" t="s">
        <v>49</v>
      </c>
      <c r="E42">
        <v>10</v>
      </c>
      <c r="F42">
        <v>863</v>
      </c>
      <c r="G42" s="2">
        <v>4.3055555555555562E-2</v>
      </c>
      <c r="H42">
        <v>169</v>
      </c>
      <c r="I42">
        <v>185</v>
      </c>
      <c r="J42" t="s">
        <v>39</v>
      </c>
      <c r="K42" t="s">
        <v>39</v>
      </c>
      <c r="L42" t="s">
        <v>39</v>
      </c>
      <c r="M42" s="4">
        <v>0.25833333333333336</v>
      </c>
      <c r="N42" s="4">
        <v>0.21944444444444444</v>
      </c>
      <c r="O42">
        <v>64</v>
      </c>
      <c r="P42">
        <v>64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 t="s">
        <v>39</v>
      </c>
      <c r="X42" t="s">
        <v>39</v>
      </c>
      <c r="Y42" s="2">
        <v>4.3055555555555562E-2</v>
      </c>
      <c r="Z42" s="4">
        <v>0</v>
      </c>
      <c r="AA42">
        <v>0</v>
      </c>
      <c r="AB42" s="4">
        <v>0</v>
      </c>
      <c r="AC42" t="s">
        <v>40</v>
      </c>
      <c r="AD42" t="s">
        <v>95</v>
      </c>
      <c r="AE42">
        <v>10</v>
      </c>
      <c r="AF42">
        <v>0</v>
      </c>
      <c r="AG42" s="2">
        <v>4.3020833333333335E-2</v>
      </c>
      <c r="AH42" s="2">
        <v>4.3055555555555562E-2</v>
      </c>
      <c r="AI42">
        <v>10</v>
      </c>
      <c r="AJ42">
        <v>34</v>
      </c>
    </row>
    <row r="43" spans="1:36" x14ac:dyDescent="0.25">
      <c r="A43" t="s">
        <v>45</v>
      </c>
      <c r="B43" s="1">
        <v>44315.751134259262</v>
      </c>
      <c r="C43" t="s">
        <v>37</v>
      </c>
      <c r="D43" t="s">
        <v>49</v>
      </c>
      <c r="E43">
        <v>10</v>
      </c>
      <c r="F43">
        <v>826</v>
      </c>
      <c r="G43" s="2">
        <v>4.3217592592592592E-2</v>
      </c>
      <c r="H43">
        <v>165</v>
      </c>
      <c r="I43">
        <v>181</v>
      </c>
      <c r="J43" t="s">
        <v>39</v>
      </c>
      <c r="K43" t="s">
        <v>39</v>
      </c>
      <c r="L43" t="s">
        <v>39</v>
      </c>
      <c r="M43" s="4">
        <v>0.2590277777777778</v>
      </c>
      <c r="N43" s="4">
        <v>0.20902777777777778</v>
      </c>
      <c r="O43">
        <v>57</v>
      </c>
      <c r="P43">
        <v>51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 t="s">
        <v>39</v>
      </c>
      <c r="X43" t="s">
        <v>39</v>
      </c>
      <c r="Y43" s="2">
        <v>4.3217592592592592E-2</v>
      </c>
      <c r="Z43" s="4">
        <v>0</v>
      </c>
      <c r="AA43">
        <v>0</v>
      </c>
      <c r="AB43" s="4">
        <v>0</v>
      </c>
      <c r="AC43" t="s">
        <v>40</v>
      </c>
      <c r="AD43" t="s">
        <v>96</v>
      </c>
      <c r="AE43">
        <v>11</v>
      </c>
      <c r="AF43">
        <v>0</v>
      </c>
      <c r="AG43" s="2">
        <v>4.3194444444444445E-2</v>
      </c>
      <c r="AH43" s="2">
        <v>4.3217592592592592E-2</v>
      </c>
      <c r="AI43">
        <v>10</v>
      </c>
      <c r="AJ43">
        <v>34</v>
      </c>
    </row>
    <row r="44" spans="1:36" x14ac:dyDescent="0.25">
      <c r="A44" t="s">
        <v>45</v>
      </c>
      <c r="B44" s="1">
        <v>44313.282685185186</v>
      </c>
      <c r="C44" t="s">
        <v>37</v>
      </c>
      <c r="D44" t="s">
        <v>49</v>
      </c>
      <c r="E44">
        <v>8</v>
      </c>
      <c r="F44">
        <v>649</v>
      </c>
      <c r="G44" s="2">
        <v>3.4930555555555555E-2</v>
      </c>
      <c r="H44">
        <v>163</v>
      </c>
      <c r="I44">
        <v>181</v>
      </c>
      <c r="J44" t="s">
        <v>39</v>
      </c>
      <c r="K44" t="s">
        <v>39</v>
      </c>
      <c r="L44" t="s">
        <v>39</v>
      </c>
      <c r="M44" s="4">
        <v>0.26180555555555557</v>
      </c>
      <c r="N44" s="4">
        <v>0.19513888888888889</v>
      </c>
      <c r="O44">
        <v>23</v>
      </c>
      <c r="P44">
        <v>18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 t="s">
        <v>39</v>
      </c>
      <c r="X44" t="s">
        <v>39</v>
      </c>
      <c r="Y44" s="3">
        <v>2.0958333333333332</v>
      </c>
      <c r="Z44" s="4">
        <v>0</v>
      </c>
      <c r="AA44">
        <v>0</v>
      </c>
      <c r="AB44" s="4">
        <v>0</v>
      </c>
      <c r="AC44" t="s">
        <v>40</v>
      </c>
      <c r="AD44" t="s">
        <v>97</v>
      </c>
      <c r="AE44">
        <v>14</v>
      </c>
      <c r="AF44">
        <v>0</v>
      </c>
      <c r="AG44" s="2">
        <v>3.0949074074074077E-2</v>
      </c>
      <c r="AH44" s="2">
        <v>3.4930555555555555E-2</v>
      </c>
      <c r="AI44">
        <v>12</v>
      </c>
      <c r="AJ44">
        <v>22</v>
      </c>
    </row>
    <row r="45" spans="1:36" x14ac:dyDescent="0.25">
      <c r="A45" t="s">
        <v>45</v>
      </c>
      <c r="B45" s="1">
        <v>44310.314004629632</v>
      </c>
      <c r="C45" t="s">
        <v>37</v>
      </c>
      <c r="D45" t="s">
        <v>49</v>
      </c>
      <c r="E45">
        <v>15.01</v>
      </c>
      <c r="F45" s="5">
        <v>1358</v>
      </c>
      <c r="G45" s="2">
        <v>6.5856481481481488E-2</v>
      </c>
      <c r="H45">
        <v>172</v>
      </c>
      <c r="I45">
        <v>187</v>
      </c>
      <c r="J45" t="s">
        <v>39</v>
      </c>
      <c r="K45" t="s">
        <v>39</v>
      </c>
      <c r="L45" t="s">
        <v>39</v>
      </c>
      <c r="M45" s="4">
        <v>0.26319444444444445</v>
      </c>
      <c r="N45" s="4">
        <v>0.14444444444444446</v>
      </c>
      <c r="O45">
        <v>205</v>
      </c>
      <c r="P45">
        <v>198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 t="s">
        <v>39</v>
      </c>
      <c r="X45" t="s">
        <v>39</v>
      </c>
      <c r="Y45" s="2">
        <v>6.5856481481481488E-2</v>
      </c>
      <c r="Z45" s="4">
        <v>0</v>
      </c>
      <c r="AA45">
        <v>0</v>
      </c>
      <c r="AB45" s="4">
        <v>0</v>
      </c>
      <c r="AC45" t="s">
        <v>40</v>
      </c>
      <c r="AD45" t="s">
        <v>98</v>
      </c>
      <c r="AE45">
        <v>16</v>
      </c>
      <c r="AF45">
        <v>0</v>
      </c>
      <c r="AG45" s="2">
        <v>6.582175925925926E-2</v>
      </c>
      <c r="AH45" s="2">
        <v>6.5856481481481488E-2</v>
      </c>
      <c r="AI45">
        <v>14</v>
      </c>
      <c r="AJ45">
        <v>60</v>
      </c>
    </row>
    <row r="46" spans="1:36" x14ac:dyDescent="0.25">
      <c r="A46" t="s">
        <v>45</v>
      </c>
      <c r="B46" s="1">
        <v>44306.274861111109</v>
      </c>
      <c r="C46" t="s">
        <v>37</v>
      </c>
      <c r="D46" t="s">
        <v>49</v>
      </c>
      <c r="E46">
        <v>8.01</v>
      </c>
      <c r="F46">
        <v>649</v>
      </c>
      <c r="G46" s="2">
        <v>3.3969907407407407E-2</v>
      </c>
      <c r="H46">
        <v>165</v>
      </c>
      <c r="I46">
        <v>229</v>
      </c>
      <c r="J46" t="s">
        <v>39</v>
      </c>
      <c r="K46" t="s">
        <v>39</v>
      </c>
      <c r="L46" t="s">
        <v>39</v>
      </c>
      <c r="M46" s="4">
        <v>0.25416666666666665</v>
      </c>
      <c r="N46" s="4">
        <v>0.10069444444444443</v>
      </c>
      <c r="O46">
        <v>92</v>
      </c>
      <c r="P46">
        <v>92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 t="s">
        <v>39</v>
      </c>
      <c r="X46" t="s">
        <v>39</v>
      </c>
      <c r="Y46" s="3">
        <v>2.0381944444444442</v>
      </c>
      <c r="Z46" s="4">
        <v>0</v>
      </c>
      <c r="AA46">
        <v>0</v>
      </c>
      <c r="AB46" s="4">
        <v>0</v>
      </c>
      <c r="AC46" t="s">
        <v>40</v>
      </c>
      <c r="AD46" t="s">
        <v>99</v>
      </c>
      <c r="AE46">
        <v>9</v>
      </c>
      <c r="AF46">
        <v>0</v>
      </c>
      <c r="AG46" s="2">
        <v>3.3935185185185186E-2</v>
      </c>
      <c r="AH46" s="2">
        <v>3.3969907407407407E-2</v>
      </c>
      <c r="AI46">
        <v>10</v>
      </c>
      <c r="AJ46">
        <v>37</v>
      </c>
    </row>
    <row r="47" spans="1:36" x14ac:dyDescent="0.25">
      <c r="A47" t="s">
        <v>45</v>
      </c>
      <c r="B47" s="1">
        <v>44303.302731481483</v>
      </c>
      <c r="C47" t="s">
        <v>37</v>
      </c>
      <c r="D47" t="s">
        <v>49</v>
      </c>
      <c r="E47">
        <v>10.01</v>
      </c>
      <c r="F47">
        <v>877</v>
      </c>
      <c r="G47" s="2">
        <v>4.0752314814814811E-2</v>
      </c>
      <c r="H47">
        <v>176</v>
      </c>
      <c r="I47">
        <v>184</v>
      </c>
      <c r="J47" t="s">
        <v>39</v>
      </c>
      <c r="K47" t="s">
        <v>39</v>
      </c>
      <c r="L47" t="s">
        <v>39</v>
      </c>
      <c r="M47" s="4">
        <v>0.24444444444444446</v>
      </c>
      <c r="N47" s="4">
        <v>0.1673611111111111</v>
      </c>
      <c r="O47">
        <v>32</v>
      </c>
      <c r="P47">
        <v>39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 t="s">
        <v>39</v>
      </c>
      <c r="X47" t="s">
        <v>39</v>
      </c>
      <c r="Y47" s="3">
        <v>2.4451388888888888</v>
      </c>
      <c r="Z47" s="4">
        <v>0</v>
      </c>
      <c r="AA47">
        <v>0</v>
      </c>
      <c r="AB47" s="4">
        <v>0</v>
      </c>
      <c r="AC47" t="s">
        <v>40</v>
      </c>
      <c r="AD47" t="s">
        <v>100</v>
      </c>
      <c r="AE47">
        <v>11</v>
      </c>
      <c r="AF47">
        <v>0</v>
      </c>
      <c r="AG47" s="2">
        <v>4.0729166666666664E-2</v>
      </c>
      <c r="AH47" s="2">
        <v>4.0752314814814811E-2</v>
      </c>
      <c r="AI47">
        <v>10</v>
      </c>
      <c r="AJ47">
        <v>26</v>
      </c>
    </row>
    <row r="48" spans="1:36" x14ac:dyDescent="0.25">
      <c r="A48" t="s">
        <v>45</v>
      </c>
      <c r="B48" s="1">
        <v>44299.799016203702</v>
      </c>
      <c r="C48" t="s">
        <v>37</v>
      </c>
      <c r="D48" t="s">
        <v>49</v>
      </c>
      <c r="E48">
        <v>5.03</v>
      </c>
      <c r="F48">
        <v>414</v>
      </c>
      <c r="G48" s="2">
        <v>2.4259259259259258E-2</v>
      </c>
      <c r="H48">
        <v>156</v>
      </c>
      <c r="I48">
        <v>180</v>
      </c>
      <c r="J48" t="s">
        <v>39</v>
      </c>
      <c r="K48" t="s">
        <v>39</v>
      </c>
      <c r="L48" t="s">
        <v>39</v>
      </c>
      <c r="M48" s="4">
        <v>0.28888888888888892</v>
      </c>
      <c r="N48" s="4">
        <v>0.16666666666666666</v>
      </c>
      <c r="O48">
        <v>103</v>
      </c>
      <c r="P48">
        <v>102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 t="s">
        <v>39</v>
      </c>
      <c r="X48" t="s">
        <v>39</v>
      </c>
      <c r="Y48" s="3">
        <v>1.4555555555555555</v>
      </c>
      <c r="Z48" s="4">
        <v>0</v>
      </c>
      <c r="AA48">
        <v>0</v>
      </c>
      <c r="AB48" s="4">
        <v>0</v>
      </c>
      <c r="AC48" t="s">
        <v>40</v>
      </c>
      <c r="AD48" t="s">
        <v>101</v>
      </c>
      <c r="AE48">
        <v>8</v>
      </c>
      <c r="AF48">
        <v>0</v>
      </c>
      <c r="AG48" s="2">
        <v>2.0254629629629629E-2</v>
      </c>
      <c r="AH48" s="2">
        <v>2.4259259259259258E-2</v>
      </c>
      <c r="AI48">
        <v>11</v>
      </c>
      <c r="AJ48">
        <v>25</v>
      </c>
    </row>
    <row r="49" spans="1:36" x14ac:dyDescent="0.25">
      <c r="A49" t="s">
        <v>45</v>
      </c>
      <c r="B49" s="1">
        <v>44299.762013888889</v>
      </c>
      <c r="C49" t="s">
        <v>37</v>
      </c>
      <c r="D49" t="s">
        <v>45</v>
      </c>
      <c r="E49">
        <v>0.01</v>
      </c>
      <c r="F49" t="s">
        <v>39</v>
      </c>
      <c r="G49" s="6">
        <v>6.9444444444444444E-5</v>
      </c>
      <c r="H49">
        <v>66</v>
      </c>
      <c r="I49">
        <v>70</v>
      </c>
      <c r="J49">
        <v>1</v>
      </c>
      <c r="K49">
        <v>60</v>
      </c>
      <c r="L49">
        <v>120</v>
      </c>
      <c r="M49" s="4">
        <v>0.55069444444444449</v>
      </c>
      <c r="N49" s="4">
        <v>0.31111111111111112</v>
      </c>
      <c r="O49" t="s">
        <v>39</v>
      </c>
      <c r="P49" t="s">
        <v>39</v>
      </c>
      <c r="Q49">
        <v>1.26</v>
      </c>
      <c r="R49">
        <v>0</v>
      </c>
      <c r="S49">
        <v>0</v>
      </c>
      <c r="T49">
        <v>0</v>
      </c>
      <c r="U49">
        <v>0</v>
      </c>
      <c r="V49">
        <v>0</v>
      </c>
      <c r="W49" t="s">
        <v>39</v>
      </c>
      <c r="X49" t="s">
        <v>39</v>
      </c>
      <c r="Y49" s="6">
        <v>6.9444444444444444E-5</v>
      </c>
      <c r="Z49" s="4">
        <v>0</v>
      </c>
      <c r="AA49">
        <v>0</v>
      </c>
      <c r="AB49" s="4">
        <v>0</v>
      </c>
      <c r="AC49" t="s">
        <v>40</v>
      </c>
      <c r="AD49" t="s">
        <v>102</v>
      </c>
      <c r="AE49">
        <v>2</v>
      </c>
      <c r="AF49">
        <v>0</v>
      </c>
      <c r="AG49" s="2">
        <v>3.4722222222222222E-5</v>
      </c>
      <c r="AH49" s="6">
        <v>2.175925925925926E-4</v>
      </c>
      <c r="AI49" t="s">
        <v>39</v>
      </c>
      <c r="AJ49" t="s">
        <v>39</v>
      </c>
    </row>
    <row r="50" spans="1:36" x14ac:dyDescent="0.25">
      <c r="A50" t="s">
        <v>45</v>
      </c>
      <c r="B50" s="1">
        <v>44296.305555555555</v>
      </c>
      <c r="C50" t="s">
        <v>37</v>
      </c>
      <c r="D50" t="s">
        <v>103</v>
      </c>
      <c r="E50">
        <v>7.01</v>
      </c>
      <c r="F50">
        <v>471</v>
      </c>
      <c r="G50" s="2">
        <v>2.6631944444444444E-2</v>
      </c>
      <c r="H50">
        <v>179</v>
      </c>
      <c r="I50">
        <v>190</v>
      </c>
      <c r="J50">
        <v>4.5999999999999996</v>
      </c>
      <c r="K50">
        <v>166</v>
      </c>
      <c r="L50">
        <v>174</v>
      </c>
      <c r="M50" s="4">
        <v>0.22777777777777777</v>
      </c>
      <c r="N50" s="4">
        <v>0.21666666666666667</v>
      </c>
      <c r="O50">
        <v>3</v>
      </c>
      <c r="P50">
        <v>17</v>
      </c>
      <c r="Q50">
        <v>1.1000000000000001</v>
      </c>
      <c r="R50">
        <v>0</v>
      </c>
      <c r="S50">
        <v>0</v>
      </c>
      <c r="T50">
        <v>0</v>
      </c>
      <c r="U50">
        <v>0</v>
      </c>
      <c r="V50">
        <v>0</v>
      </c>
      <c r="W50" t="s">
        <v>39</v>
      </c>
      <c r="X50" t="s">
        <v>39</v>
      </c>
      <c r="Y50" s="3">
        <v>1.5979166666666667</v>
      </c>
      <c r="Z50" s="4">
        <v>0</v>
      </c>
      <c r="AA50">
        <v>0</v>
      </c>
      <c r="AB50" s="4">
        <v>0</v>
      </c>
      <c r="AC50" t="s">
        <v>40</v>
      </c>
      <c r="AD50" t="s">
        <v>104</v>
      </c>
      <c r="AE50">
        <v>2</v>
      </c>
      <c r="AF50">
        <v>0</v>
      </c>
      <c r="AG50" s="2">
        <v>2.6631944444444444E-2</v>
      </c>
      <c r="AH50" s="2">
        <v>2.6631944444444444E-2</v>
      </c>
      <c r="AI50">
        <v>12</v>
      </c>
      <c r="AJ50">
        <v>28</v>
      </c>
    </row>
    <row r="51" spans="1:36" x14ac:dyDescent="0.25">
      <c r="A51" t="s">
        <v>45</v>
      </c>
      <c r="B51" s="1">
        <v>44294.735520833332</v>
      </c>
      <c r="C51" t="s">
        <v>37</v>
      </c>
      <c r="D51" t="s">
        <v>45</v>
      </c>
      <c r="E51">
        <v>10.029999999999999</v>
      </c>
      <c r="F51">
        <v>663</v>
      </c>
      <c r="G51" s="2">
        <v>3.9895833333333332E-2</v>
      </c>
      <c r="H51">
        <v>174</v>
      </c>
      <c r="I51">
        <v>188</v>
      </c>
      <c r="J51">
        <v>5</v>
      </c>
      <c r="K51">
        <v>160</v>
      </c>
      <c r="L51">
        <v>168</v>
      </c>
      <c r="M51" s="4">
        <v>0.2388888888888889</v>
      </c>
      <c r="N51" s="4">
        <v>0.20069444444444443</v>
      </c>
      <c r="O51" t="s">
        <v>39</v>
      </c>
      <c r="P51" t="s">
        <v>39</v>
      </c>
      <c r="Q51">
        <v>1.0900000000000001</v>
      </c>
      <c r="R51">
        <v>0</v>
      </c>
      <c r="S51">
        <v>0</v>
      </c>
      <c r="T51">
        <v>0</v>
      </c>
      <c r="U51">
        <v>0</v>
      </c>
      <c r="V51">
        <v>0</v>
      </c>
      <c r="W51" t="s">
        <v>39</v>
      </c>
      <c r="X51" t="s">
        <v>39</v>
      </c>
      <c r="Y51" s="3">
        <v>2.3937500000000003</v>
      </c>
      <c r="Z51" s="4">
        <v>0</v>
      </c>
      <c r="AA51">
        <v>0</v>
      </c>
      <c r="AB51" s="4">
        <v>0</v>
      </c>
      <c r="AC51" t="s">
        <v>40</v>
      </c>
      <c r="AD51" t="s">
        <v>105</v>
      </c>
      <c r="AE51">
        <v>11</v>
      </c>
      <c r="AF51">
        <v>0</v>
      </c>
      <c r="AG51" s="2">
        <v>3.9884259259259258E-2</v>
      </c>
      <c r="AH51" s="2">
        <v>3.9895833333333332E-2</v>
      </c>
      <c r="AI51" t="s">
        <v>39</v>
      </c>
      <c r="AJ51" t="s">
        <v>39</v>
      </c>
    </row>
    <row r="52" spans="1:36" x14ac:dyDescent="0.25">
      <c r="A52" t="s">
        <v>45</v>
      </c>
      <c r="B52" s="1">
        <v>44292.743807870371</v>
      </c>
      <c r="C52" t="s">
        <v>37</v>
      </c>
      <c r="D52" t="s">
        <v>106</v>
      </c>
      <c r="E52">
        <v>11.35</v>
      </c>
      <c r="F52">
        <v>774</v>
      </c>
      <c r="G52" s="2">
        <v>4.8900462962962965E-2</v>
      </c>
      <c r="H52">
        <v>168</v>
      </c>
      <c r="I52">
        <v>187</v>
      </c>
      <c r="J52">
        <v>5</v>
      </c>
      <c r="K52">
        <v>154</v>
      </c>
      <c r="L52">
        <v>175</v>
      </c>
      <c r="M52" s="4">
        <v>0.25833333333333336</v>
      </c>
      <c r="N52" s="4">
        <v>0.10416666666666667</v>
      </c>
      <c r="O52">
        <v>13</v>
      </c>
      <c r="P52">
        <v>20</v>
      </c>
      <c r="Q52">
        <v>1.03</v>
      </c>
      <c r="R52">
        <v>0</v>
      </c>
      <c r="S52">
        <v>0</v>
      </c>
      <c r="T52">
        <v>0</v>
      </c>
      <c r="U52">
        <v>0</v>
      </c>
      <c r="V52">
        <v>0</v>
      </c>
      <c r="W52" t="s">
        <v>39</v>
      </c>
      <c r="X52" t="s">
        <v>39</v>
      </c>
      <c r="Y52" s="2">
        <v>4.8900462962962965E-2</v>
      </c>
      <c r="Z52" s="4">
        <v>0</v>
      </c>
      <c r="AA52">
        <v>0</v>
      </c>
      <c r="AB52" s="4">
        <v>0</v>
      </c>
      <c r="AC52" t="s">
        <v>40</v>
      </c>
      <c r="AD52" t="s">
        <v>107</v>
      </c>
      <c r="AE52">
        <v>33</v>
      </c>
      <c r="AF52">
        <v>0</v>
      </c>
      <c r="AG52" s="2">
        <v>4.87037037037037E-2</v>
      </c>
      <c r="AH52" s="2">
        <v>4.8900462962962965E-2</v>
      </c>
      <c r="AI52">
        <v>9</v>
      </c>
      <c r="AJ52">
        <v>26</v>
      </c>
    </row>
    <row r="53" spans="1:36" x14ac:dyDescent="0.25">
      <c r="A53" t="s">
        <v>45</v>
      </c>
      <c r="B53" s="1">
        <v>44288.291875000003</v>
      </c>
      <c r="C53" t="s">
        <v>37</v>
      </c>
      <c r="D53" t="s">
        <v>108</v>
      </c>
      <c r="E53">
        <v>11.18</v>
      </c>
      <c r="F53">
        <v>687</v>
      </c>
      <c r="G53" s="2">
        <v>4.760416666666667E-2</v>
      </c>
      <c r="H53">
        <v>165</v>
      </c>
      <c r="I53">
        <v>186</v>
      </c>
      <c r="J53">
        <v>4.0999999999999996</v>
      </c>
      <c r="K53">
        <v>150</v>
      </c>
      <c r="L53">
        <v>171</v>
      </c>
      <c r="M53" s="4">
        <v>0.25555555555555559</v>
      </c>
      <c r="N53" s="4">
        <v>0.19166666666666665</v>
      </c>
      <c r="O53">
        <v>35</v>
      </c>
      <c r="P53">
        <v>37</v>
      </c>
      <c r="Q53">
        <v>1.08</v>
      </c>
      <c r="R53">
        <v>0</v>
      </c>
      <c r="S53">
        <v>0</v>
      </c>
      <c r="T53">
        <v>0</v>
      </c>
      <c r="U53">
        <v>0</v>
      </c>
      <c r="V53">
        <v>0</v>
      </c>
      <c r="W53" t="s">
        <v>39</v>
      </c>
      <c r="X53" t="s">
        <v>39</v>
      </c>
      <c r="Y53" s="2">
        <v>4.760416666666667E-2</v>
      </c>
      <c r="Z53" s="4">
        <v>0</v>
      </c>
      <c r="AA53">
        <v>0</v>
      </c>
      <c r="AB53" s="4">
        <v>0</v>
      </c>
      <c r="AC53" t="s">
        <v>40</v>
      </c>
      <c r="AD53" t="s">
        <v>109</v>
      </c>
      <c r="AE53">
        <v>10</v>
      </c>
      <c r="AF53">
        <v>0</v>
      </c>
      <c r="AG53" s="2">
        <v>4.7592592592592596E-2</v>
      </c>
      <c r="AH53" s="2">
        <v>4.7812500000000001E-2</v>
      </c>
      <c r="AI53">
        <v>9</v>
      </c>
      <c r="AJ53">
        <v>25</v>
      </c>
    </row>
    <row r="54" spans="1:36" x14ac:dyDescent="0.25">
      <c r="A54" t="s">
        <v>45</v>
      </c>
      <c r="B54" s="1">
        <v>44285.736817129633</v>
      </c>
      <c r="C54" t="s">
        <v>37</v>
      </c>
      <c r="D54" t="s">
        <v>110</v>
      </c>
      <c r="E54">
        <v>8.3000000000000007</v>
      </c>
      <c r="F54">
        <v>484</v>
      </c>
      <c r="G54" s="2">
        <v>3.9629629629629633E-2</v>
      </c>
      <c r="H54">
        <v>157</v>
      </c>
      <c r="I54">
        <v>229</v>
      </c>
      <c r="J54" t="s">
        <v>39</v>
      </c>
      <c r="K54">
        <v>142</v>
      </c>
      <c r="L54">
        <v>177</v>
      </c>
      <c r="M54" s="4">
        <v>0.28611111111111115</v>
      </c>
      <c r="N54" s="4">
        <v>0.15763888888888888</v>
      </c>
      <c r="O54">
        <v>35</v>
      </c>
      <c r="P54">
        <v>37</v>
      </c>
      <c r="Q54">
        <v>1</v>
      </c>
      <c r="R54">
        <v>0</v>
      </c>
      <c r="S54">
        <v>0</v>
      </c>
      <c r="T54">
        <v>0</v>
      </c>
      <c r="U54">
        <v>0</v>
      </c>
      <c r="V54">
        <v>0</v>
      </c>
      <c r="W54" t="s">
        <v>39</v>
      </c>
      <c r="X54" t="s">
        <v>39</v>
      </c>
      <c r="Y54" s="3">
        <v>2.3777777777777778</v>
      </c>
      <c r="Z54" s="4">
        <v>0</v>
      </c>
      <c r="AA54">
        <v>0</v>
      </c>
      <c r="AB54" s="4">
        <v>0</v>
      </c>
      <c r="AC54" t="s">
        <v>40</v>
      </c>
      <c r="AD54" t="s">
        <v>111</v>
      </c>
      <c r="AE54">
        <v>27</v>
      </c>
      <c r="AF54">
        <v>0</v>
      </c>
      <c r="AG54" s="2">
        <v>3.9409722222222221E-2</v>
      </c>
      <c r="AH54" s="2">
        <v>3.9629629629629633E-2</v>
      </c>
      <c r="AI54">
        <v>9</v>
      </c>
      <c r="AJ54">
        <v>26</v>
      </c>
    </row>
    <row r="55" spans="1:36" x14ac:dyDescent="0.25">
      <c r="A55" t="s">
        <v>45</v>
      </c>
      <c r="B55" s="1">
        <v>44282.300810185188</v>
      </c>
      <c r="C55" t="s">
        <v>37</v>
      </c>
      <c r="D55" t="s">
        <v>49</v>
      </c>
      <c r="E55">
        <v>12.34</v>
      </c>
      <c r="F55">
        <v>904</v>
      </c>
      <c r="G55" s="2">
        <v>5.5578703703703707E-2</v>
      </c>
      <c r="H55">
        <v>173</v>
      </c>
      <c r="I55">
        <v>188</v>
      </c>
      <c r="J55">
        <v>5</v>
      </c>
      <c r="K55">
        <v>152</v>
      </c>
      <c r="L55">
        <v>169</v>
      </c>
      <c r="M55" s="4">
        <v>0.27013888888888887</v>
      </c>
      <c r="N55" s="4">
        <v>0.22430555555555556</v>
      </c>
      <c r="O55">
        <v>156</v>
      </c>
      <c r="P55">
        <v>165</v>
      </c>
      <c r="Q55">
        <v>1.01</v>
      </c>
      <c r="R55">
        <v>0</v>
      </c>
      <c r="S55">
        <v>0</v>
      </c>
      <c r="T55">
        <v>0</v>
      </c>
      <c r="U55">
        <v>0</v>
      </c>
      <c r="V55">
        <v>0</v>
      </c>
      <c r="W55" t="s">
        <v>39</v>
      </c>
      <c r="X55" t="s">
        <v>39</v>
      </c>
      <c r="Y55" s="2">
        <v>5.5578703703703707E-2</v>
      </c>
      <c r="Z55" s="4">
        <v>0</v>
      </c>
      <c r="AA55">
        <v>0</v>
      </c>
      <c r="AB55" s="4">
        <v>0</v>
      </c>
      <c r="AC55" t="s">
        <v>40</v>
      </c>
      <c r="AD55" t="s">
        <v>112</v>
      </c>
      <c r="AE55">
        <v>13</v>
      </c>
      <c r="AF55">
        <v>0</v>
      </c>
      <c r="AG55" s="2">
        <v>5.5555555555555552E-2</v>
      </c>
      <c r="AH55" s="2">
        <v>5.5578703703703707E-2</v>
      </c>
      <c r="AI55">
        <v>16</v>
      </c>
      <c r="AJ55">
        <v>109</v>
      </c>
    </row>
    <row r="56" spans="1:36" x14ac:dyDescent="0.25">
      <c r="A56" t="s">
        <v>45</v>
      </c>
      <c r="B56" s="1">
        <v>44278.737187500003</v>
      </c>
      <c r="C56" t="s">
        <v>37</v>
      </c>
      <c r="D56" t="s">
        <v>113</v>
      </c>
      <c r="E56">
        <v>6.01</v>
      </c>
      <c r="F56">
        <v>396</v>
      </c>
      <c r="G56" s="2">
        <v>2.5821759259259256E-2</v>
      </c>
      <c r="H56">
        <v>164</v>
      </c>
      <c r="I56">
        <v>187</v>
      </c>
      <c r="J56">
        <v>3.8</v>
      </c>
      <c r="K56">
        <v>159</v>
      </c>
      <c r="L56">
        <v>171</v>
      </c>
      <c r="M56" s="4">
        <v>0.25763888888888892</v>
      </c>
      <c r="N56" s="4">
        <v>0.20208333333333331</v>
      </c>
      <c r="O56" t="s">
        <v>39</v>
      </c>
      <c r="P56">
        <v>13</v>
      </c>
      <c r="Q56">
        <v>1.01</v>
      </c>
      <c r="R56">
        <v>0</v>
      </c>
      <c r="S56">
        <v>0</v>
      </c>
      <c r="T56">
        <v>0</v>
      </c>
      <c r="U56">
        <v>0</v>
      </c>
      <c r="V56">
        <v>0</v>
      </c>
      <c r="W56" t="s">
        <v>39</v>
      </c>
      <c r="X56" t="s">
        <v>39</v>
      </c>
      <c r="Y56" s="3">
        <v>1.5493055555555555</v>
      </c>
      <c r="Z56" s="4">
        <v>0</v>
      </c>
      <c r="AA56">
        <v>0</v>
      </c>
      <c r="AB56" s="4">
        <v>0</v>
      </c>
      <c r="AC56" t="s">
        <v>40</v>
      </c>
      <c r="AD56" t="s">
        <v>114</v>
      </c>
      <c r="AE56">
        <v>4</v>
      </c>
      <c r="AF56">
        <v>0</v>
      </c>
      <c r="AG56" s="2">
        <v>2.5821759259259256E-2</v>
      </c>
      <c r="AH56" s="2">
        <v>2.5821759259259256E-2</v>
      </c>
      <c r="AI56">
        <v>9</v>
      </c>
      <c r="AJ56">
        <v>25</v>
      </c>
    </row>
    <row r="57" spans="1:36" x14ac:dyDescent="0.25">
      <c r="A57" t="s">
        <v>45</v>
      </c>
      <c r="B57" s="1">
        <v>44276.335613425923</v>
      </c>
      <c r="C57" t="s">
        <v>37</v>
      </c>
      <c r="D57" t="s">
        <v>49</v>
      </c>
      <c r="E57">
        <v>9.42</v>
      </c>
      <c r="F57">
        <v>693</v>
      </c>
      <c r="G57" s="2">
        <v>4.1678240740740745E-2</v>
      </c>
      <c r="H57">
        <v>175</v>
      </c>
      <c r="I57">
        <v>188</v>
      </c>
      <c r="J57">
        <v>5</v>
      </c>
      <c r="K57">
        <v>156</v>
      </c>
      <c r="L57">
        <v>172</v>
      </c>
      <c r="M57" s="4">
        <v>0.26527777777777778</v>
      </c>
      <c r="N57" s="4">
        <v>0.18541666666666667</v>
      </c>
      <c r="O57">
        <v>29</v>
      </c>
      <c r="P57">
        <v>34</v>
      </c>
      <c r="Q57">
        <v>1.01</v>
      </c>
      <c r="R57">
        <v>0</v>
      </c>
      <c r="S57">
        <v>0</v>
      </c>
      <c r="T57">
        <v>0</v>
      </c>
      <c r="U57">
        <v>0</v>
      </c>
      <c r="V57">
        <v>0</v>
      </c>
      <c r="W57" t="s">
        <v>39</v>
      </c>
      <c r="X57" t="s">
        <v>39</v>
      </c>
      <c r="Y57" s="2">
        <v>4.1678240740740745E-2</v>
      </c>
      <c r="Z57" s="4">
        <v>0</v>
      </c>
      <c r="AA57">
        <v>0</v>
      </c>
      <c r="AB57" s="4">
        <v>0</v>
      </c>
      <c r="AC57" t="s">
        <v>40</v>
      </c>
      <c r="AD57" t="s">
        <v>115</v>
      </c>
      <c r="AE57">
        <v>10</v>
      </c>
      <c r="AF57">
        <v>0</v>
      </c>
      <c r="AG57" s="2">
        <v>4.1655092592592598E-2</v>
      </c>
      <c r="AH57" s="2">
        <v>4.1678240740740745E-2</v>
      </c>
      <c r="AI57">
        <v>9</v>
      </c>
      <c r="AJ57">
        <v>26</v>
      </c>
    </row>
    <row r="58" spans="1:36" x14ac:dyDescent="0.25">
      <c r="A58" t="s">
        <v>45</v>
      </c>
      <c r="B58" s="1">
        <v>44273.260821759257</v>
      </c>
      <c r="C58" t="s">
        <v>37</v>
      </c>
      <c r="D58" t="s">
        <v>116</v>
      </c>
      <c r="E58">
        <v>9.41</v>
      </c>
      <c r="F58">
        <v>673</v>
      </c>
      <c r="G58" s="2">
        <v>4.3483796296296291E-2</v>
      </c>
      <c r="H58">
        <v>168</v>
      </c>
      <c r="I58">
        <v>192</v>
      </c>
      <c r="J58">
        <v>4.5</v>
      </c>
      <c r="K58">
        <v>151</v>
      </c>
      <c r="L58">
        <v>171</v>
      </c>
      <c r="M58" s="4">
        <v>0.27708333333333335</v>
      </c>
      <c r="N58" s="4">
        <v>0.17569444444444446</v>
      </c>
      <c r="O58">
        <v>12</v>
      </c>
      <c r="P58">
        <v>14</v>
      </c>
      <c r="Q58">
        <v>0.99</v>
      </c>
      <c r="R58">
        <v>0</v>
      </c>
      <c r="S58">
        <v>0</v>
      </c>
      <c r="T58">
        <v>0</v>
      </c>
      <c r="U58">
        <v>0</v>
      </c>
      <c r="V58">
        <v>0</v>
      </c>
      <c r="W58" t="s">
        <v>39</v>
      </c>
      <c r="X58" t="s">
        <v>39</v>
      </c>
      <c r="Y58" s="2">
        <v>4.3483796296296291E-2</v>
      </c>
      <c r="Z58" s="4">
        <v>0</v>
      </c>
      <c r="AA58">
        <v>0</v>
      </c>
      <c r="AB58" s="4">
        <v>0</v>
      </c>
      <c r="AC58" t="s">
        <v>40</v>
      </c>
      <c r="AD58" t="s">
        <v>117</v>
      </c>
      <c r="AE58">
        <v>15</v>
      </c>
      <c r="AF58">
        <v>0</v>
      </c>
      <c r="AG58" s="2">
        <v>4.3275462962962967E-2</v>
      </c>
      <c r="AH58" s="2">
        <v>4.3483796296296291E-2</v>
      </c>
      <c r="AI58">
        <v>12</v>
      </c>
      <c r="AJ58">
        <v>30</v>
      </c>
    </row>
    <row r="59" spans="1:36" x14ac:dyDescent="0.25">
      <c r="A59" t="s">
        <v>45</v>
      </c>
      <c r="B59" s="1">
        <v>44271.254363425927</v>
      </c>
      <c r="C59" t="s">
        <v>37</v>
      </c>
      <c r="D59" t="s">
        <v>49</v>
      </c>
      <c r="E59">
        <v>10.02</v>
      </c>
      <c r="F59">
        <v>723</v>
      </c>
      <c r="G59" s="2">
        <v>4.7083333333333331E-2</v>
      </c>
      <c r="H59">
        <v>164</v>
      </c>
      <c r="I59">
        <v>185</v>
      </c>
      <c r="J59">
        <v>4.2</v>
      </c>
      <c r="K59">
        <v>148</v>
      </c>
      <c r="L59">
        <v>166</v>
      </c>
      <c r="M59" s="4">
        <v>0.28194444444444444</v>
      </c>
      <c r="N59" s="4">
        <v>0.23263888888888887</v>
      </c>
      <c r="O59">
        <v>115</v>
      </c>
      <c r="P59">
        <v>121</v>
      </c>
      <c r="Q59">
        <v>1</v>
      </c>
      <c r="R59">
        <v>0</v>
      </c>
      <c r="S59">
        <v>0</v>
      </c>
      <c r="T59">
        <v>0</v>
      </c>
      <c r="U59">
        <v>0</v>
      </c>
      <c r="V59">
        <v>0</v>
      </c>
      <c r="W59" t="s">
        <v>39</v>
      </c>
      <c r="X59" t="s">
        <v>39</v>
      </c>
      <c r="Y59" s="2">
        <v>4.7083333333333331E-2</v>
      </c>
      <c r="Z59" s="4">
        <v>0</v>
      </c>
      <c r="AA59">
        <v>0</v>
      </c>
      <c r="AB59" s="4">
        <v>0</v>
      </c>
      <c r="AC59" t="s">
        <v>40</v>
      </c>
      <c r="AD59" t="s">
        <v>118</v>
      </c>
      <c r="AE59">
        <v>11</v>
      </c>
      <c r="AF59">
        <v>0</v>
      </c>
      <c r="AG59" s="2">
        <v>4.7060185185185184E-2</v>
      </c>
      <c r="AH59" s="2">
        <v>4.7083333333333331E-2</v>
      </c>
      <c r="AI59">
        <v>17</v>
      </c>
      <c r="AJ59">
        <v>51</v>
      </c>
    </row>
    <row r="60" spans="1:36" x14ac:dyDescent="0.25">
      <c r="A60" t="s">
        <v>45</v>
      </c>
      <c r="B60" s="1">
        <v>44262.329270833332</v>
      </c>
      <c r="C60" t="s">
        <v>37</v>
      </c>
      <c r="D60" t="s">
        <v>49</v>
      </c>
      <c r="E60">
        <v>15.39</v>
      </c>
      <c r="F60" s="5">
        <v>1115</v>
      </c>
      <c r="G60" s="2">
        <v>7.0416666666666669E-2</v>
      </c>
      <c r="H60">
        <v>168</v>
      </c>
      <c r="I60">
        <v>184</v>
      </c>
      <c r="J60">
        <v>4.5999999999999996</v>
      </c>
      <c r="K60">
        <v>146</v>
      </c>
      <c r="L60">
        <v>170</v>
      </c>
      <c r="M60" s="4">
        <v>0.27430555555555552</v>
      </c>
      <c r="N60" s="4">
        <v>0.22152777777777777</v>
      </c>
      <c r="O60">
        <v>289</v>
      </c>
      <c r="P60">
        <v>268</v>
      </c>
      <c r="Q60">
        <v>1.03</v>
      </c>
      <c r="R60">
        <v>0</v>
      </c>
      <c r="S60">
        <v>0</v>
      </c>
      <c r="T60">
        <v>0</v>
      </c>
      <c r="U60">
        <v>0</v>
      </c>
      <c r="V60">
        <v>0</v>
      </c>
      <c r="W60" t="s">
        <v>39</v>
      </c>
      <c r="X60" t="s">
        <v>39</v>
      </c>
      <c r="Y60" s="2">
        <v>7.0416666666666669E-2</v>
      </c>
      <c r="Z60" s="4">
        <v>0</v>
      </c>
      <c r="AA60">
        <v>0</v>
      </c>
      <c r="AB60" s="4">
        <v>0</v>
      </c>
      <c r="AC60" t="s">
        <v>40</v>
      </c>
      <c r="AD60" t="s">
        <v>119</v>
      </c>
      <c r="AE60">
        <v>16</v>
      </c>
      <c r="AF60">
        <v>0</v>
      </c>
      <c r="AG60" s="2">
        <v>7.0300925925925919E-2</v>
      </c>
      <c r="AH60" s="2">
        <v>7.0416666666666669E-2</v>
      </c>
      <c r="AI60">
        <v>17</v>
      </c>
      <c r="AJ60">
        <v>126</v>
      </c>
    </row>
    <row r="61" spans="1:36" x14ac:dyDescent="0.25">
      <c r="A61" t="s">
        <v>45</v>
      </c>
      <c r="B61" s="1">
        <v>44259.271307870367</v>
      </c>
      <c r="C61" t="s">
        <v>37</v>
      </c>
      <c r="D61" t="s">
        <v>49</v>
      </c>
      <c r="E61">
        <v>8.01</v>
      </c>
      <c r="F61">
        <v>547</v>
      </c>
      <c r="G61" s="2">
        <v>3.4189814814814819E-2</v>
      </c>
      <c r="H61">
        <v>166</v>
      </c>
      <c r="I61">
        <v>181</v>
      </c>
      <c r="J61">
        <v>4.0999999999999996</v>
      </c>
      <c r="K61">
        <v>161</v>
      </c>
      <c r="L61">
        <v>168</v>
      </c>
      <c r="M61" s="4">
        <v>0.25625000000000003</v>
      </c>
      <c r="N61" s="4">
        <v>0.22291666666666665</v>
      </c>
      <c r="O61">
        <v>96</v>
      </c>
      <c r="P61">
        <v>98</v>
      </c>
      <c r="Q61">
        <v>1.01</v>
      </c>
      <c r="R61">
        <v>0</v>
      </c>
      <c r="S61">
        <v>0</v>
      </c>
      <c r="T61">
        <v>0</v>
      </c>
      <c r="U61">
        <v>0</v>
      </c>
      <c r="V61">
        <v>0</v>
      </c>
      <c r="W61" t="s">
        <v>39</v>
      </c>
      <c r="X61" t="s">
        <v>39</v>
      </c>
      <c r="Y61" s="3">
        <v>2.0513888888888889</v>
      </c>
      <c r="Z61" s="4">
        <v>0</v>
      </c>
      <c r="AA61">
        <v>0</v>
      </c>
      <c r="AB61" s="4">
        <v>0</v>
      </c>
      <c r="AC61" t="s">
        <v>40</v>
      </c>
      <c r="AD61" t="s">
        <v>120</v>
      </c>
      <c r="AE61">
        <v>9</v>
      </c>
      <c r="AF61">
        <v>0</v>
      </c>
      <c r="AG61" s="2">
        <v>3.4166666666666672E-2</v>
      </c>
      <c r="AH61" s="2">
        <v>3.4189814814814819E-2</v>
      </c>
      <c r="AI61">
        <v>17</v>
      </c>
      <c r="AJ61">
        <v>52</v>
      </c>
    </row>
    <row r="62" spans="1:36" x14ac:dyDescent="0.25">
      <c r="A62" t="s">
        <v>45</v>
      </c>
      <c r="B62" s="1">
        <v>44257.271458333336</v>
      </c>
      <c r="C62" t="s">
        <v>37</v>
      </c>
      <c r="D62" t="s">
        <v>121</v>
      </c>
      <c r="E62">
        <v>7.77</v>
      </c>
      <c r="F62">
        <v>528</v>
      </c>
      <c r="G62" s="2">
        <v>5.0486111111111114E-2</v>
      </c>
      <c r="H62">
        <v>145</v>
      </c>
      <c r="I62">
        <v>182</v>
      </c>
      <c r="J62">
        <v>3.2</v>
      </c>
      <c r="K62">
        <v>135</v>
      </c>
      <c r="L62">
        <v>177</v>
      </c>
      <c r="M62" s="4">
        <v>0.39027777777777778</v>
      </c>
      <c r="N62" s="4">
        <v>0.10486111111111111</v>
      </c>
      <c r="O62">
        <v>256</v>
      </c>
      <c r="P62">
        <v>265</v>
      </c>
      <c r="Q62">
        <v>0.79</v>
      </c>
      <c r="R62">
        <v>0</v>
      </c>
      <c r="S62">
        <v>0</v>
      </c>
      <c r="T62">
        <v>0</v>
      </c>
      <c r="U62">
        <v>0</v>
      </c>
      <c r="V62">
        <v>0</v>
      </c>
      <c r="W62" t="s">
        <v>39</v>
      </c>
      <c r="X62" t="s">
        <v>39</v>
      </c>
      <c r="Y62" s="2">
        <v>5.0486111111111114E-2</v>
      </c>
      <c r="Z62" s="4">
        <v>0</v>
      </c>
      <c r="AA62">
        <v>0</v>
      </c>
      <c r="AB62" s="4">
        <v>0</v>
      </c>
      <c r="AC62" t="s">
        <v>40</v>
      </c>
      <c r="AD62" t="s">
        <v>69</v>
      </c>
      <c r="AE62">
        <v>23</v>
      </c>
      <c r="AF62">
        <v>0</v>
      </c>
      <c r="AG62" s="2">
        <v>4.9328703703703701E-2</v>
      </c>
      <c r="AH62" s="2">
        <v>5.0486111111111114E-2</v>
      </c>
      <c r="AI62">
        <v>10</v>
      </c>
      <c r="AJ62">
        <v>42</v>
      </c>
    </row>
    <row r="63" spans="1:36" x14ac:dyDescent="0.25">
      <c r="A63" t="s">
        <v>45</v>
      </c>
      <c r="B63" s="1">
        <v>44252.272997685184</v>
      </c>
      <c r="C63" t="s">
        <v>37</v>
      </c>
      <c r="D63" t="s">
        <v>122</v>
      </c>
      <c r="E63">
        <v>11.15</v>
      </c>
      <c r="F63">
        <v>704</v>
      </c>
      <c r="G63" s="2">
        <v>4.8009259259259258E-2</v>
      </c>
      <c r="H63">
        <v>167</v>
      </c>
      <c r="I63">
        <v>188</v>
      </c>
      <c r="J63">
        <v>4.5</v>
      </c>
      <c r="K63">
        <v>155</v>
      </c>
      <c r="L63">
        <v>173</v>
      </c>
      <c r="M63" s="4">
        <v>0.25833333333333336</v>
      </c>
      <c r="N63" s="4">
        <v>0.10416666666666667</v>
      </c>
      <c r="O63">
        <v>25</v>
      </c>
      <c r="P63">
        <v>32</v>
      </c>
      <c r="Q63">
        <v>1.03</v>
      </c>
      <c r="R63">
        <v>0</v>
      </c>
      <c r="S63">
        <v>0</v>
      </c>
      <c r="T63">
        <v>0</v>
      </c>
      <c r="U63">
        <v>0</v>
      </c>
      <c r="V63">
        <v>0</v>
      </c>
      <c r="W63" t="s">
        <v>39</v>
      </c>
      <c r="X63" t="s">
        <v>39</v>
      </c>
      <c r="Y63" s="2">
        <v>4.8009259259259258E-2</v>
      </c>
      <c r="Z63" s="4">
        <v>0</v>
      </c>
      <c r="AA63">
        <v>0</v>
      </c>
      <c r="AB63" s="4">
        <v>0</v>
      </c>
      <c r="AC63" t="s">
        <v>40</v>
      </c>
      <c r="AD63" t="s">
        <v>123</v>
      </c>
      <c r="AE63">
        <v>5</v>
      </c>
      <c r="AF63">
        <v>0</v>
      </c>
      <c r="AG63" s="2">
        <v>4.7939814814814817E-2</v>
      </c>
      <c r="AH63" s="2">
        <v>4.8009259259259258E-2</v>
      </c>
      <c r="AI63">
        <v>10</v>
      </c>
      <c r="AJ63">
        <v>26</v>
      </c>
    </row>
    <row r="64" spans="1:36" x14ac:dyDescent="0.25">
      <c r="A64" t="s">
        <v>45</v>
      </c>
      <c r="B64" s="1">
        <v>44250.268437500003</v>
      </c>
      <c r="C64" t="s">
        <v>37</v>
      </c>
      <c r="D64" t="s">
        <v>124</v>
      </c>
      <c r="E64">
        <v>9.27</v>
      </c>
      <c r="F64">
        <v>548</v>
      </c>
      <c r="G64" s="2">
        <v>4.2743055555555555E-2</v>
      </c>
      <c r="H64">
        <v>163</v>
      </c>
      <c r="I64">
        <v>188</v>
      </c>
      <c r="J64">
        <v>4.3</v>
      </c>
      <c r="K64">
        <v>144</v>
      </c>
      <c r="L64">
        <v>171</v>
      </c>
      <c r="M64" s="4">
        <v>0.27638888888888885</v>
      </c>
      <c r="N64" s="4">
        <v>0.19722222222222222</v>
      </c>
      <c r="O64">
        <v>10</v>
      </c>
      <c r="P64">
        <v>14</v>
      </c>
      <c r="Q64">
        <v>1.02</v>
      </c>
      <c r="R64">
        <v>0</v>
      </c>
      <c r="S64">
        <v>0</v>
      </c>
      <c r="T64">
        <v>0</v>
      </c>
      <c r="U64">
        <v>0</v>
      </c>
      <c r="V64">
        <v>0</v>
      </c>
      <c r="W64" t="s">
        <v>39</v>
      </c>
      <c r="X64" t="s">
        <v>39</v>
      </c>
      <c r="Y64" s="2">
        <v>4.2743055555555555E-2</v>
      </c>
      <c r="Z64" s="4">
        <v>0</v>
      </c>
      <c r="AA64">
        <v>0</v>
      </c>
      <c r="AB64" s="4">
        <v>0</v>
      </c>
      <c r="AC64" t="s">
        <v>40</v>
      </c>
      <c r="AD64" t="s">
        <v>109</v>
      </c>
      <c r="AE64">
        <v>8</v>
      </c>
      <c r="AF64">
        <v>0</v>
      </c>
      <c r="AG64" s="2">
        <v>4.2731481481481481E-2</v>
      </c>
      <c r="AH64" s="2">
        <v>4.2743055555555555E-2</v>
      </c>
      <c r="AI64">
        <v>12</v>
      </c>
      <c r="AJ64">
        <v>29</v>
      </c>
    </row>
    <row r="65" spans="1:36" x14ac:dyDescent="0.25">
      <c r="A65" t="s">
        <v>45</v>
      </c>
      <c r="B65" s="1">
        <v>44248.275648148148</v>
      </c>
      <c r="C65" t="s">
        <v>37</v>
      </c>
      <c r="D65" t="s">
        <v>125</v>
      </c>
      <c r="E65">
        <v>9.32</v>
      </c>
      <c r="F65">
        <v>349</v>
      </c>
      <c r="G65" s="2">
        <v>0.15461805555555555</v>
      </c>
      <c r="H65" t="s">
        <v>39</v>
      </c>
      <c r="I65" t="s">
        <v>39</v>
      </c>
      <c r="J65" t="s">
        <v>39</v>
      </c>
      <c r="K65">
        <v>54</v>
      </c>
      <c r="L65">
        <v>244</v>
      </c>
      <c r="M65" s="4">
        <v>0.99513888888888891</v>
      </c>
      <c r="N65" s="4">
        <v>0.11527777777777777</v>
      </c>
      <c r="O65">
        <v>658</v>
      </c>
      <c r="P65">
        <v>666</v>
      </c>
      <c r="Q65">
        <v>0.82</v>
      </c>
      <c r="R65">
        <v>0</v>
      </c>
      <c r="S65">
        <v>0</v>
      </c>
      <c r="T65">
        <v>0</v>
      </c>
      <c r="U65">
        <v>0</v>
      </c>
      <c r="V65">
        <v>0</v>
      </c>
      <c r="W65" t="s">
        <v>39</v>
      </c>
      <c r="X65" t="s">
        <v>39</v>
      </c>
      <c r="Y65" s="2">
        <v>0.15461805555555555</v>
      </c>
      <c r="Z65" s="4">
        <v>0</v>
      </c>
      <c r="AA65">
        <v>0</v>
      </c>
      <c r="AB65" s="4">
        <v>0</v>
      </c>
      <c r="AC65" t="s">
        <v>40</v>
      </c>
      <c r="AD65" t="s">
        <v>126</v>
      </c>
      <c r="AE65">
        <v>10</v>
      </c>
      <c r="AF65">
        <v>0</v>
      </c>
      <c r="AG65" s="2">
        <v>8.0520833333333333E-2</v>
      </c>
      <c r="AH65" s="2">
        <v>0.15461805555555555</v>
      </c>
      <c r="AI65">
        <v>218</v>
      </c>
      <c r="AJ65">
        <v>805</v>
      </c>
    </row>
    <row r="66" spans="1:36" x14ac:dyDescent="0.25">
      <c r="A66" t="s">
        <v>45</v>
      </c>
      <c r="B66" s="1">
        <v>44247.301423611112</v>
      </c>
      <c r="C66" t="s">
        <v>37</v>
      </c>
      <c r="D66" t="s">
        <v>49</v>
      </c>
      <c r="E66">
        <v>14.01</v>
      </c>
      <c r="F66" s="5">
        <v>1011</v>
      </c>
      <c r="G66" s="2">
        <v>6.4988425925925922E-2</v>
      </c>
      <c r="H66">
        <v>169</v>
      </c>
      <c r="I66">
        <v>186</v>
      </c>
      <c r="J66">
        <v>5</v>
      </c>
      <c r="K66">
        <v>147</v>
      </c>
      <c r="L66">
        <v>180</v>
      </c>
      <c r="M66" s="4">
        <v>0.27847222222222223</v>
      </c>
      <c r="N66" s="4">
        <v>0.19722222222222222</v>
      </c>
      <c r="O66">
        <v>224</v>
      </c>
      <c r="P66">
        <v>233</v>
      </c>
      <c r="Q66">
        <v>1.02</v>
      </c>
      <c r="R66">
        <v>0</v>
      </c>
      <c r="S66">
        <v>0</v>
      </c>
      <c r="T66">
        <v>0</v>
      </c>
      <c r="U66">
        <v>0</v>
      </c>
      <c r="V66">
        <v>0</v>
      </c>
      <c r="W66" t="s">
        <v>39</v>
      </c>
      <c r="X66" t="s">
        <v>39</v>
      </c>
      <c r="Y66" s="2">
        <v>6.4988425925925922E-2</v>
      </c>
      <c r="Z66" s="4">
        <v>0</v>
      </c>
      <c r="AA66">
        <v>0</v>
      </c>
      <c r="AB66" s="4">
        <v>0</v>
      </c>
      <c r="AC66" t="s">
        <v>40</v>
      </c>
      <c r="AD66" t="s">
        <v>127</v>
      </c>
      <c r="AE66">
        <v>15</v>
      </c>
      <c r="AF66">
        <v>0</v>
      </c>
      <c r="AG66" s="2">
        <v>6.4965277777777775E-2</v>
      </c>
      <c r="AH66" s="2">
        <v>6.4988425925925922E-2</v>
      </c>
      <c r="AI66">
        <v>16</v>
      </c>
      <c r="AJ66">
        <v>111</v>
      </c>
    </row>
    <row r="67" spans="1:36" x14ac:dyDescent="0.25">
      <c r="A67" t="s">
        <v>45</v>
      </c>
      <c r="B67" s="1">
        <v>44245.275729166664</v>
      </c>
      <c r="C67" t="s">
        <v>37</v>
      </c>
      <c r="D67" t="s">
        <v>103</v>
      </c>
      <c r="E67">
        <v>10.01</v>
      </c>
      <c r="F67">
        <v>683</v>
      </c>
      <c r="G67" s="2">
        <v>4.2291666666666665E-2</v>
      </c>
      <c r="H67">
        <v>172</v>
      </c>
      <c r="I67">
        <v>186</v>
      </c>
      <c r="J67">
        <v>5</v>
      </c>
      <c r="K67">
        <v>155</v>
      </c>
      <c r="L67">
        <v>171</v>
      </c>
      <c r="M67" s="4">
        <v>0.25347222222222221</v>
      </c>
      <c r="N67" s="4">
        <v>8.4027777777777771E-2</v>
      </c>
      <c r="O67">
        <v>158</v>
      </c>
      <c r="P67">
        <v>161</v>
      </c>
      <c r="Q67">
        <v>1.06</v>
      </c>
      <c r="R67">
        <v>0</v>
      </c>
      <c r="S67">
        <v>0</v>
      </c>
      <c r="T67">
        <v>0</v>
      </c>
      <c r="U67">
        <v>0</v>
      </c>
      <c r="V67">
        <v>0</v>
      </c>
      <c r="W67" t="s">
        <v>39</v>
      </c>
      <c r="X67" t="s">
        <v>39</v>
      </c>
      <c r="Y67" s="2">
        <v>4.2291666666666665E-2</v>
      </c>
      <c r="Z67" s="4">
        <v>0</v>
      </c>
      <c r="AA67">
        <v>0</v>
      </c>
      <c r="AB67" s="4">
        <v>0</v>
      </c>
      <c r="AC67" t="s">
        <v>40</v>
      </c>
      <c r="AD67" t="s">
        <v>128</v>
      </c>
      <c r="AE67">
        <v>2</v>
      </c>
      <c r="AF67">
        <v>0</v>
      </c>
      <c r="AG67" s="2">
        <v>4.207175925925926E-2</v>
      </c>
      <c r="AH67" s="2">
        <v>4.2291666666666665E-2</v>
      </c>
      <c r="AI67">
        <v>-35</v>
      </c>
      <c r="AJ67">
        <v>56</v>
      </c>
    </row>
    <row r="68" spans="1:36" x14ac:dyDescent="0.25">
      <c r="A68" t="s">
        <v>45</v>
      </c>
      <c r="B68" s="1">
        <v>44243.750717592593</v>
      </c>
      <c r="C68" t="s">
        <v>37</v>
      </c>
      <c r="D68" t="s">
        <v>129</v>
      </c>
      <c r="E68">
        <v>9.44</v>
      </c>
      <c r="F68">
        <v>593</v>
      </c>
      <c r="G68" s="2">
        <v>4.8333333333333332E-2</v>
      </c>
      <c r="H68">
        <v>157</v>
      </c>
      <c r="I68">
        <v>187</v>
      </c>
      <c r="J68">
        <v>3.8</v>
      </c>
      <c r="K68">
        <v>137</v>
      </c>
      <c r="L68">
        <v>168</v>
      </c>
      <c r="M68" s="4">
        <v>0.30694444444444441</v>
      </c>
      <c r="N68" s="4">
        <v>0.18541666666666667</v>
      </c>
      <c r="O68">
        <v>22</v>
      </c>
      <c r="P68">
        <v>24</v>
      </c>
      <c r="Q68">
        <v>0.97</v>
      </c>
      <c r="R68">
        <v>0</v>
      </c>
      <c r="S68">
        <v>0</v>
      </c>
      <c r="T68">
        <v>0</v>
      </c>
      <c r="U68">
        <v>0</v>
      </c>
      <c r="V68">
        <v>0</v>
      </c>
      <c r="W68" t="s">
        <v>39</v>
      </c>
      <c r="X68" t="s">
        <v>39</v>
      </c>
      <c r="Y68" s="2">
        <v>4.8333333333333332E-2</v>
      </c>
      <c r="Z68" s="4">
        <v>0</v>
      </c>
      <c r="AA68">
        <v>0</v>
      </c>
      <c r="AB68" s="4">
        <v>0</v>
      </c>
      <c r="AC68" t="s">
        <v>40</v>
      </c>
      <c r="AD68" t="s">
        <v>109</v>
      </c>
      <c r="AE68">
        <v>11</v>
      </c>
      <c r="AF68">
        <v>0</v>
      </c>
      <c r="AG68" s="2">
        <v>4.6793981481481478E-2</v>
      </c>
      <c r="AH68" s="2">
        <v>4.8333333333333332E-2</v>
      </c>
      <c r="AI68">
        <v>9</v>
      </c>
      <c r="AJ68">
        <v>26</v>
      </c>
    </row>
    <row r="69" spans="1:36" x14ac:dyDescent="0.25">
      <c r="A69" t="s">
        <v>45</v>
      </c>
      <c r="B69" s="1">
        <v>44241.346319444441</v>
      </c>
      <c r="C69" t="s">
        <v>37</v>
      </c>
      <c r="D69" t="s">
        <v>49</v>
      </c>
      <c r="E69">
        <v>12.52</v>
      </c>
      <c r="F69">
        <v>960</v>
      </c>
      <c r="G69" s="2">
        <v>6.0613425925925925E-2</v>
      </c>
      <c r="H69">
        <v>174</v>
      </c>
      <c r="I69">
        <v>188</v>
      </c>
      <c r="J69">
        <v>5</v>
      </c>
      <c r="K69">
        <v>143</v>
      </c>
      <c r="L69">
        <v>170</v>
      </c>
      <c r="M69" s="4">
        <v>0.2902777777777778</v>
      </c>
      <c r="N69" s="4">
        <v>0.22569444444444445</v>
      </c>
      <c r="O69">
        <v>259</v>
      </c>
      <c r="P69">
        <v>240</v>
      </c>
      <c r="Q69">
        <v>1</v>
      </c>
      <c r="R69">
        <v>0</v>
      </c>
      <c r="S69">
        <v>0</v>
      </c>
      <c r="T69">
        <v>0</v>
      </c>
      <c r="U69">
        <v>0</v>
      </c>
      <c r="V69">
        <v>0</v>
      </c>
      <c r="W69" t="s">
        <v>39</v>
      </c>
      <c r="X69" t="s">
        <v>39</v>
      </c>
      <c r="Y69" s="2">
        <v>6.0613425925925925E-2</v>
      </c>
      <c r="Z69" s="4">
        <v>0</v>
      </c>
      <c r="AA69">
        <v>0</v>
      </c>
      <c r="AB69" s="4">
        <v>0</v>
      </c>
      <c r="AC69" t="s">
        <v>40</v>
      </c>
      <c r="AD69" t="s">
        <v>130</v>
      </c>
      <c r="AE69">
        <v>13</v>
      </c>
      <c r="AF69">
        <v>0</v>
      </c>
      <c r="AG69" s="2">
        <v>5.8993055555555556E-2</v>
      </c>
      <c r="AH69" s="2">
        <v>6.0613425925925925E-2</v>
      </c>
      <c r="AI69">
        <v>18</v>
      </c>
      <c r="AJ69">
        <v>127</v>
      </c>
    </row>
    <row r="70" spans="1:36" x14ac:dyDescent="0.25">
      <c r="A70" t="s">
        <v>45</v>
      </c>
      <c r="B70" s="1">
        <v>44238.277002314811</v>
      </c>
      <c r="C70" t="s">
        <v>37</v>
      </c>
      <c r="D70" t="s">
        <v>103</v>
      </c>
      <c r="E70">
        <v>8.6300000000000008</v>
      </c>
      <c r="F70">
        <v>583</v>
      </c>
      <c r="G70" s="2">
        <v>3.7824074074074072E-2</v>
      </c>
      <c r="H70">
        <v>172</v>
      </c>
      <c r="I70">
        <v>188</v>
      </c>
      <c r="J70">
        <v>4.7</v>
      </c>
      <c r="K70">
        <v>154</v>
      </c>
      <c r="L70">
        <v>172</v>
      </c>
      <c r="M70" s="4">
        <v>0.26319444444444445</v>
      </c>
      <c r="N70" s="4">
        <v>0.16180555555555556</v>
      </c>
      <c r="O70">
        <v>67</v>
      </c>
      <c r="P70">
        <v>74</v>
      </c>
      <c r="Q70">
        <v>1.02</v>
      </c>
      <c r="R70">
        <v>0</v>
      </c>
      <c r="S70">
        <v>0</v>
      </c>
      <c r="T70">
        <v>0</v>
      </c>
      <c r="U70">
        <v>0</v>
      </c>
      <c r="V70">
        <v>0</v>
      </c>
      <c r="W70" t="s">
        <v>39</v>
      </c>
      <c r="X70" t="s">
        <v>39</v>
      </c>
      <c r="Y70" s="3">
        <v>2.2694444444444444</v>
      </c>
      <c r="Z70" s="4">
        <v>0</v>
      </c>
      <c r="AA70">
        <v>0</v>
      </c>
      <c r="AB70" s="4">
        <v>0</v>
      </c>
      <c r="AC70" t="s">
        <v>40</v>
      </c>
      <c r="AD70" t="s">
        <v>131</v>
      </c>
      <c r="AE70">
        <v>2</v>
      </c>
      <c r="AF70">
        <v>0</v>
      </c>
      <c r="AG70" s="2">
        <v>3.7731481481481484E-2</v>
      </c>
      <c r="AH70" s="2">
        <v>3.7824074074074072E-2</v>
      </c>
      <c r="AI70">
        <v>9</v>
      </c>
      <c r="AJ70">
        <v>49</v>
      </c>
    </row>
    <row r="71" spans="1:36" x14ac:dyDescent="0.25">
      <c r="A71" t="s">
        <v>45</v>
      </c>
      <c r="B71" s="1">
        <v>44236.270370370374</v>
      </c>
      <c r="C71" t="s">
        <v>37</v>
      </c>
      <c r="D71" t="s">
        <v>82</v>
      </c>
      <c r="E71">
        <v>8.3000000000000007</v>
      </c>
      <c r="F71">
        <v>562</v>
      </c>
      <c r="G71" s="2">
        <v>3.9004629629629632E-2</v>
      </c>
      <c r="H71">
        <v>163</v>
      </c>
      <c r="I71">
        <v>183</v>
      </c>
      <c r="J71">
        <v>4.0999999999999996</v>
      </c>
      <c r="K71">
        <v>139</v>
      </c>
      <c r="L71">
        <v>173</v>
      </c>
      <c r="M71" s="4">
        <v>0.28194444444444444</v>
      </c>
      <c r="N71" s="4">
        <v>0.1361111111111111</v>
      </c>
      <c r="O71">
        <v>10</v>
      </c>
      <c r="P71">
        <v>20</v>
      </c>
      <c r="Q71">
        <v>1.07</v>
      </c>
      <c r="R71">
        <v>0</v>
      </c>
      <c r="S71">
        <v>0</v>
      </c>
      <c r="T71">
        <v>0</v>
      </c>
      <c r="U71">
        <v>0</v>
      </c>
      <c r="V71">
        <v>0</v>
      </c>
      <c r="W71" t="s">
        <v>39</v>
      </c>
      <c r="X71" t="s">
        <v>39</v>
      </c>
      <c r="Y71" s="3">
        <v>2.3402777777777777</v>
      </c>
      <c r="Z71" s="4">
        <v>0</v>
      </c>
      <c r="AA71">
        <v>0</v>
      </c>
      <c r="AB71" s="4">
        <v>0</v>
      </c>
      <c r="AC71" t="s">
        <v>40</v>
      </c>
      <c r="AD71" t="s">
        <v>132</v>
      </c>
      <c r="AE71">
        <v>23</v>
      </c>
      <c r="AF71">
        <v>0</v>
      </c>
      <c r="AG71" s="2">
        <v>3.2893518518518523E-2</v>
      </c>
      <c r="AH71" s="2">
        <v>3.9004629629629632E-2</v>
      </c>
      <c r="AI71">
        <v>9</v>
      </c>
      <c r="AJ71">
        <v>26</v>
      </c>
    </row>
    <row r="72" spans="1:36" x14ac:dyDescent="0.25">
      <c r="A72" t="s">
        <v>45</v>
      </c>
      <c r="B72" s="1">
        <v>44233.305879629632</v>
      </c>
      <c r="C72" t="s">
        <v>37</v>
      </c>
      <c r="D72" t="s">
        <v>103</v>
      </c>
      <c r="E72">
        <v>10.01</v>
      </c>
      <c r="F72">
        <v>697</v>
      </c>
      <c r="G72" s="2">
        <v>4.6099537037037036E-2</v>
      </c>
      <c r="H72">
        <v>168</v>
      </c>
      <c r="I72">
        <v>181</v>
      </c>
      <c r="J72">
        <v>4.5</v>
      </c>
      <c r="K72">
        <v>146</v>
      </c>
      <c r="L72">
        <v>171</v>
      </c>
      <c r="M72" s="4">
        <v>0.27638888888888885</v>
      </c>
      <c r="N72" s="4">
        <v>0.13263888888888889</v>
      </c>
      <c r="O72">
        <v>126</v>
      </c>
      <c r="P72">
        <v>126</v>
      </c>
      <c r="Q72">
        <v>1.04</v>
      </c>
      <c r="R72">
        <v>0</v>
      </c>
      <c r="S72">
        <v>0</v>
      </c>
      <c r="T72">
        <v>0</v>
      </c>
      <c r="U72">
        <v>0</v>
      </c>
      <c r="V72">
        <v>0</v>
      </c>
      <c r="W72" t="s">
        <v>39</v>
      </c>
      <c r="X72" t="s">
        <v>39</v>
      </c>
      <c r="Y72" s="2">
        <v>4.6099537037037036E-2</v>
      </c>
      <c r="Z72" s="4">
        <v>0</v>
      </c>
      <c r="AA72">
        <v>0</v>
      </c>
      <c r="AB72" s="4">
        <v>0</v>
      </c>
      <c r="AC72" t="s">
        <v>40</v>
      </c>
      <c r="AD72" t="s">
        <v>133</v>
      </c>
      <c r="AE72">
        <v>2</v>
      </c>
      <c r="AF72">
        <v>0</v>
      </c>
      <c r="AG72" s="2">
        <v>4.6099537037037036E-2</v>
      </c>
      <c r="AH72" s="2">
        <v>4.6099537037037036E-2</v>
      </c>
      <c r="AI72">
        <v>17</v>
      </c>
      <c r="AJ72">
        <v>50</v>
      </c>
    </row>
    <row r="73" spans="1:36" x14ac:dyDescent="0.25">
      <c r="A73" t="s">
        <v>45</v>
      </c>
      <c r="B73" s="1">
        <v>44229.274236111109</v>
      </c>
      <c r="C73" t="s">
        <v>37</v>
      </c>
      <c r="D73" t="s">
        <v>103</v>
      </c>
      <c r="E73">
        <v>7</v>
      </c>
      <c r="F73">
        <v>445</v>
      </c>
      <c r="G73" s="2">
        <v>3.0902777777777779E-2</v>
      </c>
      <c r="H73">
        <v>163</v>
      </c>
      <c r="I73">
        <v>180</v>
      </c>
      <c r="J73">
        <v>3.9</v>
      </c>
      <c r="K73">
        <v>155</v>
      </c>
      <c r="L73">
        <v>170</v>
      </c>
      <c r="M73" s="4">
        <v>0.26458333333333334</v>
      </c>
      <c r="N73" s="4">
        <v>7.1527777777777787E-2</v>
      </c>
      <c r="O73">
        <v>53</v>
      </c>
      <c r="P73">
        <v>64</v>
      </c>
      <c r="Q73">
        <v>1.02</v>
      </c>
      <c r="R73">
        <v>0</v>
      </c>
      <c r="S73">
        <v>0</v>
      </c>
      <c r="T73">
        <v>0</v>
      </c>
      <c r="U73">
        <v>0</v>
      </c>
      <c r="V73">
        <v>0</v>
      </c>
      <c r="W73" t="s">
        <v>39</v>
      </c>
      <c r="X73" t="s">
        <v>39</v>
      </c>
      <c r="Y73" s="3">
        <v>1.8541666666666667</v>
      </c>
      <c r="Z73" s="4">
        <v>0</v>
      </c>
      <c r="AA73">
        <v>0</v>
      </c>
      <c r="AB73" s="4">
        <v>0</v>
      </c>
      <c r="AC73" t="s">
        <v>40</v>
      </c>
      <c r="AD73" t="s">
        <v>134</v>
      </c>
      <c r="AE73">
        <v>2</v>
      </c>
      <c r="AF73">
        <v>0</v>
      </c>
      <c r="AG73" s="2">
        <v>3.0902777777777779E-2</v>
      </c>
      <c r="AH73" s="2">
        <v>3.0902777777777779E-2</v>
      </c>
      <c r="AI73">
        <v>9</v>
      </c>
      <c r="AJ73">
        <v>49</v>
      </c>
    </row>
    <row r="74" spans="1:36" x14ac:dyDescent="0.25">
      <c r="A74" t="s">
        <v>45</v>
      </c>
      <c r="B74" s="1">
        <v>44226.29855324074</v>
      </c>
      <c r="C74" t="s">
        <v>37</v>
      </c>
      <c r="D74" t="s">
        <v>135</v>
      </c>
      <c r="E74">
        <v>16.73</v>
      </c>
      <c r="F74" s="5">
        <v>1528</v>
      </c>
      <c r="G74" s="2">
        <v>0.11364583333333333</v>
      </c>
      <c r="H74">
        <v>168</v>
      </c>
      <c r="I74">
        <v>201</v>
      </c>
      <c r="J74">
        <v>5</v>
      </c>
      <c r="K74">
        <v>102</v>
      </c>
      <c r="L74">
        <v>173</v>
      </c>
      <c r="M74" s="4">
        <v>0.40763888888888888</v>
      </c>
      <c r="N74" s="4">
        <v>0.19513888888888889</v>
      </c>
      <c r="O74">
        <v>870</v>
      </c>
      <c r="P74">
        <v>691</v>
      </c>
      <c r="Q74">
        <v>0.97</v>
      </c>
      <c r="R74">
        <v>0</v>
      </c>
      <c r="S74">
        <v>0</v>
      </c>
      <c r="T74">
        <v>0</v>
      </c>
      <c r="U74">
        <v>0</v>
      </c>
      <c r="V74">
        <v>0</v>
      </c>
      <c r="W74" t="s">
        <v>39</v>
      </c>
      <c r="X74" t="s">
        <v>39</v>
      </c>
      <c r="Y74" s="2">
        <v>0.11364583333333333</v>
      </c>
      <c r="Z74" s="4">
        <v>0</v>
      </c>
      <c r="AA74">
        <v>0</v>
      </c>
      <c r="AB74" s="4">
        <v>0</v>
      </c>
      <c r="AC74" t="s">
        <v>40</v>
      </c>
      <c r="AD74" t="s">
        <v>136</v>
      </c>
      <c r="AE74">
        <v>17</v>
      </c>
      <c r="AF74">
        <v>0</v>
      </c>
      <c r="AG74" s="2">
        <v>9.7627314814814806E-2</v>
      </c>
      <c r="AH74" s="2">
        <v>0.11428240740740742</v>
      </c>
      <c r="AI74">
        <v>115</v>
      </c>
      <c r="AJ74">
        <v>802</v>
      </c>
    </row>
    <row r="75" spans="1:36" x14ac:dyDescent="0.25">
      <c r="A75" t="s">
        <v>45</v>
      </c>
      <c r="B75" s="1">
        <v>44224.273321759261</v>
      </c>
      <c r="C75" t="s">
        <v>37</v>
      </c>
      <c r="D75" t="s">
        <v>103</v>
      </c>
      <c r="E75">
        <v>8.64</v>
      </c>
      <c r="F75">
        <v>588</v>
      </c>
      <c r="G75" s="2">
        <v>4.1365740740740745E-2</v>
      </c>
      <c r="H75">
        <v>168</v>
      </c>
      <c r="I75">
        <v>185</v>
      </c>
      <c r="J75">
        <v>5</v>
      </c>
      <c r="K75">
        <v>149</v>
      </c>
      <c r="L75">
        <v>171</v>
      </c>
      <c r="M75" s="4">
        <v>0.28750000000000003</v>
      </c>
      <c r="N75" s="4">
        <v>0.14652777777777778</v>
      </c>
      <c r="O75">
        <v>62</v>
      </c>
      <c r="P75">
        <v>69</v>
      </c>
      <c r="Q75">
        <v>0.97</v>
      </c>
      <c r="R75">
        <v>0</v>
      </c>
      <c r="S75">
        <v>0</v>
      </c>
      <c r="T75">
        <v>0</v>
      </c>
      <c r="U75">
        <v>0</v>
      </c>
      <c r="V75">
        <v>0</v>
      </c>
      <c r="W75" t="s">
        <v>39</v>
      </c>
      <c r="X75" t="s">
        <v>39</v>
      </c>
      <c r="Y75" s="3">
        <v>2.4819444444444447</v>
      </c>
      <c r="Z75" s="4">
        <v>0</v>
      </c>
      <c r="AA75">
        <v>0</v>
      </c>
      <c r="AB75" s="4">
        <v>0</v>
      </c>
      <c r="AC75" t="s">
        <v>40</v>
      </c>
      <c r="AD75" t="s">
        <v>137</v>
      </c>
      <c r="AE75">
        <v>2</v>
      </c>
      <c r="AF75">
        <v>0</v>
      </c>
      <c r="AG75" s="2">
        <v>4.0729166666666664E-2</v>
      </c>
      <c r="AH75" s="2">
        <v>4.1365740740740745E-2</v>
      </c>
      <c r="AI75">
        <v>9</v>
      </c>
      <c r="AJ75">
        <v>49</v>
      </c>
    </row>
    <row r="76" spans="1:36" x14ac:dyDescent="0.25">
      <c r="A76" t="s">
        <v>45</v>
      </c>
      <c r="B76" s="1">
        <v>44222.273287037038</v>
      </c>
      <c r="C76" t="s">
        <v>37</v>
      </c>
      <c r="D76" t="s">
        <v>138</v>
      </c>
      <c r="E76">
        <v>8.36</v>
      </c>
      <c r="F76">
        <v>523</v>
      </c>
      <c r="G76" s="2">
        <v>4.2650462962962959E-2</v>
      </c>
      <c r="H76">
        <v>164</v>
      </c>
      <c r="I76">
        <v>190</v>
      </c>
      <c r="J76">
        <v>5</v>
      </c>
      <c r="K76">
        <v>140</v>
      </c>
      <c r="L76">
        <v>173</v>
      </c>
      <c r="M76" s="4">
        <v>0.30624999999999997</v>
      </c>
      <c r="N76" s="4">
        <v>0.16180555555555556</v>
      </c>
      <c r="O76">
        <v>18</v>
      </c>
      <c r="P76">
        <v>23</v>
      </c>
      <c r="Q76">
        <v>1.04</v>
      </c>
      <c r="R76">
        <v>0</v>
      </c>
      <c r="S76">
        <v>0</v>
      </c>
      <c r="T76">
        <v>0</v>
      </c>
      <c r="U76">
        <v>0</v>
      </c>
      <c r="V76">
        <v>0</v>
      </c>
      <c r="W76" t="s">
        <v>39</v>
      </c>
      <c r="X76" t="s">
        <v>39</v>
      </c>
      <c r="Y76" s="2">
        <v>4.2650462962962959E-2</v>
      </c>
      <c r="Z76" s="4">
        <v>0</v>
      </c>
      <c r="AA76">
        <v>0</v>
      </c>
      <c r="AB76" s="4">
        <v>0</v>
      </c>
      <c r="AC76" t="s">
        <v>40</v>
      </c>
      <c r="AD76" t="s">
        <v>139</v>
      </c>
      <c r="AE76">
        <v>15</v>
      </c>
      <c r="AF76">
        <v>0</v>
      </c>
      <c r="AG76" s="2">
        <v>4.0625000000000001E-2</v>
      </c>
      <c r="AH76" s="2">
        <v>4.2650462962962959E-2</v>
      </c>
      <c r="AI76">
        <v>9</v>
      </c>
      <c r="AJ76">
        <v>26</v>
      </c>
    </row>
    <row r="77" spans="1:36" x14ac:dyDescent="0.25">
      <c r="A77" t="s">
        <v>45</v>
      </c>
      <c r="B77" s="1">
        <v>44219.303483796299</v>
      </c>
      <c r="C77" t="s">
        <v>37</v>
      </c>
      <c r="D77" t="s">
        <v>140</v>
      </c>
      <c r="E77">
        <v>7.89</v>
      </c>
      <c r="F77">
        <v>531</v>
      </c>
      <c r="G77" s="2">
        <v>4.65625E-2</v>
      </c>
      <c r="H77">
        <v>161</v>
      </c>
      <c r="I77">
        <v>191</v>
      </c>
      <c r="J77">
        <v>4.8</v>
      </c>
      <c r="K77">
        <v>125</v>
      </c>
      <c r="L77">
        <v>170</v>
      </c>
      <c r="M77" s="4">
        <v>0.35416666666666669</v>
      </c>
      <c r="N77" s="4">
        <v>0.18263888888888891</v>
      </c>
      <c r="O77">
        <v>129</v>
      </c>
      <c r="P77">
        <v>125</v>
      </c>
      <c r="Q77">
        <v>0.94</v>
      </c>
      <c r="R77">
        <v>0</v>
      </c>
      <c r="S77">
        <v>0</v>
      </c>
      <c r="T77">
        <v>0</v>
      </c>
      <c r="U77">
        <v>0</v>
      </c>
      <c r="V77">
        <v>0</v>
      </c>
      <c r="W77" t="s">
        <v>39</v>
      </c>
      <c r="X77" t="s">
        <v>39</v>
      </c>
      <c r="Y77" s="2">
        <v>4.65625E-2</v>
      </c>
      <c r="Z77" s="4">
        <v>0</v>
      </c>
      <c r="AA77">
        <v>0</v>
      </c>
      <c r="AB77" s="4">
        <v>0</v>
      </c>
      <c r="AC77" t="s">
        <v>40</v>
      </c>
      <c r="AD77" t="s">
        <v>139</v>
      </c>
      <c r="AE77">
        <v>15</v>
      </c>
      <c r="AF77">
        <v>0</v>
      </c>
      <c r="AG77" s="2">
        <v>4.3738425925925924E-2</v>
      </c>
      <c r="AH77" s="2">
        <v>4.65625E-2</v>
      </c>
      <c r="AI77">
        <v>9</v>
      </c>
      <c r="AJ77">
        <v>138</v>
      </c>
    </row>
    <row r="78" spans="1:36" x14ac:dyDescent="0.25">
      <c r="A78" t="s">
        <v>45</v>
      </c>
      <c r="B78" s="1">
        <v>44215.273611111108</v>
      </c>
      <c r="C78" t="s">
        <v>37</v>
      </c>
      <c r="D78" t="s">
        <v>141</v>
      </c>
      <c r="E78">
        <v>6.52</v>
      </c>
      <c r="F78">
        <v>353</v>
      </c>
      <c r="G78" s="2">
        <v>3.7141203703703704E-2</v>
      </c>
      <c r="H78">
        <v>147</v>
      </c>
      <c r="I78">
        <v>192</v>
      </c>
      <c r="J78">
        <v>3.9</v>
      </c>
      <c r="K78">
        <v>130</v>
      </c>
      <c r="L78">
        <v>186</v>
      </c>
      <c r="M78" s="4">
        <v>0.34166666666666662</v>
      </c>
      <c r="N78" s="4">
        <v>0.1125</v>
      </c>
      <c r="O78">
        <v>14</v>
      </c>
      <c r="P78">
        <v>16</v>
      </c>
      <c r="Q78">
        <v>0.9</v>
      </c>
      <c r="R78">
        <v>0</v>
      </c>
      <c r="S78">
        <v>0</v>
      </c>
      <c r="T78">
        <v>0</v>
      </c>
      <c r="U78">
        <v>0</v>
      </c>
      <c r="V78">
        <v>0</v>
      </c>
      <c r="W78" t="s">
        <v>39</v>
      </c>
      <c r="X78" t="s">
        <v>39</v>
      </c>
      <c r="Y78" s="3">
        <v>2.2284722222222224</v>
      </c>
      <c r="Z78" s="4">
        <v>0</v>
      </c>
      <c r="AA78">
        <v>0</v>
      </c>
      <c r="AB78" s="4">
        <v>0</v>
      </c>
      <c r="AC78" t="s">
        <v>40</v>
      </c>
      <c r="AD78" t="s">
        <v>139</v>
      </c>
      <c r="AE78">
        <v>15</v>
      </c>
      <c r="AF78">
        <v>0</v>
      </c>
      <c r="AG78" s="2">
        <v>3.5439814814814813E-2</v>
      </c>
      <c r="AH78" s="2">
        <v>3.7141203703703704E-2</v>
      </c>
      <c r="AI78">
        <v>9</v>
      </c>
      <c r="AJ78">
        <v>26</v>
      </c>
    </row>
    <row r="79" spans="1:36" x14ac:dyDescent="0.25">
      <c r="A79" t="s">
        <v>45</v>
      </c>
      <c r="B79" s="1">
        <v>44212.298796296294</v>
      </c>
      <c r="C79" t="s">
        <v>37</v>
      </c>
      <c r="D79" t="s">
        <v>49</v>
      </c>
      <c r="E79">
        <v>5.91</v>
      </c>
      <c r="F79">
        <v>383</v>
      </c>
      <c r="G79" s="2">
        <v>2.6365740740740742E-2</v>
      </c>
      <c r="H79">
        <v>169</v>
      </c>
      <c r="I79">
        <v>184</v>
      </c>
      <c r="J79">
        <v>4.8</v>
      </c>
      <c r="K79">
        <v>150</v>
      </c>
      <c r="L79">
        <v>168</v>
      </c>
      <c r="M79" s="4">
        <v>0.26805555555555555</v>
      </c>
      <c r="N79" s="4">
        <v>0.19930555555555554</v>
      </c>
      <c r="O79">
        <v>67</v>
      </c>
      <c r="P79">
        <v>57</v>
      </c>
      <c r="Q79">
        <v>1.04</v>
      </c>
      <c r="R79">
        <v>0</v>
      </c>
      <c r="S79">
        <v>0</v>
      </c>
      <c r="T79">
        <v>0</v>
      </c>
      <c r="U79">
        <v>0</v>
      </c>
      <c r="V79">
        <v>0</v>
      </c>
      <c r="W79" t="s">
        <v>39</v>
      </c>
      <c r="X79" t="s">
        <v>39</v>
      </c>
      <c r="Y79" s="3">
        <v>1.5819444444444446</v>
      </c>
      <c r="Z79" s="4">
        <v>0</v>
      </c>
      <c r="AA79">
        <v>0</v>
      </c>
      <c r="AB79" s="4">
        <v>0</v>
      </c>
      <c r="AC79" t="s">
        <v>40</v>
      </c>
      <c r="AD79" t="s">
        <v>142</v>
      </c>
      <c r="AE79">
        <v>6</v>
      </c>
      <c r="AF79">
        <v>0</v>
      </c>
      <c r="AG79" s="2">
        <v>2.6354166666666668E-2</v>
      </c>
      <c r="AH79" s="2">
        <v>2.6365740740740742E-2</v>
      </c>
      <c r="AI79">
        <v>22</v>
      </c>
      <c r="AJ79">
        <v>60</v>
      </c>
    </row>
    <row r="80" spans="1:36" x14ac:dyDescent="0.25">
      <c r="A80" t="s">
        <v>45</v>
      </c>
      <c r="B80" s="1">
        <v>44210.275879629633</v>
      </c>
      <c r="C80" t="s">
        <v>37</v>
      </c>
      <c r="D80" t="s">
        <v>49</v>
      </c>
      <c r="E80">
        <v>8.01</v>
      </c>
      <c r="F80">
        <v>521</v>
      </c>
      <c r="G80" s="2">
        <v>3.5555555555555556E-2</v>
      </c>
      <c r="H80">
        <v>172</v>
      </c>
      <c r="I80">
        <v>186</v>
      </c>
      <c r="J80">
        <v>5</v>
      </c>
      <c r="K80">
        <v>149</v>
      </c>
      <c r="L80">
        <v>170</v>
      </c>
      <c r="M80" s="4">
        <v>0.26597222222222222</v>
      </c>
      <c r="N80" s="4">
        <v>0.22708333333333333</v>
      </c>
      <c r="O80">
        <v>44</v>
      </c>
      <c r="P80">
        <v>55</v>
      </c>
      <c r="Q80">
        <v>1.05</v>
      </c>
      <c r="R80">
        <v>0</v>
      </c>
      <c r="S80">
        <v>0</v>
      </c>
      <c r="T80">
        <v>0</v>
      </c>
      <c r="U80">
        <v>0</v>
      </c>
      <c r="V80">
        <v>0</v>
      </c>
      <c r="W80" t="s">
        <v>39</v>
      </c>
      <c r="X80" t="s">
        <v>39</v>
      </c>
      <c r="Y80" s="3">
        <v>2.1333333333333333</v>
      </c>
      <c r="Z80" s="4">
        <v>0</v>
      </c>
      <c r="AA80">
        <v>0</v>
      </c>
      <c r="AB80" s="4">
        <v>0</v>
      </c>
      <c r="AC80" t="s">
        <v>40</v>
      </c>
      <c r="AD80" t="s">
        <v>143</v>
      </c>
      <c r="AE80">
        <v>9</v>
      </c>
      <c r="AF80">
        <v>0</v>
      </c>
      <c r="AG80" s="2">
        <v>3.5370370370370365E-2</v>
      </c>
      <c r="AH80" s="2">
        <v>3.5555555555555556E-2</v>
      </c>
      <c r="AI80">
        <v>9</v>
      </c>
      <c r="AJ80">
        <v>49</v>
      </c>
    </row>
    <row r="81" spans="1:36" x14ac:dyDescent="0.25">
      <c r="A81" t="s">
        <v>45</v>
      </c>
      <c r="B81" s="1">
        <v>44208.297372685185</v>
      </c>
      <c r="C81" t="s">
        <v>37</v>
      </c>
      <c r="D81" t="s">
        <v>49</v>
      </c>
      <c r="E81">
        <v>8.01</v>
      </c>
      <c r="F81">
        <v>550</v>
      </c>
      <c r="G81" s="2">
        <v>3.5694444444444445E-2</v>
      </c>
      <c r="H81">
        <v>177</v>
      </c>
      <c r="I81">
        <v>195</v>
      </c>
      <c r="J81">
        <v>5</v>
      </c>
      <c r="K81">
        <v>147</v>
      </c>
      <c r="L81">
        <v>170</v>
      </c>
      <c r="M81" s="4">
        <v>0.2673611111111111</v>
      </c>
      <c r="N81" s="4">
        <v>0.21666666666666667</v>
      </c>
      <c r="O81">
        <v>76</v>
      </c>
      <c r="P81">
        <v>83</v>
      </c>
      <c r="Q81">
        <v>1.06</v>
      </c>
      <c r="R81">
        <v>0</v>
      </c>
      <c r="S81">
        <v>0</v>
      </c>
      <c r="T81">
        <v>0</v>
      </c>
      <c r="U81">
        <v>0</v>
      </c>
      <c r="V81">
        <v>0</v>
      </c>
      <c r="W81" t="s">
        <v>39</v>
      </c>
      <c r="X81" t="s">
        <v>39</v>
      </c>
      <c r="Y81" s="3">
        <v>2.1416666666666666</v>
      </c>
      <c r="Z81" s="4">
        <v>0</v>
      </c>
      <c r="AA81">
        <v>0</v>
      </c>
      <c r="AB81" s="4">
        <v>0</v>
      </c>
      <c r="AC81" t="s">
        <v>40</v>
      </c>
      <c r="AD81" t="s">
        <v>144</v>
      </c>
      <c r="AE81">
        <v>9</v>
      </c>
      <c r="AF81">
        <v>0</v>
      </c>
      <c r="AG81" s="2">
        <v>3.5671296296296298E-2</v>
      </c>
      <c r="AH81" s="2">
        <v>3.5694444444444445E-2</v>
      </c>
      <c r="AI81">
        <v>17</v>
      </c>
      <c r="AJ81">
        <v>51</v>
      </c>
    </row>
    <row r="82" spans="1:36" x14ac:dyDescent="0.25">
      <c r="A82" t="s">
        <v>45</v>
      </c>
      <c r="B82" s="1">
        <v>44196.420983796299</v>
      </c>
      <c r="C82" t="s">
        <v>37</v>
      </c>
      <c r="D82" t="s">
        <v>45</v>
      </c>
      <c r="E82">
        <v>8.01</v>
      </c>
      <c r="F82">
        <v>601</v>
      </c>
      <c r="G82" s="2">
        <v>3.3680555555555554E-2</v>
      </c>
      <c r="H82" t="s">
        <v>39</v>
      </c>
      <c r="I82" t="s">
        <v>39</v>
      </c>
      <c r="J82" t="s">
        <v>39</v>
      </c>
      <c r="K82">
        <v>156</v>
      </c>
      <c r="L82">
        <v>164</v>
      </c>
      <c r="M82" s="4">
        <v>0.25208333333333333</v>
      </c>
      <c r="N82" s="4">
        <v>0.2076388888888889</v>
      </c>
      <c r="O82" t="s">
        <v>39</v>
      </c>
      <c r="P82" t="s">
        <v>39</v>
      </c>
      <c r="Q82">
        <v>1.06</v>
      </c>
      <c r="R82">
        <v>0</v>
      </c>
      <c r="S82">
        <v>0</v>
      </c>
      <c r="T82">
        <v>0</v>
      </c>
      <c r="U82">
        <v>0</v>
      </c>
      <c r="V82">
        <v>0</v>
      </c>
      <c r="W82" t="s">
        <v>39</v>
      </c>
      <c r="X82" t="s">
        <v>39</v>
      </c>
      <c r="Y82" s="3">
        <v>2.0208333333333335</v>
      </c>
      <c r="Z82" s="4">
        <v>0</v>
      </c>
      <c r="AA82">
        <v>0</v>
      </c>
      <c r="AB82" s="4">
        <v>0</v>
      </c>
      <c r="AC82" t="s">
        <v>40</v>
      </c>
      <c r="AD82" t="s">
        <v>145</v>
      </c>
      <c r="AE82">
        <v>9</v>
      </c>
      <c r="AF82">
        <v>0</v>
      </c>
      <c r="AG82" s="2">
        <v>3.3657407407407407E-2</v>
      </c>
      <c r="AH82" s="2">
        <v>3.3680555555555554E-2</v>
      </c>
      <c r="AI82" t="s">
        <v>39</v>
      </c>
      <c r="AJ82" t="s">
        <v>39</v>
      </c>
    </row>
    <row r="83" spans="1:36" x14ac:dyDescent="0.25">
      <c r="A83" t="s">
        <v>45</v>
      </c>
      <c r="B83" s="1">
        <v>44191.28707175926</v>
      </c>
      <c r="C83" t="s">
        <v>37</v>
      </c>
      <c r="D83" t="s">
        <v>45</v>
      </c>
      <c r="E83">
        <v>12.01</v>
      </c>
      <c r="F83">
        <v>900</v>
      </c>
      <c r="G83" s="2">
        <v>5.1527777777777777E-2</v>
      </c>
      <c r="H83" t="s">
        <v>39</v>
      </c>
      <c r="I83" t="s">
        <v>39</v>
      </c>
      <c r="J83" t="s">
        <v>39</v>
      </c>
      <c r="K83">
        <v>153</v>
      </c>
      <c r="L83">
        <v>164</v>
      </c>
      <c r="M83" s="4">
        <v>0.25763888888888892</v>
      </c>
      <c r="N83" s="4">
        <v>0.21041666666666667</v>
      </c>
      <c r="O83" t="s">
        <v>39</v>
      </c>
      <c r="P83" t="s">
        <v>39</v>
      </c>
      <c r="Q83">
        <v>1.06</v>
      </c>
      <c r="R83">
        <v>0</v>
      </c>
      <c r="S83">
        <v>0</v>
      </c>
      <c r="T83">
        <v>0</v>
      </c>
      <c r="U83">
        <v>0</v>
      </c>
      <c r="V83">
        <v>0</v>
      </c>
      <c r="W83" t="s">
        <v>39</v>
      </c>
      <c r="X83" t="s">
        <v>39</v>
      </c>
      <c r="Y83" s="2">
        <v>5.1527777777777777E-2</v>
      </c>
      <c r="Z83" s="4">
        <v>0</v>
      </c>
      <c r="AA83">
        <v>0</v>
      </c>
      <c r="AB83" s="4">
        <v>0</v>
      </c>
      <c r="AC83" t="s">
        <v>40</v>
      </c>
      <c r="AD83" t="s">
        <v>146</v>
      </c>
      <c r="AE83">
        <v>13</v>
      </c>
      <c r="AF83">
        <v>0</v>
      </c>
      <c r="AG83" s="2">
        <v>5.1504629629629629E-2</v>
      </c>
      <c r="AH83" s="2">
        <v>5.1527777777777777E-2</v>
      </c>
      <c r="AI83" t="s">
        <v>39</v>
      </c>
      <c r="AJ83" t="s">
        <v>39</v>
      </c>
    </row>
    <row r="84" spans="1:36" x14ac:dyDescent="0.25">
      <c r="A84" t="s">
        <v>45</v>
      </c>
      <c r="B84" s="1">
        <v>44187.276122685187</v>
      </c>
      <c r="C84" t="s">
        <v>37</v>
      </c>
      <c r="D84" t="s">
        <v>82</v>
      </c>
      <c r="E84">
        <v>8.4499999999999993</v>
      </c>
      <c r="F84">
        <v>585</v>
      </c>
      <c r="G84" s="2">
        <v>4.6689814814814816E-2</v>
      </c>
      <c r="H84" t="s">
        <v>39</v>
      </c>
      <c r="I84" t="s">
        <v>39</v>
      </c>
      <c r="J84" t="s">
        <v>39</v>
      </c>
      <c r="K84">
        <v>126</v>
      </c>
      <c r="L84">
        <v>181</v>
      </c>
      <c r="M84" s="4">
        <v>0.33124999999999999</v>
      </c>
      <c r="N84" s="4">
        <v>0.15347222222222223</v>
      </c>
      <c r="O84">
        <v>13</v>
      </c>
      <c r="P84">
        <v>17</v>
      </c>
      <c r="Q84">
        <v>0.98</v>
      </c>
      <c r="R84">
        <v>0</v>
      </c>
      <c r="S84">
        <v>0</v>
      </c>
      <c r="T84">
        <v>0</v>
      </c>
      <c r="U84">
        <v>0</v>
      </c>
      <c r="V84">
        <v>0</v>
      </c>
      <c r="W84" t="s">
        <v>39</v>
      </c>
      <c r="X84" t="s">
        <v>39</v>
      </c>
      <c r="Y84" s="2">
        <v>4.6689814814814816E-2</v>
      </c>
      <c r="Z84" s="4">
        <v>0</v>
      </c>
      <c r="AA84">
        <v>0</v>
      </c>
      <c r="AB84" s="4">
        <v>0</v>
      </c>
      <c r="AC84" t="s">
        <v>40</v>
      </c>
      <c r="AD84" t="s">
        <v>147</v>
      </c>
      <c r="AE84">
        <v>23</v>
      </c>
      <c r="AF84">
        <v>0</v>
      </c>
      <c r="AG84" s="2">
        <v>4.0856481481481487E-2</v>
      </c>
      <c r="AH84" s="2">
        <v>4.6689814814814816E-2</v>
      </c>
      <c r="AI84">
        <v>12</v>
      </c>
      <c r="AJ84">
        <v>29</v>
      </c>
    </row>
    <row r="85" spans="1:36" x14ac:dyDescent="0.25">
      <c r="A85" t="s">
        <v>45</v>
      </c>
      <c r="B85" s="1">
        <v>44185.867199074077</v>
      </c>
      <c r="C85" t="s">
        <v>37</v>
      </c>
      <c r="D85" t="s">
        <v>45</v>
      </c>
      <c r="E85">
        <v>3.01</v>
      </c>
      <c r="F85">
        <v>156</v>
      </c>
      <c r="G85" s="2">
        <v>2.4074074074074071E-2</v>
      </c>
      <c r="H85" t="s">
        <v>39</v>
      </c>
      <c r="I85" t="s">
        <v>39</v>
      </c>
      <c r="J85" t="s">
        <v>39</v>
      </c>
      <c r="K85">
        <v>112</v>
      </c>
      <c r="L85">
        <v>130</v>
      </c>
      <c r="M85" s="4">
        <v>0.47986111111111113</v>
      </c>
      <c r="N85" s="4">
        <v>0.39583333333333331</v>
      </c>
      <c r="O85" t="s">
        <v>39</v>
      </c>
      <c r="P85" t="s">
        <v>39</v>
      </c>
      <c r="Q85">
        <v>0.78</v>
      </c>
      <c r="R85">
        <v>0</v>
      </c>
      <c r="S85">
        <v>0</v>
      </c>
      <c r="T85">
        <v>0</v>
      </c>
      <c r="U85">
        <v>0</v>
      </c>
      <c r="V85">
        <v>0</v>
      </c>
      <c r="W85" t="s">
        <v>39</v>
      </c>
      <c r="X85" t="s">
        <v>39</v>
      </c>
      <c r="Y85" s="3">
        <v>1.4444444444444444</v>
      </c>
      <c r="Z85" s="4">
        <v>0</v>
      </c>
      <c r="AA85">
        <v>0</v>
      </c>
      <c r="AB85" s="4">
        <v>0</v>
      </c>
      <c r="AC85" t="s">
        <v>40</v>
      </c>
      <c r="AD85" t="s">
        <v>148</v>
      </c>
      <c r="AE85">
        <v>4</v>
      </c>
      <c r="AF85">
        <v>0</v>
      </c>
      <c r="AG85" s="2">
        <v>2.4074074074074071E-2</v>
      </c>
      <c r="AH85" s="2">
        <v>2.4074074074074071E-2</v>
      </c>
      <c r="AI85" t="s">
        <v>39</v>
      </c>
      <c r="AJ85" t="s">
        <v>39</v>
      </c>
    </row>
    <row r="86" spans="1:36" x14ac:dyDescent="0.25">
      <c r="A86" t="s">
        <v>45</v>
      </c>
      <c r="B86" s="1">
        <v>44182.276307870372</v>
      </c>
      <c r="C86" t="s">
        <v>37</v>
      </c>
      <c r="D86" t="s">
        <v>149</v>
      </c>
      <c r="E86">
        <v>7.42</v>
      </c>
      <c r="F86">
        <v>515</v>
      </c>
      <c r="G86" s="2">
        <v>3.6793981481481483E-2</v>
      </c>
      <c r="H86" t="s">
        <v>39</v>
      </c>
      <c r="I86" t="s">
        <v>39</v>
      </c>
      <c r="J86" t="s">
        <v>39</v>
      </c>
      <c r="K86">
        <v>138</v>
      </c>
      <c r="L86">
        <v>240</v>
      </c>
      <c r="M86" s="4">
        <v>0.29722222222222222</v>
      </c>
      <c r="N86" s="4">
        <v>0.15555555555555556</v>
      </c>
      <c r="O86">
        <v>15</v>
      </c>
      <c r="P86">
        <v>17</v>
      </c>
      <c r="Q86">
        <v>0.98</v>
      </c>
      <c r="R86">
        <v>0</v>
      </c>
      <c r="S86">
        <v>0</v>
      </c>
      <c r="T86">
        <v>0</v>
      </c>
      <c r="U86">
        <v>0</v>
      </c>
      <c r="V86">
        <v>0</v>
      </c>
      <c r="W86" t="s">
        <v>39</v>
      </c>
      <c r="X86" t="s">
        <v>39</v>
      </c>
      <c r="Y86" s="3">
        <v>2.2076388888888889</v>
      </c>
      <c r="Z86" s="4">
        <v>0</v>
      </c>
      <c r="AA86">
        <v>0</v>
      </c>
      <c r="AB86" s="4">
        <v>0</v>
      </c>
      <c r="AC86" t="s">
        <v>40</v>
      </c>
      <c r="AD86" t="s">
        <v>150</v>
      </c>
      <c r="AE86">
        <v>18</v>
      </c>
      <c r="AF86">
        <v>0</v>
      </c>
      <c r="AG86" s="2">
        <v>3.6747685185185182E-2</v>
      </c>
      <c r="AH86" s="2">
        <v>3.6793981481481483E-2</v>
      </c>
      <c r="AI86">
        <v>12</v>
      </c>
      <c r="AJ86">
        <v>29</v>
      </c>
    </row>
    <row r="87" spans="1:36" x14ac:dyDescent="0.25">
      <c r="A87" t="s">
        <v>45</v>
      </c>
      <c r="B87" s="1">
        <v>44180.269803240742</v>
      </c>
      <c r="C87" t="s">
        <v>37</v>
      </c>
      <c r="D87" t="s">
        <v>45</v>
      </c>
      <c r="E87">
        <v>8</v>
      </c>
      <c r="F87">
        <v>565</v>
      </c>
      <c r="G87" s="2">
        <v>4.0428240740740744E-2</v>
      </c>
      <c r="H87" t="s">
        <v>39</v>
      </c>
      <c r="I87" t="s">
        <v>39</v>
      </c>
      <c r="J87" t="s">
        <v>39</v>
      </c>
      <c r="K87">
        <v>133</v>
      </c>
      <c r="L87">
        <v>164</v>
      </c>
      <c r="M87" s="4">
        <v>0.30277777777777776</v>
      </c>
      <c r="N87" s="4">
        <v>0.2298611111111111</v>
      </c>
      <c r="O87" t="s">
        <v>39</v>
      </c>
      <c r="P87" t="s">
        <v>39</v>
      </c>
      <c r="Q87">
        <v>1.02</v>
      </c>
      <c r="R87">
        <v>0</v>
      </c>
      <c r="S87">
        <v>0</v>
      </c>
      <c r="T87">
        <v>0</v>
      </c>
      <c r="U87">
        <v>0</v>
      </c>
      <c r="V87">
        <v>0</v>
      </c>
      <c r="W87" t="s">
        <v>39</v>
      </c>
      <c r="X87" t="s">
        <v>39</v>
      </c>
      <c r="Y87" s="3">
        <v>2.4256944444444444</v>
      </c>
      <c r="Z87" s="4">
        <v>0</v>
      </c>
      <c r="AA87">
        <v>0</v>
      </c>
      <c r="AB87" s="4">
        <v>0</v>
      </c>
      <c r="AC87" t="s">
        <v>40</v>
      </c>
      <c r="AD87" t="s">
        <v>151</v>
      </c>
      <c r="AE87">
        <v>9</v>
      </c>
      <c r="AF87">
        <v>0</v>
      </c>
      <c r="AG87" s="2">
        <v>4.040509259259259E-2</v>
      </c>
      <c r="AH87" s="2">
        <v>4.0428240740740744E-2</v>
      </c>
      <c r="AI87" t="s">
        <v>39</v>
      </c>
      <c r="AJ87" t="s">
        <v>39</v>
      </c>
    </row>
    <row r="88" spans="1:36" x14ac:dyDescent="0.25">
      <c r="A88" t="s">
        <v>45</v>
      </c>
      <c r="B88" s="1">
        <v>44178.307615740741</v>
      </c>
      <c r="C88" t="s">
        <v>37</v>
      </c>
      <c r="D88" t="s">
        <v>135</v>
      </c>
      <c r="E88">
        <v>13.44</v>
      </c>
      <c r="F88">
        <v>885</v>
      </c>
      <c r="G88" s="2">
        <v>7.7974537037037037E-2</v>
      </c>
      <c r="H88" t="s">
        <v>39</v>
      </c>
      <c r="I88" t="s">
        <v>39</v>
      </c>
      <c r="J88" t="s">
        <v>39</v>
      </c>
      <c r="K88">
        <v>127</v>
      </c>
      <c r="L88">
        <v>246</v>
      </c>
      <c r="M88" s="4">
        <v>0.34791666666666665</v>
      </c>
      <c r="N88" s="4">
        <v>0.1125</v>
      </c>
      <c r="O88">
        <v>449</v>
      </c>
      <c r="P88">
        <v>496</v>
      </c>
      <c r="Q88">
        <v>0.94</v>
      </c>
      <c r="R88">
        <v>0</v>
      </c>
      <c r="S88">
        <v>0</v>
      </c>
      <c r="T88">
        <v>0</v>
      </c>
      <c r="U88">
        <v>0</v>
      </c>
      <c r="V88">
        <v>0</v>
      </c>
      <c r="W88" t="s">
        <v>39</v>
      </c>
      <c r="X88" t="s">
        <v>39</v>
      </c>
      <c r="Y88" s="2">
        <v>7.7974537037037037E-2</v>
      </c>
      <c r="Z88" s="4">
        <v>0</v>
      </c>
      <c r="AA88">
        <v>0</v>
      </c>
      <c r="AB88" s="4">
        <v>0</v>
      </c>
      <c r="AC88" t="s">
        <v>40</v>
      </c>
      <c r="AD88" t="s">
        <v>152</v>
      </c>
      <c r="AE88">
        <v>14</v>
      </c>
      <c r="AF88">
        <v>0</v>
      </c>
      <c r="AG88" s="2">
        <v>7.5451388888888887E-2</v>
      </c>
      <c r="AH88" s="2">
        <v>7.7974537037037037E-2</v>
      </c>
      <c r="AI88">
        <v>90</v>
      </c>
      <c r="AJ88">
        <v>374</v>
      </c>
    </row>
    <row r="89" spans="1:36" x14ac:dyDescent="0.25">
      <c r="A89" t="s">
        <v>45</v>
      </c>
      <c r="B89" s="1">
        <v>44175.280069444445</v>
      </c>
      <c r="C89" t="s">
        <v>37</v>
      </c>
      <c r="D89" t="s">
        <v>49</v>
      </c>
      <c r="E89">
        <v>7.34</v>
      </c>
      <c r="F89">
        <v>505</v>
      </c>
      <c r="G89" s="2">
        <v>3.7499999999999999E-2</v>
      </c>
      <c r="H89" t="s">
        <v>39</v>
      </c>
      <c r="I89" t="s">
        <v>39</v>
      </c>
      <c r="J89" t="s">
        <v>39</v>
      </c>
      <c r="K89">
        <v>139</v>
      </c>
      <c r="L89">
        <v>175</v>
      </c>
      <c r="M89" s="4">
        <v>0.30694444444444441</v>
      </c>
      <c r="N89" s="4">
        <v>0.15416666666666667</v>
      </c>
      <c r="O89">
        <v>19</v>
      </c>
      <c r="P89">
        <v>21</v>
      </c>
      <c r="Q89">
        <v>0.95</v>
      </c>
      <c r="R89">
        <v>0</v>
      </c>
      <c r="S89">
        <v>0</v>
      </c>
      <c r="T89">
        <v>0</v>
      </c>
      <c r="U89">
        <v>0</v>
      </c>
      <c r="V89">
        <v>0</v>
      </c>
      <c r="W89" t="s">
        <v>39</v>
      </c>
      <c r="X89" t="s">
        <v>39</v>
      </c>
      <c r="Y89" s="3">
        <v>2.25</v>
      </c>
      <c r="Z89" s="4">
        <v>0</v>
      </c>
      <c r="AA89">
        <v>0</v>
      </c>
      <c r="AB89" s="4">
        <v>0</v>
      </c>
      <c r="AC89" t="s">
        <v>40</v>
      </c>
      <c r="AD89" t="s">
        <v>153</v>
      </c>
      <c r="AE89">
        <v>3</v>
      </c>
      <c r="AF89">
        <v>0</v>
      </c>
      <c r="AG89" s="2">
        <v>3.7499999999999999E-2</v>
      </c>
      <c r="AH89" s="2">
        <v>3.7499999999999999E-2</v>
      </c>
      <c r="AI89">
        <v>12</v>
      </c>
      <c r="AJ89">
        <v>28</v>
      </c>
    </row>
    <row r="90" spans="1:36" x14ac:dyDescent="0.25">
      <c r="A90" t="s">
        <v>45</v>
      </c>
      <c r="B90" s="1">
        <v>44173.273657407408</v>
      </c>
      <c r="C90" t="s">
        <v>37</v>
      </c>
      <c r="D90" t="s">
        <v>49</v>
      </c>
      <c r="E90">
        <v>7.38</v>
      </c>
      <c r="F90">
        <v>496</v>
      </c>
      <c r="G90" s="2">
        <v>3.6655092592592593E-2</v>
      </c>
      <c r="H90" t="s">
        <v>39</v>
      </c>
      <c r="I90" t="s">
        <v>39</v>
      </c>
      <c r="J90" t="s">
        <v>39</v>
      </c>
      <c r="K90">
        <v>139</v>
      </c>
      <c r="L90">
        <v>173</v>
      </c>
      <c r="M90" s="4">
        <v>0.29791666666666666</v>
      </c>
      <c r="N90" s="4">
        <v>0.15347222222222223</v>
      </c>
      <c r="O90">
        <v>15</v>
      </c>
      <c r="P90">
        <v>17</v>
      </c>
      <c r="Q90">
        <v>0.97</v>
      </c>
      <c r="R90">
        <v>0</v>
      </c>
      <c r="S90">
        <v>0</v>
      </c>
      <c r="T90">
        <v>0</v>
      </c>
      <c r="U90">
        <v>0</v>
      </c>
      <c r="V90">
        <v>0</v>
      </c>
      <c r="W90" t="s">
        <v>39</v>
      </c>
      <c r="X90" t="s">
        <v>39</v>
      </c>
      <c r="Y90" s="3">
        <v>2.1993055555555556</v>
      </c>
      <c r="Z90" s="4">
        <v>0</v>
      </c>
      <c r="AA90">
        <v>0</v>
      </c>
      <c r="AB90" s="4">
        <v>0</v>
      </c>
      <c r="AC90" t="s">
        <v>40</v>
      </c>
      <c r="AD90" t="s">
        <v>147</v>
      </c>
      <c r="AE90">
        <v>8</v>
      </c>
      <c r="AF90">
        <v>0</v>
      </c>
      <c r="AG90" s="2">
        <v>3.6400462962962961E-2</v>
      </c>
      <c r="AH90" s="2">
        <v>3.7060185185185189E-2</v>
      </c>
      <c r="AI90">
        <v>12</v>
      </c>
      <c r="AJ90">
        <v>29</v>
      </c>
    </row>
    <row r="91" spans="1:36" x14ac:dyDescent="0.25">
      <c r="A91" t="s">
        <v>45</v>
      </c>
      <c r="B91" s="1">
        <v>44170.297951388886</v>
      </c>
      <c r="C91" t="s">
        <v>37</v>
      </c>
      <c r="D91" t="s">
        <v>49</v>
      </c>
      <c r="E91">
        <v>7.54</v>
      </c>
      <c r="F91">
        <v>536</v>
      </c>
      <c r="G91" s="2">
        <v>3.5474537037037041E-2</v>
      </c>
      <c r="H91" t="s">
        <v>39</v>
      </c>
      <c r="I91" t="s">
        <v>39</v>
      </c>
      <c r="J91" t="s">
        <v>39</v>
      </c>
      <c r="K91">
        <v>134</v>
      </c>
      <c r="L91">
        <v>246</v>
      </c>
      <c r="M91" s="4">
        <v>0.28194444444444444</v>
      </c>
      <c r="N91" s="4">
        <v>0.17916666666666667</v>
      </c>
      <c r="O91">
        <v>22</v>
      </c>
      <c r="P91">
        <v>27</v>
      </c>
      <c r="Q91">
        <v>1.2</v>
      </c>
      <c r="R91">
        <v>0</v>
      </c>
      <c r="S91">
        <v>0</v>
      </c>
      <c r="T91">
        <v>0</v>
      </c>
      <c r="U91">
        <v>0</v>
      </c>
      <c r="V91">
        <v>0</v>
      </c>
      <c r="W91" t="s">
        <v>39</v>
      </c>
      <c r="X91" t="s">
        <v>39</v>
      </c>
      <c r="Y91" s="3">
        <v>2.1284722222222223</v>
      </c>
      <c r="Z91" s="4">
        <v>0</v>
      </c>
      <c r="AA91">
        <v>0</v>
      </c>
      <c r="AB91" s="4">
        <v>0</v>
      </c>
      <c r="AC91" t="s">
        <v>40</v>
      </c>
      <c r="AD91" t="s">
        <v>154</v>
      </c>
      <c r="AE91">
        <v>8</v>
      </c>
      <c r="AF91">
        <v>0</v>
      </c>
      <c r="AG91" s="2">
        <v>3.0601851851851852E-2</v>
      </c>
      <c r="AH91" s="2">
        <v>3.5798611111111107E-2</v>
      </c>
      <c r="AI91">
        <v>12</v>
      </c>
      <c r="AJ91">
        <v>30</v>
      </c>
    </row>
    <row r="92" spans="1:36" x14ac:dyDescent="0.25">
      <c r="A92" t="s">
        <v>45</v>
      </c>
      <c r="B92" s="1">
        <v>44166.773888888885</v>
      </c>
      <c r="C92" t="s">
        <v>37</v>
      </c>
      <c r="D92" t="s">
        <v>45</v>
      </c>
      <c r="E92">
        <v>6.79</v>
      </c>
      <c r="F92">
        <v>494</v>
      </c>
      <c r="G92" s="2">
        <v>2.78125E-2</v>
      </c>
      <c r="H92" t="s">
        <v>39</v>
      </c>
      <c r="I92" t="s">
        <v>39</v>
      </c>
      <c r="J92" t="s">
        <v>39</v>
      </c>
      <c r="K92">
        <v>155</v>
      </c>
      <c r="L92">
        <v>161</v>
      </c>
      <c r="M92" s="4">
        <v>0.24583333333333335</v>
      </c>
      <c r="N92" s="4">
        <v>0.22152777777777777</v>
      </c>
      <c r="O92" t="s">
        <v>39</v>
      </c>
      <c r="P92" t="s">
        <v>39</v>
      </c>
      <c r="Q92">
        <v>1.0900000000000001</v>
      </c>
      <c r="R92">
        <v>0</v>
      </c>
      <c r="S92">
        <v>0</v>
      </c>
      <c r="T92">
        <v>0</v>
      </c>
      <c r="U92">
        <v>0</v>
      </c>
      <c r="V92">
        <v>0</v>
      </c>
      <c r="W92" t="s">
        <v>39</v>
      </c>
      <c r="X92" t="s">
        <v>39</v>
      </c>
      <c r="Y92" s="3">
        <v>1.66875</v>
      </c>
      <c r="Z92" s="4">
        <v>0</v>
      </c>
      <c r="AA92">
        <v>0</v>
      </c>
      <c r="AB92" s="4">
        <v>0</v>
      </c>
      <c r="AC92" t="s">
        <v>40</v>
      </c>
      <c r="AD92" t="s">
        <v>155</v>
      </c>
      <c r="AE92">
        <v>7</v>
      </c>
      <c r="AF92">
        <v>0</v>
      </c>
      <c r="AG92" s="2">
        <v>2.7800925925925923E-2</v>
      </c>
      <c r="AH92" s="2">
        <v>2.78125E-2</v>
      </c>
      <c r="AI92" t="s">
        <v>39</v>
      </c>
      <c r="AJ92" t="s">
        <v>39</v>
      </c>
    </row>
    <row r="93" spans="1:36" x14ac:dyDescent="0.25">
      <c r="A93" t="s">
        <v>45</v>
      </c>
      <c r="B93" s="1">
        <v>44163.25712962963</v>
      </c>
      <c r="C93" t="s">
        <v>37</v>
      </c>
      <c r="D93" t="s">
        <v>125</v>
      </c>
      <c r="E93">
        <v>22.01</v>
      </c>
      <c r="F93" s="5">
        <v>1437</v>
      </c>
      <c r="G93" s="2">
        <v>0.11844907407407408</v>
      </c>
      <c r="H93" t="s">
        <v>39</v>
      </c>
      <c r="I93" t="s">
        <v>39</v>
      </c>
      <c r="J93" t="s">
        <v>39</v>
      </c>
      <c r="K93">
        <v>124</v>
      </c>
      <c r="L93">
        <v>182</v>
      </c>
      <c r="M93" s="4">
        <v>0.32291666666666669</v>
      </c>
      <c r="N93" s="4">
        <v>0.18055555555555555</v>
      </c>
      <c r="O93">
        <v>858</v>
      </c>
      <c r="P93">
        <v>861</v>
      </c>
      <c r="Q93">
        <v>1.04</v>
      </c>
      <c r="R93">
        <v>0</v>
      </c>
      <c r="S93">
        <v>0</v>
      </c>
      <c r="T93">
        <v>0</v>
      </c>
      <c r="U93">
        <v>0</v>
      </c>
      <c r="V93">
        <v>0</v>
      </c>
      <c r="W93" t="s">
        <v>39</v>
      </c>
      <c r="X93" t="s">
        <v>39</v>
      </c>
      <c r="Y93" s="2">
        <v>0.11844907407407408</v>
      </c>
      <c r="Z93" s="4">
        <v>0</v>
      </c>
      <c r="AA93">
        <v>0</v>
      </c>
      <c r="AB93" s="4">
        <v>0</v>
      </c>
      <c r="AC93" t="s">
        <v>40</v>
      </c>
      <c r="AD93" t="s">
        <v>156</v>
      </c>
      <c r="AE93">
        <v>23</v>
      </c>
      <c r="AF93">
        <v>0</v>
      </c>
      <c r="AG93" s="2">
        <v>0.11761574074074073</v>
      </c>
      <c r="AH93" s="2">
        <v>0.11844907407407408</v>
      </c>
      <c r="AI93">
        <v>209</v>
      </c>
      <c r="AJ93">
        <v>514</v>
      </c>
    </row>
    <row r="94" spans="1:36" x14ac:dyDescent="0.25">
      <c r="A94" t="s">
        <v>45</v>
      </c>
      <c r="B94" s="1">
        <v>44161.268576388888</v>
      </c>
      <c r="C94" t="s">
        <v>37</v>
      </c>
      <c r="D94" t="s">
        <v>49</v>
      </c>
      <c r="E94">
        <v>10.119999999999999</v>
      </c>
      <c r="F94">
        <v>728</v>
      </c>
      <c r="G94" s="2">
        <v>4.3124999999999997E-2</v>
      </c>
      <c r="H94" t="s">
        <v>39</v>
      </c>
      <c r="I94" t="s">
        <v>39</v>
      </c>
      <c r="J94" t="s">
        <v>39</v>
      </c>
      <c r="K94">
        <v>158</v>
      </c>
      <c r="L94">
        <v>171</v>
      </c>
      <c r="M94" s="4">
        <v>0.25555555555555559</v>
      </c>
      <c r="N94" s="4">
        <v>0.2076388888888889</v>
      </c>
      <c r="O94">
        <v>45</v>
      </c>
      <c r="P94">
        <v>50</v>
      </c>
      <c r="Q94">
        <v>1.03</v>
      </c>
      <c r="R94">
        <v>0</v>
      </c>
      <c r="S94">
        <v>0</v>
      </c>
      <c r="T94">
        <v>0</v>
      </c>
      <c r="U94">
        <v>0</v>
      </c>
      <c r="V94">
        <v>0</v>
      </c>
      <c r="W94" t="s">
        <v>39</v>
      </c>
      <c r="X94" t="s">
        <v>39</v>
      </c>
      <c r="Y94" s="2">
        <v>4.3124999999999997E-2</v>
      </c>
      <c r="Z94" s="4">
        <v>0</v>
      </c>
      <c r="AA94">
        <v>0</v>
      </c>
      <c r="AB94" s="4">
        <v>0</v>
      </c>
      <c r="AC94" t="s">
        <v>40</v>
      </c>
      <c r="AD94" t="s">
        <v>157</v>
      </c>
      <c r="AE94">
        <v>11</v>
      </c>
      <c r="AF94">
        <v>0</v>
      </c>
      <c r="AG94" s="2">
        <v>4.3101851851851856E-2</v>
      </c>
      <c r="AH94" s="2">
        <v>4.3124999999999997E-2</v>
      </c>
      <c r="AI94">
        <v>12</v>
      </c>
      <c r="AJ94">
        <v>41</v>
      </c>
    </row>
    <row r="95" spans="1:36" x14ac:dyDescent="0.25">
      <c r="A95" t="s">
        <v>45</v>
      </c>
      <c r="B95" s="1">
        <v>44159.285590277781</v>
      </c>
      <c r="C95" t="s">
        <v>37</v>
      </c>
      <c r="D95" t="s">
        <v>49</v>
      </c>
      <c r="E95">
        <v>10.43</v>
      </c>
      <c r="F95">
        <v>700</v>
      </c>
      <c r="G95" s="2">
        <v>5.0833333333333335E-2</v>
      </c>
      <c r="H95" t="s">
        <v>39</v>
      </c>
      <c r="I95" t="s">
        <v>39</v>
      </c>
      <c r="J95" t="s">
        <v>39</v>
      </c>
      <c r="K95">
        <v>134</v>
      </c>
      <c r="L95">
        <v>173</v>
      </c>
      <c r="M95" s="4">
        <v>0.29236111111111113</v>
      </c>
      <c r="N95" s="4">
        <v>0.16597222222222222</v>
      </c>
      <c r="O95">
        <v>32</v>
      </c>
      <c r="P95">
        <v>35</v>
      </c>
      <c r="Q95">
        <v>1.02</v>
      </c>
      <c r="R95">
        <v>0</v>
      </c>
      <c r="S95">
        <v>0</v>
      </c>
      <c r="T95">
        <v>0</v>
      </c>
      <c r="U95">
        <v>0</v>
      </c>
      <c r="V95">
        <v>0</v>
      </c>
      <c r="W95" t="s">
        <v>39</v>
      </c>
      <c r="X95" t="s">
        <v>39</v>
      </c>
      <c r="Y95" s="2">
        <v>5.0833333333333335E-2</v>
      </c>
      <c r="Z95" s="4">
        <v>0</v>
      </c>
      <c r="AA95">
        <v>0</v>
      </c>
      <c r="AB95" s="4">
        <v>0</v>
      </c>
      <c r="AC95" t="s">
        <v>40</v>
      </c>
      <c r="AD95" t="s">
        <v>147</v>
      </c>
      <c r="AE95">
        <v>26</v>
      </c>
      <c r="AF95">
        <v>0</v>
      </c>
      <c r="AG95" s="2">
        <v>4.8854166666666664E-2</v>
      </c>
      <c r="AH95" s="2">
        <v>5.0833333333333335E-2</v>
      </c>
      <c r="AI95">
        <v>12</v>
      </c>
      <c r="AJ95">
        <v>28</v>
      </c>
    </row>
    <row r="96" spans="1:36" x14ac:dyDescent="0.25">
      <c r="A96" t="s">
        <v>45</v>
      </c>
      <c r="B96" s="1">
        <v>44156.31354166667</v>
      </c>
      <c r="C96" t="s">
        <v>37</v>
      </c>
      <c r="D96" t="s">
        <v>49</v>
      </c>
      <c r="E96">
        <v>10.01</v>
      </c>
      <c r="F96">
        <v>694</v>
      </c>
      <c r="G96" s="2">
        <v>4.4108796296296299E-2</v>
      </c>
      <c r="H96" t="s">
        <v>39</v>
      </c>
      <c r="I96" t="s">
        <v>39</v>
      </c>
      <c r="J96" t="s">
        <v>39</v>
      </c>
      <c r="K96">
        <v>151</v>
      </c>
      <c r="L96">
        <v>168</v>
      </c>
      <c r="M96" s="4">
        <v>0.26458333333333334</v>
      </c>
      <c r="N96" s="4">
        <v>0.17222222222222225</v>
      </c>
      <c r="O96">
        <v>143</v>
      </c>
      <c r="P96">
        <v>144</v>
      </c>
      <c r="Q96">
        <v>1.04</v>
      </c>
      <c r="R96">
        <v>0</v>
      </c>
      <c r="S96">
        <v>0</v>
      </c>
      <c r="T96">
        <v>0</v>
      </c>
      <c r="U96">
        <v>0</v>
      </c>
      <c r="V96">
        <v>0</v>
      </c>
      <c r="W96" t="s">
        <v>39</v>
      </c>
      <c r="X96" t="s">
        <v>39</v>
      </c>
      <c r="Y96" s="2">
        <v>4.4108796296296299E-2</v>
      </c>
      <c r="Z96" s="4">
        <v>0</v>
      </c>
      <c r="AA96">
        <v>0</v>
      </c>
      <c r="AB96" s="4">
        <v>0</v>
      </c>
      <c r="AC96" t="s">
        <v>40</v>
      </c>
      <c r="AD96" t="s">
        <v>158</v>
      </c>
      <c r="AE96">
        <v>11</v>
      </c>
      <c r="AF96">
        <v>0</v>
      </c>
      <c r="AG96" s="2">
        <v>4.4062500000000004E-2</v>
      </c>
      <c r="AH96" s="2">
        <v>4.4108796296296299E-2</v>
      </c>
      <c r="AI96">
        <v>20</v>
      </c>
      <c r="AJ96">
        <v>78</v>
      </c>
    </row>
    <row r="97" spans="1:36" x14ac:dyDescent="0.25">
      <c r="A97" t="s">
        <v>45</v>
      </c>
      <c r="B97" s="1">
        <v>44154.290543981479</v>
      </c>
      <c r="C97" t="s">
        <v>37</v>
      </c>
      <c r="D97" t="s">
        <v>45</v>
      </c>
      <c r="E97">
        <v>5.01</v>
      </c>
      <c r="F97">
        <v>365</v>
      </c>
      <c r="G97" s="2">
        <v>2.0532407407407405E-2</v>
      </c>
      <c r="H97" t="s">
        <v>39</v>
      </c>
      <c r="I97" t="s">
        <v>39</v>
      </c>
      <c r="J97" t="s">
        <v>39</v>
      </c>
      <c r="K97">
        <v>157</v>
      </c>
      <c r="L97">
        <v>167</v>
      </c>
      <c r="M97" s="4">
        <v>0.24583333333333335</v>
      </c>
      <c r="N97" s="4">
        <v>0.22083333333333333</v>
      </c>
      <c r="O97" t="s">
        <v>39</v>
      </c>
      <c r="P97" t="s">
        <v>39</v>
      </c>
      <c r="Q97">
        <v>1.08</v>
      </c>
      <c r="R97">
        <v>0</v>
      </c>
      <c r="S97">
        <v>0</v>
      </c>
      <c r="T97">
        <v>0</v>
      </c>
      <c r="U97">
        <v>0</v>
      </c>
      <c r="V97">
        <v>0</v>
      </c>
      <c r="W97" t="s">
        <v>39</v>
      </c>
      <c r="X97" t="s">
        <v>39</v>
      </c>
      <c r="Y97" s="3">
        <v>1.2319444444444445</v>
      </c>
      <c r="Z97" s="4">
        <v>0</v>
      </c>
      <c r="AA97">
        <v>0</v>
      </c>
      <c r="AB97" s="4">
        <v>0</v>
      </c>
      <c r="AC97" t="s">
        <v>40</v>
      </c>
      <c r="AD97" t="s">
        <v>159</v>
      </c>
      <c r="AE97">
        <v>6</v>
      </c>
      <c r="AF97">
        <v>0</v>
      </c>
      <c r="AG97" s="2">
        <v>2.0520833333333332E-2</v>
      </c>
      <c r="AH97" s="2">
        <v>2.0532407407407405E-2</v>
      </c>
      <c r="AI97" t="s">
        <v>39</v>
      </c>
      <c r="AJ97" t="s">
        <v>39</v>
      </c>
    </row>
    <row r="98" spans="1:36" x14ac:dyDescent="0.25">
      <c r="A98" t="s">
        <v>45</v>
      </c>
      <c r="B98" s="1">
        <v>44152.277557870373</v>
      </c>
      <c r="C98" t="s">
        <v>37</v>
      </c>
      <c r="D98" t="s">
        <v>160</v>
      </c>
      <c r="E98">
        <v>9.82</v>
      </c>
      <c r="F98">
        <v>713</v>
      </c>
      <c r="G98" s="2">
        <v>3.9872685185185185E-2</v>
      </c>
      <c r="H98" t="s">
        <v>39</v>
      </c>
      <c r="I98" t="s">
        <v>39</v>
      </c>
      <c r="J98" t="s">
        <v>39</v>
      </c>
      <c r="K98">
        <v>160</v>
      </c>
      <c r="L98">
        <v>171</v>
      </c>
      <c r="M98" s="4">
        <v>0.24374999999999999</v>
      </c>
      <c r="N98" s="4">
        <v>0.15972222222222224</v>
      </c>
      <c r="O98">
        <v>42</v>
      </c>
      <c r="P98">
        <v>45</v>
      </c>
      <c r="Q98">
        <v>1.06</v>
      </c>
      <c r="R98">
        <v>0</v>
      </c>
      <c r="S98">
        <v>0</v>
      </c>
      <c r="T98">
        <v>0</v>
      </c>
      <c r="U98">
        <v>0</v>
      </c>
      <c r="V98">
        <v>0</v>
      </c>
      <c r="W98" t="s">
        <v>39</v>
      </c>
      <c r="X98" t="s">
        <v>39</v>
      </c>
      <c r="Y98" s="3">
        <v>2.3923611111111112</v>
      </c>
      <c r="Z98" s="4">
        <v>0</v>
      </c>
      <c r="AA98">
        <v>0</v>
      </c>
      <c r="AB98" s="4">
        <v>0</v>
      </c>
      <c r="AC98" t="s">
        <v>40</v>
      </c>
      <c r="AD98" t="s">
        <v>161</v>
      </c>
      <c r="AE98">
        <v>11</v>
      </c>
      <c r="AF98">
        <v>0</v>
      </c>
      <c r="AG98" s="2">
        <v>3.9849537037037037E-2</v>
      </c>
      <c r="AH98" s="2">
        <v>4.0011574074074074E-2</v>
      </c>
      <c r="AI98">
        <v>12</v>
      </c>
      <c r="AJ98">
        <v>41</v>
      </c>
    </row>
    <row r="99" spans="1:36" x14ac:dyDescent="0.25">
      <c r="A99" t="s">
        <v>45</v>
      </c>
      <c r="B99" s="1">
        <v>44150.331226851849</v>
      </c>
      <c r="C99" t="s">
        <v>37</v>
      </c>
      <c r="D99" t="s">
        <v>49</v>
      </c>
      <c r="E99">
        <v>12.01</v>
      </c>
      <c r="F99">
        <v>843</v>
      </c>
      <c r="G99" s="2">
        <v>5.6192129629629634E-2</v>
      </c>
      <c r="H99" t="s">
        <v>39</v>
      </c>
      <c r="I99" t="s">
        <v>39</v>
      </c>
      <c r="J99" t="s">
        <v>39</v>
      </c>
      <c r="K99">
        <v>151</v>
      </c>
      <c r="L99">
        <v>169</v>
      </c>
      <c r="M99" s="4">
        <v>0.28055555555555556</v>
      </c>
      <c r="N99" s="4">
        <v>6.25E-2</v>
      </c>
      <c r="O99">
        <v>178</v>
      </c>
      <c r="P99">
        <v>170</v>
      </c>
      <c r="Q99">
        <v>0.98</v>
      </c>
      <c r="R99">
        <v>0</v>
      </c>
      <c r="S99">
        <v>0</v>
      </c>
      <c r="T99">
        <v>0</v>
      </c>
      <c r="U99">
        <v>0</v>
      </c>
      <c r="V99">
        <v>0</v>
      </c>
      <c r="W99" t="s">
        <v>39</v>
      </c>
      <c r="X99" t="s">
        <v>39</v>
      </c>
      <c r="Y99" s="2">
        <v>5.6192129629629634E-2</v>
      </c>
      <c r="Z99" s="4">
        <v>0</v>
      </c>
      <c r="AA99">
        <v>0</v>
      </c>
      <c r="AB99" s="4">
        <v>0</v>
      </c>
      <c r="AC99" t="s">
        <v>40</v>
      </c>
      <c r="AD99" t="s">
        <v>162</v>
      </c>
      <c r="AE99">
        <v>13</v>
      </c>
      <c r="AF99">
        <v>0</v>
      </c>
      <c r="AG99" s="2">
        <v>5.5208333333333331E-2</v>
      </c>
      <c r="AH99" s="2">
        <v>5.6192129629629634E-2</v>
      </c>
      <c r="AI99">
        <v>-6</v>
      </c>
      <c r="AJ99">
        <v>78</v>
      </c>
    </row>
    <row r="100" spans="1:36" x14ac:dyDescent="0.25">
      <c r="A100" t="s">
        <v>45</v>
      </c>
      <c r="B100" s="1">
        <v>44147.781701388885</v>
      </c>
      <c r="C100" t="s">
        <v>37</v>
      </c>
      <c r="D100" t="s">
        <v>163</v>
      </c>
      <c r="E100">
        <v>8.84</v>
      </c>
      <c r="F100">
        <v>607</v>
      </c>
      <c r="G100" s="2">
        <v>4.0983796296296296E-2</v>
      </c>
      <c r="H100" t="s">
        <v>39</v>
      </c>
      <c r="I100" t="s">
        <v>39</v>
      </c>
      <c r="J100" t="s">
        <v>39</v>
      </c>
      <c r="K100">
        <v>143</v>
      </c>
      <c r="L100">
        <v>168</v>
      </c>
      <c r="M100" s="4">
        <v>0.27847222222222223</v>
      </c>
      <c r="N100" s="4">
        <v>0.20902777777777778</v>
      </c>
      <c r="O100" t="s">
        <v>39</v>
      </c>
      <c r="P100" t="s">
        <v>39</v>
      </c>
      <c r="Q100">
        <v>1.03</v>
      </c>
      <c r="R100">
        <v>0</v>
      </c>
      <c r="S100">
        <v>0</v>
      </c>
      <c r="T100">
        <v>0</v>
      </c>
      <c r="U100">
        <v>0</v>
      </c>
      <c r="V100">
        <v>0</v>
      </c>
      <c r="W100" t="s">
        <v>39</v>
      </c>
      <c r="X100" t="s">
        <v>39</v>
      </c>
      <c r="Y100" s="3">
        <v>2.4590277777777776</v>
      </c>
      <c r="Z100" s="4">
        <v>0</v>
      </c>
      <c r="AA100">
        <v>0</v>
      </c>
      <c r="AB100" s="4">
        <v>0</v>
      </c>
      <c r="AC100" t="s">
        <v>40</v>
      </c>
      <c r="AD100" t="s">
        <v>164</v>
      </c>
      <c r="AE100">
        <v>18</v>
      </c>
      <c r="AF100">
        <v>0</v>
      </c>
      <c r="AG100" s="2">
        <v>4.0937500000000002E-2</v>
      </c>
      <c r="AH100" s="2">
        <v>4.0983796296296296E-2</v>
      </c>
      <c r="AI100" t="s">
        <v>39</v>
      </c>
      <c r="AJ100" t="s">
        <v>39</v>
      </c>
    </row>
    <row r="101" spans="1:36" x14ac:dyDescent="0.25">
      <c r="A101" t="s">
        <v>45</v>
      </c>
      <c r="B101" s="1">
        <v>44145.275567129633</v>
      </c>
      <c r="C101" t="s">
        <v>37</v>
      </c>
      <c r="D101" t="s">
        <v>45</v>
      </c>
      <c r="E101">
        <v>10.029999999999999</v>
      </c>
      <c r="F101">
        <v>732</v>
      </c>
      <c r="G101" s="2">
        <v>4.4050925925925931E-2</v>
      </c>
      <c r="H101" t="s">
        <v>39</v>
      </c>
      <c r="I101" t="s">
        <v>39</v>
      </c>
      <c r="J101" t="s">
        <v>39</v>
      </c>
      <c r="K101">
        <v>156</v>
      </c>
      <c r="L101">
        <v>164</v>
      </c>
      <c r="M101" s="4">
        <v>0.26319444444444445</v>
      </c>
      <c r="N101" s="4">
        <v>0.23472222222222219</v>
      </c>
      <c r="O101" t="s">
        <v>39</v>
      </c>
      <c r="P101" t="s">
        <v>39</v>
      </c>
      <c r="Q101">
        <v>1.02</v>
      </c>
      <c r="R101">
        <v>0</v>
      </c>
      <c r="S101">
        <v>0</v>
      </c>
      <c r="T101">
        <v>0</v>
      </c>
      <c r="U101">
        <v>0</v>
      </c>
      <c r="V101">
        <v>0</v>
      </c>
      <c r="W101" t="s">
        <v>39</v>
      </c>
      <c r="X101" t="s">
        <v>39</v>
      </c>
      <c r="Y101" s="2">
        <v>4.4050925925925931E-2</v>
      </c>
      <c r="Z101" s="4">
        <v>0</v>
      </c>
      <c r="AA101">
        <v>0</v>
      </c>
      <c r="AB101" s="4">
        <v>0</v>
      </c>
      <c r="AC101" t="s">
        <v>40</v>
      </c>
      <c r="AD101" t="s">
        <v>165</v>
      </c>
      <c r="AE101">
        <v>11</v>
      </c>
      <c r="AF101">
        <v>0</v>
      </c>
      <c r="AG101" s="2">
        <v>4.4027777777777777E-2</v>
      </c>
      <c r="AH101" s="2">
        <v>4.4050925925925931E-2</v>
      </c>
      <c r="AI101" t="s">
        <v>39</v>
      </c>
      <c r="AJ101" t="s">
        <v>39</v>
      </c>
    </row>
    <row r="102" spans="1:36" x14ac:dyDescent="0.25">
      <c r="A102" t="s">
        <v>45</v>
      </c>
      <c r="B102" s="1">
        <v>44142.316134259258</v>
      </c>
      <c r="C102" t="s">
        <v>37</v>
      </c>
      <c r="D102" t="s">
        <v>166</v>
      </c>
      <c r="E102">
        <v>9.66</v>
      </c>
      <c r="F102">
        <v>642</v>
      </c>
      <c r="G102" s="2">
        <v>4.9050925925925921E-2</v>
      </c>
      <c r="H102" t="s">
        <v>39</v>
      </c>
      <c r="I102" t="s">
        <v>39</v>
      </c>
      <c r="J102" t="s">
        <v>39</v>
      </c>
      <c r="K102">
        <v>144</v>
      </c>
      <c r="L102">
        <v>175</v>
      </c>
      <c r="M102" s="4">
        <v>0.30486111111111108</v>
      </c>
      <c r="N102" s="4">
        <v>0.20486111111111113</v>
      </c>
      <c r="O102">
        <v>176</v>
      </c>
      <c r="P102">
        <v>179</v>
      </c>
      <c r="Q102">
        <v>0.94</v>
      </c>
      <c r="R102">
        <v>0</v>
      </c>
      <c r="S102">
        <v>0</v>
      </c>
      <c r="T102">
        <v>0</v>
      </c>
      <c r="U102">
        <v>0</v>
      </c>
      <c r="V102">
        <v>0</v>
      </c>
      <c r="W102" t="s">
        <v>39</v>
      </c>
      <c r="X102" t="s">
        <v>39</v>
      </c>
      <c r="Y102" s="2">
        <v>4.9050925925925921E-2</v>
      </c>
      <c r="Z102" s="4">
        <v>0</v>
      </c>
      <c r="AA102">
        <v>0</v>
      </c>
      <c r="AB102" s="4">
        <v>0</v>
      </c>
      <c r="AC102" t="s">
        <v>40</v>
      </c>
      <c r="AD102" t="s">
        <v>167</v>
      </c>
      <c r="AE102">
        <v>22</v>
      </c>
      <c r="AF102">
        <v>0</v>
      </c>
      <c r="AG102" s="2">
        <v>4.8969907407407413E-2</v>
      </c>
      <c r="AH102" s="2">
        <v>4.987268518518518E-2</v>
      </c>
      <c r="AI102">
        <v>12</v>
      </c>
      <c r="AJ102">
        <v>40</v>
      </c>
    </row>
    <row r="103" spans="1:36" x14ac:dyDescent="0.25">
      <c r="A103" t="s">
        <v>45</v>
      </c>
      <c r="B103" s="1">
        <v>44140.277129629627</v>
      </c>
      <c r="C103" t="s">
        <v>37</v>
      </c>
      <c r="D103" t="s">
        <v>49</v>
      </c>
      <c r="E103">
        <v>10.01</v>
      </c>
      <c r="F103">
        <v>720</v>
      </c>
      <c r="G103" s="2">
        <v>4.0810185185185185E-2</v>
      </c>
      <c r="H103" t="s">
        <v>39</v>
      </c>
      <c r="I103" t="s">
        <v>39</v>
      </c>
      <c r="J103" t="s">
        <v>39</v>
      </c>
      <c r="K103">
        <v>161</v>
      </c>
      <c r="L103">
        <v>171</v>
      </c>
      <c r="M103" s="4">
        <v>0.24444444444444446</v>
      </c>
      <c r="N103" s="4">
        <v>0.21666666666666667</v>
      </c>
      <c r="O103">
        <v>71</v>
      </c>
      <c r="P103">
        <v>75</v>
      </c>
      <c r="Q103">
        <v>1.05</v>
      </c>
      <c r="R103">
        <v>0</v>
      </c>
      <c r="S103">
        <v>0</v>
      </c>
      <c r="T103">
        <v>0</v>
      </c>
      <c r="U103">
        <v>0</v>
      </c>
      <c r="V103">
        <v>0</v>
      </c>
      <c r="W103" t="s">
        <v>39</v>
      </c>
      <c r="X103" t="s">
        <v>39</v>
      </c>
      <c r="Y103" s="3">
        <v>2.4486111111111111</v>
      </c>
      <c r="Z103" s="4">
        <v>0</v>
      </c>
      <c r="AA103">
        <v>0</v>
      </c>
      <c r="AB103" s="4">
        <v>0</v>
      </c>
      <c r="AC103" t="s">
        <v>40</v>
      </c>
      <c r="AD103" t="s">
        <v>168</v>
      </c>
      <c r="AE103">
        <v>11</v>
      </c>
      <c r="AF103">
        <v>0</v>
      </c>
      <c r="AG103" s="2">
        <v>4.0787037037037038E-2</v>
      </c>
      <c r="AH103" s="2">
        <v>4.0810185185185185E-2</v>
      </c>
      <c r="AI103">
        <v>12</v>
      </c>
      <c r="AJ103">
        <v>56</v>
      </c>
    </row>
    <row r="104" spans="1:36" x14ac:dyDescent="0.25">
      <c r="A104" t="s">
        <v>45</v>
      </c>
      <c r="B104" s="1">
        <v>44135.319456018522</v>
      </c>
      <c r="C104" t="s">
        <v>37</v>
      </c>
      <c r="D104" t="s">
        <v>49</v>
      </c>
      <c r="E104">
        <v>7.01</v>
      </c>
      <c r="F104">
        <v>511</v>
      </c>
      <c r="G104" s="2">
        <v>2.9270833333333333E-2</v>
      </c>
      <c r="H104" t="s">
        <v>39</v>
      </c>
      <c r="I104" t="s">
        <v>39</v>
      </c>
      <c r="J104" t="s">
        <v>39</v>
      </c>
      <c r="K104">
        <v>161</v>
      </c>
      <c r="L104">
        <v>170</v>
      </c>
      <c r="M104" s="4">
        <v>0.25069444444444444</v>
      </c>
      <c r="N104" s="4">
        <v>0.21111111111111111</v>
      </c>
      <c r="O104">
        <v>75</v>
      </c>
      <c r="P104">
        <v>77</v>
      </c>
      <c r="Q104">
        <v>1.03</v>
      </c>
      <c r="R104">
        <v>0</v>
      </c>
      <c r="S104">
        <v>0</v>
      </c>
      <c r="T104">
        <v>0</v>
      </c>
      <c r="U104">
        <v>0</v>
      </c>
      <c r="V104">
        <v>0</v>
      </c>
      <c r="W104" t="s">
        <v>39</v>
      </c>
      <c r="X104" t="s">
        <v>39</v>
      </c>
      <c r="Y104" s="3">
        <v>1.7562499999999999</v>
      </c>
      <c r="Z104" s="4">
        <v>0</v>
      </c>
      <c r="AA104">
        <v>0</v>
      </c>
      <c r="AB104" s="4">
        <v>0</v>
      </c>
      <c r="AC104" t="s">
        <v>40</v>
      </c>
      <c r="AD104" t="s">
        <v>169</v>
      </c>
      <c r="AE104">
        <v>8</v>
      </c>
      <c r="AF104">
        <v>0</v>
      </c>
      <c r="AG104" s="2">
        <v>2.9247685185185186E-2</v>
      </c>
      <c r="AH104" s="2">
        <v>2.9270833333333333E-2</v>
      </c>
      <c r="AI104">
        <v>20</v>
      </c>
      <c r="AJ104">
        <v>63</v>
      </c>
    </row>
    <row r="105" spans="1:36" x14ac:dyDescent="0.25">
      <c r="A105" t="s">
        <v>45</v>
      </c>
      <c r="B105" s="1">
        <v>44133.280405092592</v>
      </c>
      <c r="C105" t="s">
        <v>37</v>
      </c>
      <c r="D105" t="s">
        <v>49</v>
      </c>
      <c r="E105">
        <v>7.01</v>
      </c>
      <c r="F105">
        <v>513</v>
      </c>
      <c r="G105" s="2">
        <v>2.8680555555555553E-2</v>
      </c>
      <c r="H105" t="s">
        <v>39</v>
      </c>
      <c r="I105" t="s">
        <v>39</v>
      </c>
      <c r="J105" t="s">
        <v>39</v>
      </c>
      <c r="K105">
        <v>159</v>
      </c>
      <c r="L105">
        <v>170</v>
      </c>
      <c r="M105" s="4">
        <v>0.24583333333333335</v>
      </c>
      <c r="N105" s="4">
        <v>0.21736111111111112</v>
      </c>
      <c r="O105">
        <v>53</v>
      </c>
      <c r="P105">
        <v>54</v>
      </c>
      <c r="Q105">
        <v>1.07</v>
      </c>
      <c r="R105">
        <v>0</v>
      </c>
      <c r="S105">
        <v>0</v>
      </c>
      <c r="T105">
        <v>0</v>
      </c>
      <c r="U105">
        <v>0</v>
      </c>
      <c r="V105">
        <v>0</v>
      </c>
      <c r="W105" t="s">
        <v>39</v>
      </c>
      <c r="X105" t="s">
        <v>39</v>
      </c>
      <c r="Y105" s="3">
        <v>1.7208333333333332</v>
      </c>
      <c r="Z105" s="4">
        <v>0</v>
      </c>
      <c r="AA105">
        <v>0</v>
      </c>
      <c r="AB105" s="4">
        <v>0</v>
      </c>
      <c r="AC105" t="s">
        <v>40</v>
      </c>
      <c r="AD105" t="s">
        <v>170</v>
      </c>
      <c r="AE105">
        <v>8</v>
      </c>
      <c r="AF105">
        <v>0</v>
      </c>
      <c r="AG105" s="2">
        <v>2.8668981481481479E-2</v>
      </c>
      <c r="AH105" s="2">
        <v>2.8680555555555553E-2</v>
      </c>
      <c r="AI105">
        <v>12</v>
      </c>
      <c r="AJ105">
        <v>56</v>
      </c>
    </row>
    <row r="106" spans="1:36" x14ac:dyDescent="0.25">
      <c r="A106" t="s">
        <v>45</v>
      </c>
      <c r="B106" s="1">
        <v>44131.799317129633</v>
      </c>
      <c r="C106" t="s">
        <v>37</v>
      </c>
      <c r="D106" t="s">
        <v>171</v>
      </c>
      <c r="E106">
        <v>7.56</v>
      </c>
      <c r="F106">
        <v>539</v>
      </c>
      <c r="G106" s="2">
        <v>3.201388888888889E-2</v>
      </c>
      <c r="H106" t="s">
        <v>39</v>
      </c>
      <c r="I106" t="s">
        <v>39</v>
      </c>
      <c r="J106" t="s">
        <v>39</v>
      </c>
      <c r="K106">
        <v>151</v>
      </c>
      <c r="L106">
        <v>170</v>
      </c>
      <c r="M106" s="4">
        <v>0.25416666666666665</v>
      </c>
      <c r="N106" s="4">
        <v>0.2076388888888889</v>
      </c>
      <c r="O106" t="s">
        <v>39</v>
      </c>
      <c r="P106" t="s">
        <v>39</v>
      </c>
      <c r="Q106">
        <v>1.07</v>
      </c>
      <c r="R106">
        <v>0</v>
      </c>
      <c r="S106">
        <v>0</v>
      </c>
      <c r="T106">
        <v>0</v>
      </c>
      <c r="U106">
        <v>0</v>
      </c>
      <c r="V106">
        <v>0</v>
      </c>
      <c r="W106" t="s">
        <v>39</v>
      </c>
      <c r="X106" t="s">
        <v>39</v>
      </c>
      <c r="Y106" s="3">
        <v>1.9208333333333334</v>
      </c>
      <c r="Z106" s="4">
        <v>0</v>
      </c>
      <c r="AA106">
        <v>0</v>
      </c>
      <c r="AB106" s="4">
        <v>0</v>
      </c>
      <c r="AC106" t="s">
        <v>40</v>
      </c>
      <c r="AD106" t="s">
        <v>172</v>
      </c>
      <c r="AE106">
        <v>6</v>
      </c>
      <c r="AF106">
        <v>0</v>
      </c>
      <c r="AG106" s="2">
        <v>3.172453703703703E-2</v>
      </c>
      <c r="AH106" s="2">
        <v>3.201388888888889E-2</v>
      </c>
      <c r="AI106" t="s">
        <v>39</v>
      </c>
      <c r="AJ106" t="s">
        <v>39</v>
      </c>
    </row>
    <row r="107" spans="1:36" x14ac:dyDescent="0.25">
      <c r="A107" t="s">
        <v>45</v>
      </c>
      <c r="B107" s="1">
        <v>44128.332453703704</v>
      </c>
      <c r="C107" t="s">
        <v>37</v>
      </c>
      <c r="D107" t="s">
        <v>49</v>
      </c>
      <c r="E107">
        <v>11.58</v>
      </c>
      <c r="F107">
        <v>834</v>
      </c>
      <c r="G107" s="2">
        <v>5.153935185185185E-2</v>
      </c>
      <c r="H107" t="s">
        <v>39</v>
      </c>
      <c r="I107" t="s">
        <v>39</v>
      </c>
      <c r="J107" t="s">
        <v>39</v>
      </c>
      <c r="K107">
        <v>158</v>
      </c>
      <c r="L107">
        <v>173</v>
      </c>
      <c r="M107" s="4">
        <v>0.26666666666666666</v>
      </c>
      <c r="N107" s="4">
        <v>0.21666666666666667</v>
      </c>
      <c r="O107">
        <v>166</v>
      </c>
      <c r="P107">
        <v>171</v>
      </c>
      <c r="Q107">
        <v>0.99</v>
      </c>
      <c r="R107">
        <v>0</v>
      </c>
      <c r="S107">
        <v>0</v>
      </c>
      <c r="T107">
        <v>0</v>
      </c>
      <c r="U107">
        <v>0</v>
      </c>
      <c r="V107">
        <v>0</v>
      </c>
      <c r="W107" t="s">
        <v>39</v>
      </c>
      <c r="X107" t="s">
        <v>39</v>
      </c>
      <c r="Y107" s="2">
        <v>5.153935185185185E-2</v>
      </c>
      <c r="Z107" s="4">
        <v>0</v>
      </c>
      <c r="AA107">
        <v>0</v>
      </c>
      <c r="AB107" s="4">
        <v>0</v>
      </c>
      <c r="AC107" t="s">
        <v>40</v>
      </c>
      <c r="AD107" t="s">
        <v>173</v>
      </c>
      <c r="AE107">
        <v>12</v>
      </c>
      <c r="AF107">
        <v>0</v>
      </c>
      <c r="AG107" s="2">
        <v>5.1527777777777777E-2</v>
      </c>
      <c r="AH107" s="2">
        <v>5.153935185185185E-2</v>
      </c>
      <c r="AI107">
        <v>20</v>
      </c>
      <c r="AJ107">
        <v>116</v>
      </c>
    </row>
    <row r="108" spans="1:36" x14ac:dyDescent="0.25">
      <c r="A108" t="s">
        <v>45</v>
      </c>
      <c r="B108" s="1">
        <v>44126.756805555553</v>
      </c>
      <c r="C108" t="s">
        <v>37</v>
      </c>
      <c r="D108" t="s">
        <v>174</v>
      </c>
      <c r="E108">
        <v>7.29</v>
      </c>
      <c r="F108">
        <v>528</v>
      </c>
      <c r="G108" s="2">
        <v>3.8703703703703705E-2</v>
      </c>
      <c r="H108" t="s">
        <v>39</v>
      </c>
      <c r="I108" t="s">
        <v>39</v>
      </c>
      <c r="J108" t="s">
        <v>39</v>
      </c>
      <c r="K108">
        <v>114</v>
      </c>
      <c r="L108">
        <v>170</v>
      </c>
      <c r="M108" s="4">
        <v>0.31875000000000003</v>
      </c>
      <c r="N108" s="4">
        <v>0.19166666666666665</v>
      </c>
      <c r="O108" t="s">
        <v>39</v>
      </c>
      <c r="P108" t="s">
        <v>39</v>
      </c>
      <c r="Q108">
        <v>1.1000000000000001</v>
      </c>
      <c r="R108">
        <v>0</v>
      </c>
      <c r="S108">
        <v>0</v>
      </c>
      <c r="T108">
        <v>0</v>
      </c>
      <c r="U108">
        <v>0</v>
      </c>
      <c r="V108">
        <v>0</v>
      </c>
      <c r="W108" t="s">
        <v>39</v>
      </c>
      <c r="X108" t="s">
        <v>39</v>
      </c>
      <c r="Y108" s="3">
        <v>2.3222222222222224</v>
      </c>
      <c r="Z108" s="4">
        <v>0</v>
      </c>
      <c r="AA108">
        <v>0</v>
      </c>
      <c r="AB108" s="4">
        <v>0</v>
      </c>
      <c r="AC108" t="s">
        <v>40</v>
      </c>
      <c r="AD108" t="s">
        <v>175</v>
      </c>
      <c r="AE108">
        <v>14</v>
      </c>
      <c r="AF108">
        <v>0</v>
      </c>
      <c r="AG108" s="2">
        <v>3.3263888888888891E-2</v>
      </c>
      <c r="AH108" s="2">
        <v>3.8703703703703705E-2</v>
      </c>
      <c r="AI108" t="s">
        <v>39</v>
      </c>
      <c r="AJ108" t="s">
        <v>39</v>
      </c>
    </row>
    <row r="109" spans="1:36" x14ac:dyDescent="0.25">
      <c r="A109" t="s">
        <v>45</v>
      </c>
      <c r="B109" s="1">
        <v>44124.273287037038</v>
      </c>
      <c r="C109" t="s">
        <v>37</v>
      </c>
      <c r="D109" t="s">
        <v>49</v>
      </c>
      <c r="E109">
        <v>10.01</v>
      </c>
      <c r="F109">
        <v>731</v>
      </c>
      <c r="G109" s="2">
        <v>4.1053240740740744E-2</v>
      </c>
      <c r="H109" t="s">
        <v>39</v>
      </c>
      <c r="I109" t="s">
        <v>39</v>
      </c>
      <c r="J109" t="s">
        <v>39</v>
      </c>
      <c r="K109">
        <v>162</v>
      </c>
      <c r="L109">
        <v>171</v>
      </c>
      <c r="M109" s="4">
        <v>0.24583333333333335</v>
      </c>
      <c r="N109" s="4">
        <v>0.22638888888888889</v>
      </c>
      <c r="O109">
        <v>75</v>
      </c>
      <c r="P109">
        <v>85</v>
      </c>
      <c r="Q109">
        <v>1.04</v>
      </c>
      <c r="R109">
        <v>0</v>
      </c>
      <c r="S109">
        <v>0</v>
      </c>
      <c r="T109">
        <v>0</v>
      </c>
      <c r="U109">
        <v>0</v>
      </c>
      <c r="V109">
        <v>0</v>
      </c>
      <c r="W109" t="s">
        <v>39</v>
      </c>
      <c r="X109" t="s">
        <v>39</v>
      </c>
      <c r="Y109" s="3">
        <v>2.4631944444444445</v>
      </c>
      <c r="Z109" s="4">
        <v>0</v>
      </c>
      <c r="AA109">
        <v>0</v>
      </c>
      <c r="AB109" s="4">
        <v>0</v>
      </c>
      <c r="AC109" t="s">
        <v>40</v>
      </c>
      <c r="AD109" t="s">
        <v>176</v>
      </c>
      <c r="AE109">
        <v>11</v>
      </c>
      <c r="AF109">
        <v>0</v>
      </c>
      <c r="AG109" s="2">
        <v>4.1030092592592597E-2</v>
      </c>
      <c r="AH109" s="2">
        <v>4.1053240740740744E-2</v>
      </c>
      <c r="AI109">
        <v>12</v>
      </c>
      <c r="AJ109">
        <v>56</v>
      </c>
    </row>
    <row r="110" spans="1:36" x14ac:dyDescent="0.25">
      <c r="A110" t="s">
        <v>45</v>
      </c>
      <c r="B110" s="1">
        <v>44122.350949074076</v>
      </c>
      <c r="C110" t="s">
        <v>37</v>
      </c>
      <c r="D110" t="s">
        <v>108</v>
      </c>
      <c r="E110">
        <v>11.2</v>
      </c>
      <c r="F110">
        <v>776</v>
      </c>
      <c r="G110" s="2">
        <v>5.1747685185185188E-2</v>
      </c>
      <c r="H110" t="s">
        <v>39</v>
      </c>
      <c r="I110" t="s">
        <v>39</v>
      </c>
      <c r="J110" t="s">
        <v>39</v>
      </c>
      <c r="K110">
        <v>149</v>
      </c>
      <c r="L110">
        <v>170</v>
      </c>
      <c r="M110" s="4">
        <v>0.27708333333333335</v>
      </c>
      <c r="N110" s="4">
        <v>0.18263888888888891</v>
      </c>
      <c r="O110">
        <v>97</v>
      </c>
      <c r="P110">
        <v>98</v>
      </c>
      <c r="Q110">
        <v>0.99</v>
      </c>
      <c r="R110">
        <v>0</v>
      </c>
      <c r="S110">
        <v>0</v>
      </c>
      <c r="T110">
        <v>0</v>
      </c>
      <c r="U110">
        <v>0</v>
      </c>
      <c r="V110">
        <v>0</v>
      </c>
      <c r="W110" t="s">
        <v>39</v>
      </c>
      <c r="X110" t="s">
        <v>39</v>
      </c>
      <c r="Y110" s="2">
        <v>5.1747685185185188E-2</v>
      </c>
      <c r="Z110" s="4">
        <v>0</v>
      </c>
      <c r="AA110">
        <v>0</v>
      </c>
      <c r="AB110" s="4">
        <v>0</v>
      </c>
      <c r="AC110" t="s">
        <v>40</v>
      </c>
      <c r="AD110" t="s">
        <v>109</v>
      </c>
      <c r="AE110">
        <v>10</v>
      </c>
      <c r="AF110">
        <v>0</v>
      </c>
      <c r="AG110" s="2">
        <v>5.1736111111111115E-2</v>
      </c>
      <c r="AH110" s="2">
        <v>5.1747685185185188E-2</v>
      </c>
      <c r="AI110">
        <v>15</v>
      </c>
      <c r="AJ110">
        <v>60</v>
      </c>
    </row>
    <row r="111" spans="1:36" x14ac:dyDescent="0.25">
      <c r="A111" t="s">
        <v>45</v>
      </c>
      <c r="B111" s="1">
        <v>44119.277002314811</v>
      </c>
      <c r="C111" t="s">
        <v>37</v>
      </c>
      <c r="D111" t="s">
        <v>49</v>
      </c>
      <c r="E111">
        <v>10.01</v>
      </c>
      <c r="F111">
        <v>720</v>
      </c>
      <c r="G111" s="2">
        <v>3.9328703703703706E-2</v>
      </c>
      <c r="H111" t="s">
        <v>39</v>
      </c>
      <c r="I111" t="s">
        <v>39</v>
      </c>
      <c r="J111" t="s">
        <v>39</v>
      </c>
      <c r="K111">
        <v>157</v>
      </c>
      <c r="L111">
        <v>173</v>
      </c>
      <c r="M111" s="4">
        <v>0.23611111111111113</v>
      </c>
      <c r="N111" s="4">
        <v>0.19999999999999998</v>
      </c>
      <c r="O111">
        <v>66</v>
      </c>
      <c r="P111">
        <v>67</v>
      </c>
      <c r="Q111">
        <v>1.1200000000000001</v>
      </c>
      <c r="R111">
        <v>0</v>
      </c>
      <c r="S111">
        <v>0</v>
      </c>
      <c r="T111">
        <v>0</v>
      </c>
      <c r="U111">
        <v>0</v>
      </c>
      <c r="V111">
        <v>0</v>
      </c>
      <c r="W111" t="s">
        <v>39</v>
      </c>
      <c r="X111" t="s">
        <v>39</v>
      </c>
      <c r="Y111" s="3">
        <v>2.3597222222222221</v>
      </c>
      <c r="Z111" s="4">
        <v>0</v>
      </c>
      <c r="AA111">
        <v>0</v>
      </c>
      <c r="AB111" s="4">
        <v>0</v>
      </c>
      <c r="AC111" t="s">
        <v>40</v>
      </c>
      <c r="AD111" t="s">
        <v>177</v>
      </c>
      <c r="AE111">
        <v>11</v>
      </c>
      <c r="AF111">
        <v>0</v>
      </c>
      <c r="AG111" s="2">
        <v>3.9305555555555559E-2</v>
      </c>
      <c r="AH111" s="2">
        <v>3.9328703703703706E-2</v>
      </c>
      <c r="AI111">
        <v>12</v>
      </c>
      <c r="AJ111">
        <v>56</v>
      </c>
    </row>
    <row r="112" spans="1:36" x14ac:dyDescent="0.25">
      <c r="A112" t="s">
        <v>45</v>
      </c>
      <c r="B112" s="1">
        <v>44117.28837962963</v>
      </c>
      <c r="C112" t="s">
        <v>37</v>
      </c>
      <c r="D112" t="s">
        <v>178</v>
      </c>
      <c r="E112">
        <v>9.25</v>
      </c>
      <c r="F112">
        <v>621</v>
      </c>
      <c r="G112" s="2">
        <v>4.3946759259259255E-2</v>
      </c>
      <c r="H112" t="s">
        <v>39</v>
      </c>
      <c r="I112" t="s">
        <v>39</v>
      </c>
      <c r="J112" t="s">
        <v>39</v>
      </c>
      <c r="K112">
        <v>142</v>
      </c>
      <c r="L112">
        <v>169</v>
      </c>
      <c r="M112" s="4">
        <v>0.28472222222222221</v>
      </c>
      <c r="N112" s="4">
        <v>0.20069444444444443</v>
      </c>
      <c r="O112">
        <v>17</v>
      </c>
      <c r="P112">
        <v>23</v>
      </c>
      <c r="Q112">
        <v>1.02</v>
      </c>
      <c r="R112">
        <v>0</v>
      </c>
      <c r="S112">
        <v>0</v>
      </c>
      <c r="T112">
        <v>0</v>
      </c>
      <c r="U112">
        <v>0</v>
      </c>
      <c r="V112">
        <v>0</v>
      </c>
      <c r="W112" t="s">
        <v>39</v>
      </c>
      <c r="X112" t="s">
        <v>39</v>
      </c>
      <c r="Y112" s="2">
        <v>4.3946759259259255E-2</v>
      </c>
      <c r="Z112" s="4">
        <v>0</v>
      </c>
      <c r="AA112">
        <v>0</v>
      </c>
      <c r="AB112" s="4">
        <v>0</v>
      </c>
      <c r="AC112" t="s">
        <v>40</v>
      </c>
      <c r="AD112" t="s">
        <v>150</v>
      </c>
      <c r="AE112">
        <v>18</v>
      </c>
      <c r="AF112">
        <v>0</v>
      </c>
      <c r="AG112" s="2">
        <v>4.3935185185185188E-2</v>
      </c>
      <c r="AH112" s="2">
        <v>4.3946759259259255E-2</v>
      </c>
      <c r="AI112">
        <v>12</v>
      </c>
      <c r="AJ112">
        <v>28</v>
      </c>
    </row>
    <row r="113" spans="1:36" x14ac:dyDescent="0.25">
      <c r="A113" t="s">
        <v>45</v>
      </c>
      <c r="B113" s="1">
        <v>44114.30300925926</v>
      </c>
      <c r="C113" t="s">
        <v>37</v>
      </c>
      <c r="D113" t="s">
        <v>49</v>
      </c>
      <c r="E113">
        <v>10.01</v>
      </c>
      <c r="F113">
        <v>718</v>
      </c>
      <c r="G113" s="2">
        <v>4.1354166666666664E-2</v>
      </c>
      <c r="H113" t="s">
        <v>39</v>
      </c>
      <c r="I113" t="s">
        <v>39</v>
      </c>
      <c r="J113" t="s">
        <v>39</v>
      </c>
      <c r="K113">
        <v>159</v>
      </c>
      <c r="L113">
        <v>173</v>
      </c>
      <c r="M113" s="4">
        <v>0.24791666666666667</v>
      </c>
      <c r="N113" s="4">
        <v>0.16319444444444445</v>
      </c>
      <c r="O113">
        <v>118</v>
      </c>
      <c r="P113">
        <v>125</v>
      </c>
      <c r="Q113">
        <v>1.05</v>
      </c>
      <c r="R113">
        <v>0</v>
      </c>
      <c r="S113">
        <v>0</v>
      </c>
      <c r="T113">
        <v>0</v>
      </c>
      <c r="U113">
        <v>0</v>
      </c>
      <c r="V113">
        <v>0</v>
      </c>
      <c r="W113" t="s">
        <v>39</v>
      </c>
      <c r="X113" t="s">
        <v>39</v>
      </c>
      <c r="Y113" s="3">
        <v>2.4812499999999997</v>
      </c>
      <c r="Z113" s="4">
        <v>0</v>
      </c>
      <c r="AA113">
        <v>0</v>
      </c>
      <c r="AB113" s="4">
        <v>0</v>
      </c>
      <c r="AC113" t="s">
        <v>40</v>
      </c>
      <c r="AD113" t="s">
        <v>179</v>
      </c>
      <c r="AE113">
        <v>11</v>
      </c>
      <c r="AF113">
        <v>0</v>
      </c>
      <c r="AG113" s="2">
        <v>4.1145833333333333E-2</v>
      </c>
      <c r="AH113" s="2">
        <v>4.1354166666666664E-2</v>
      </c>
      <c r="AI113">
        <v>20</v>
      </c>
      <c r="AJ113">
        <v>59</v>
      </c>
    </row>
    <row r="114" spans="1:36" x14ac:dyDescent="0.25">
      <c r="A114" t="s">
        <v>45</v>
      </c>
      <c r="B114" s="1">
        <v>44110.280798611115</v>
      </c>
      <c r="C114" t="s">
        <v>37</v>
      </c>
      <c r="D114" t="s">
        <v>49</v>
      </c>
      <c r="E114">
        <v>7.62</v>
      </c>
      <c r="F114">
        <v>561</v>
      </c>
      <c r="G114" s="2">
        <v>3.1261574074074074E-2</v>
      </c>
      <c r="H114" t="s">
        <v>39</v>
      </c>
      <c r="I114" t="s">
        <v>39</v>
      </c>
      <c r="J114" t="s">
        <v>39</v>
      </c>
      <c r="K114">
        <v>163</v>
      </c>
      <c r="L114">
        <v>171</v>
      </c>
      <c r="M114" s="4">
        <v>0.24652777777777779</v>
      </c>
      <c r="N114" s="4">
        <v>0.17222222222222225</v>
      </c>
      <c r="O114">
        <v>48</v>
      </c>
      <c r="P114">
        <v>62</v>
      </c>
      <c r="Q114">
        <v>1.04</v>
      </c>
      <c r="R114">
        <v>0</v>
      </c>
      <c r="S114">
        <v>0</v>
      </c>
      <c r="T114">
        <v>0</v>
      </c>
      <c r="U114">
        <v>0</v>
      </c>
      <c r="V114">
        <v>0</v>
      </c>
      <c r="W114" t="s">
        <v>39</v>
      </c>
      <c r="X114" t="s">
        <v>39</v>
      </c>
      <c r="Y114" s="3">
        <v>1.8756944444444443</v>
      </c>
      <c r="Z114" s="4">
        <v>0</v>
      </c>
      <c r="AA114">
        <v>0</v>
      </c>
      <c r="AB114" s="4">
        <v>0</v>
      </c>
      <c r="AC114" t="s">
        <v>40</v>
      </c>
      <c r="AD114" t="s">
        <v>180</v>
      </c>
      <c r="AE114">
        <v>8</v>
      </c>
      <c r="AF114">
        <v>0</v>
      </c>
      <c r="AG114" s="2">
        <v>3.1168981481481482E-2</v>
      </c>
      <c r="AH114" s="2">
        <v>3.1261574074074074E-2</v>
      </c>
      <c r="AI114">
        <v>12</v>
      </c>
      <c r="AJ114">
        <v>56</v>
      </c>
    </row>
    <row r="115" spans="1:36" x14ac:dyDescent="0.25">
      <c r="A115" t="s">
        <v>45</v>
      </c>
      <c r="B115" s="1">
        <v>44108.384293981479</v>
      </c>
      <c r="C115" t="s">
        <v>37</v>
      </c>
      <c r="D115" t="s">
        <v>49</v>
      </c>
      <c r="E115">
        <v>10.01</v>
      </c>
      <c r="F115">
        <v>730</v>
      </c>
      <c r="G115" s="2">
        <v>4.0034722222222222E-2</v>
      </c>
      <c r="H115" t="s">
        <v>39</v>
      </c>
      <c r="I115" t="s">
        <v>39</v>
      </c>
      <c r="J115" t="s">
        <v>39</v>
      </c>
      <c r="K115">
        <v>164</v>
      </c>
      <c r="L115">
        <v>173</v>
      </c>
      <c r="M115" s="4">
        <v>0.24027777777777778</v>
      </c>
      <c r="N115" s="4">
        <v>0.20972222222222223</v>
      </c>
      <c r="O115">
        <v>57</v>
      </c>
      <c r="P115">
        <v>59</v>
      </c>
      <c r="Q115">
        <v>1.06</v>
      </c>
      <c r="R115">
        <v>0</v>
      </c>
      <c r="S115">
        <v>0</v>
      </c>
      <c r="T115">
        <v>0</v>
      </c>
      <c r="U115">
        <v>0</v>
      </c>
      <c r="V115">
        <v>0</v>
      </c>
      <c r="W115" t="s">
        <v>39</v>
      </c>
      <c r="X115" t="s">
        <v>39</v>
      </c>
      <c r="Y115" s="3">
        <v>2.4020833333333331</v>
      </c>
      <c r="Z115" s="4">
        <v>0</v>
      </c>
      <c r="AA115">
        <v>0</v>
      </c>
      <c r="AB115" s="4">
        <v>0</v>
      </c>
      <c r="AC115" t="s">
        <v>40</v>
      </c>
      <c r="AD115" t="s">
        <v>181</v>
      </c>
      <c r="AE115">
        <v>11</v>
      </c>
      <c r="AF115">
        <v>0</v>
      </c>
      <c r="AG115" s="2">
        <v>4.0011574074074074E-2</v>
      </c>
      <c r="AH115" s="2">
        <v>4.0034722222222222E-2</v>
      </c>
      <c r="AI115">
        <v>12</v>
      </c>
      <c r="AJ115">
        <v>56</v>
      </c>
    </row>
    <row r="116" spans="1:36" x14ac:dyDescent="0.25">
      <c r="A116" t="s">
        <v>45</v>
      </c>
      <c r="B116" s="1">
        <v>44105.2812037037</v>
      </c>
      <c r="C116" t="s">
        <v>37</v>
      </c>
      <c r="D116" t="s">
        <v>113</v>
      </c>
      <c r="E116">
        <v>6.01</v>
      </c>
      <c r="F116">
        <v>444</v>
      </c>
      <c r="G116" s="2">
        <v>2.5937500000000002E-2</v>
      </c>
      <c r="H116" t="s">
        <v>39</v>
      </c>
      <c r="I116" t="s">
        <v>39</v>
      </c>
      <c r="J116" t="s">
        <v>39</v>
      </c>
      <c r="K116">
        <v>162</v>
      </c>
      <c r="L116">
        <v>170</v>
      </c>
      <c r="M116" s="4">
        <v>0.2590277777777778</v>
      </c>
      <c r="N116" s="4">
        <v>0.21319444444444444</v>
      </c>
      <c r="O116">
        <v>6</v>
      </c>
      <c r="P116">
        <v>22</v>
      </c>
      <c r="Q116">
        <v>0.99</v>
      </c>
      <c r="R116">
        <v>0</v>
      </c>
      <c r="S116">
        <v>0</v>
      </c>
      <c r="T116">
        <v>0</v>
      </c>
      <c r="U116">
        <v>0</v>
      </c>
      <c r="V116">
        <v>0</v>
      </c>
      <c r="W116" t="s">
        <v>39</v>
      </c>
      <c r="X116" t="s">
        <v>39</v>
      </c>
      <c r="Y116" s="3">
        <v>1.5562500000000001</v>
      </c>
      <c r="Z116" s="4">
        <v>0</v>
      </c>
      <c r="AA116">
        <v>0</v>
      </c>
      <c r="AB116" s="4">
        <v>0</v>
      </c>
      <c r="AC116" t="s">
        <v>40</v>
      </c>
      <c r="AD116" t="s">
        <v>182</v>
      </c>
      <c r="AE116">
        <v>4</v>
      </c>
      <c r="AF116">
        <v>0</v>
      </c>
      <c r="AG116" s="2">
        <v>2.5914351851851855E-2</v>
      </c>
      <c r="AH116" s="2">
        <v>2.5937500000000002E-2</v>
      </c>
      <c r="AI116">
        <v>12</v>
      </c>
      <c r="AJ116">
        <v>29</v>
      </c>
    </row>
    <row r="117" spans="1:36" x14ac:dyDescent="0.25">
      <c r="A117" t="s">
        <v>45</v>
      </c>
      <c r="B117" s="1">
        <v>44103.278090277781</v>
      </c>
      <c r="C117" t="s">
        <v>37</v>
      </c>
      <c r="D117" t="s">
        <v>103</v>
      </c>
      <c r="E117">
        <v>9.01</v>
      </c>
      <c r="F117">
        <v>665</v>
      </c>
      <c r="G117" s="2">
        <v>3.8460648148148147E-2</v>
      </c>
      <c r="H117" t="s">
        <v>39</v>
      </c>
      <c r="I117" t="s">
        <v>39</v>
      </c>
      <c r="J117" t="s">
        <v>39</v>
      </c>
      <c r="K117">
        <v>162</v>
      </c>
      <c r="L117">
        <v>171</v>
      </c>
      <c r="M117" s="4">
        <v>0.25625000000000003</v>
      </c>
      <c r="N117" s="4">
        <v>0.19652777777777777</v>
      </c>
      <c r="O117">
        <v>10</v>
      </c>
      <c r="P117">
        <v>17</v>
      </c>
      <c r="Q117">
        <v>1</v>
      </c>
      <c r="R117">
        <v>0</v>
      </c>
      <c r="S117">
        <v>0</v>
      </c>
      <c r="T117">
        <v>0</v>
      </c>
      <c r="U117">
        <v>0</v>
      </c>
      <c r="V117">
        <v>0</v>
      </c>
      <c r="W117" t="s">
        <v>39</v>
      </c>
      <c r="X117" t="s">
        <v>39</v>
      </c>
      <c r="Y117" s="3">
        <v>2.307638888888889</v>
      </c>
      <c r="Z117" s="4">
        <v>0</v>
      </c>
      <c r="AA117">
        <v>0</v>
      </c>
      <c r="AB117" s="4">
        <v>0</v>
      </c>
      <c r="AC117" t="s">
        <v>40</v>
      </c>
      <c r="AD117" t="s">
        <v>183</v>
      </c>
      <c r="AE117">
        <v>4</v>
      </c>
      <c r="AF117">
        <v>0</v>
      </c>
      <c r="AG117" s="2">
        <v>3.8460648148148147E-2</v>
      </c>
      <c r="AH117" s="2">
        <v>3.8460648148148147E-2</v>
      </c>
      <c r="AI117">
        <v>12</v>
      </c>
      <c r="AJ117">
        <v>29</v>
      </c>
    </row>
    <row r="118" spans="1:36" x14ac:dyDescent="0.25">
      <c r="A118" t="s">
        <v>45</v>
      </c>
      <c r="B118" s="1">
        <v>44101.328460648147</v>
      </c>
      <c r="C118" t="s">
        <v>37</v>
      </c>
      <c r="D118" t="s">
        <v>184</v>
      </c>
      <c r="E118">
        <v>7.87</v>
      </c>
      <c r="F118">
        <v>577</v>
      </c>
      <c r="G118" s="2">
        <v>3.4849537037037033E-2</v>
      </c>
      <c r="H118" t="s">
        <v>39</v>
      </c>
      <c r="I118" t="s">
        <v>39</v>
      </c>
      <c r="J118" t="s">
        <v>39</v>
      </c>
      <c r="K118">
        <v>161</v>
      </c>
      <c r="L118">
        <v>169</v>
      </c>
      <c r="M118" s="4">
        <v>0.26597222222222222</v>
      </c>
      <c r="N118" s="4">
        <v>0.17013888888888887</v>
      </c>
      <c r="O118">
        <v>7</v>
      </c>
      <c r="P118">
        <v>21</v>
      </c>
      <c r="Q118">
        <v>0.97</v>
      </c>
      <c r="R118">
        <v>0</v>
      </c>
      <c r="S118">
        <v>0</v>
      </c>
      <c r="T118">
        <v>0</v>
      </c>
      <c r="U118">
        <v>0</v>
      </c>
      <c r="V118">
        <v>0</v>
      </c>
      <c r="W118" t="s">
        <v>39</v>
      </c>
      <c r="X118" t="s">
        <v>39</v>
      </c>
      <c r="Y118" s="3">
        <v>2.0909722222222222</v>
      </c>
      <c r="Z118" s="4">
        <v>0</v>
      </c>
      <c r="AA118">
        <v>0</v>
      </c>
      <c r="AB118" s="4">
        <v>0</v>
      </c>
      <c r="AC118" t="s">
        <v>40</v>
      </c>
      <c r="AD118" t="s">
        <v>185</v>
      </c>
      <c r="AE118">
        <v>22</v>
      </c>
      <c r="AF118">
        <v>0</v>
      </c>
      <c r="AG118" s="2">
        <v>3.4837962962962959E-2</v>
      </c>
      <c r="AH118" s="2">
        <v>3.4849537037037033E-2</v>
      </c>
      <c r="AI118">
        <v>12</v>
      </c>
      <c r="AJ118">
        <v>29</v>
      </c>
    </row>
    <row r="119" spans="1:36" x14ac:dyDescent="0.25">
      <c r="A119" t="s">
        <v>45</v>
      </c>
      <c r="B119" s="1">
        <v>44098.298206018517</v>
      </c>
      <c r="C119" t="s">
        <v>37</v>
      </c>
      <c r="D119" t="s">
        <v>49</v>
      </c>
      <c r="E119">
        <v>8.0299999999999994</v>
      </c>
      <c r="F119">
        <v>579</v>
      </c>
      <c r="G119" s="2">
        <v>3.3275462962962958E-2</v>
      </c>
      <c r="H119" t="s">
        <v>39</v>
      </c>
      <c r="I119" t="s">
        <v>39</v>
      </c>
      <c r="J119" t="s">
        <v>39</v>
      </c>
      <c r="K119">
        <v>160</v>
      </c>
      <c r="L119">
        <v>173</v>
      </c>
      <c r="M119" s="4">
        <v>0.24861111111111112</v>
      </c>
      <c r="N119" s="4">
        <v>0.18402777777777779</v>
      </c>
      <c r="O119">
        <v>82</v>
      </c>
      <c r="P119">
        <v>83</v>
      </c>
      <c r="Q119">
        <v>1.05</v>
      </c>
      <c r="R119">
        <v>0</v>
      </c>
      <c r="S119">
        <v>0</v>
      </c>
      <c r="T119">
        <v>0</v>
      </c>
      <c r="U119">
        <v>0</v>
      </c>
      <c r="V119">
        <v>0</v>
      </c>
      <c r="W119" t="s">
        <v>39</v>
      </c>
      <c r="X119" t="s">
        <v>39</v>
      </c>
      <c r="Y119" s="3">
        <v>1.9965277777777777</v>
      </c>
      <c r="Z119" s="4">
        <v>0</v>
      </c>
      <c r="AA119">
        <v>0</v>
      </c>
      <c r="AB119" s="4">
        <v>0</v>
      </c>
      <c r="AC119" t="s">
        <v>40</v>
      </c>
      <c r="AD119" t="s">
        <v>186</v>
      </c>
      <c r="AE119">
        <v>9</v>
      </c>
      <c r="AF119">
        <v>0</v>
      </c>
      <c r="AG119" s="2">
        <v>3.3263888888888891E-2</v>
      </c>
      <c r="AH119" s="2">
        <v>3.3275462962962958E-2</v>
      </c>
      <c r="AI119">
        <v>22</v>
      </c>
      <c r="AJ119">
        <v>61</v>
      </c>
    </row>
    <row r="120" spans="1:36" x14ac:dyDescent="0.25">
      <c r="A120" t="s">
        <v>45</v>
      </c>
      <c r="B120" s="1">
        <v>44096.300219907411</v>
      </c>
      <c r="C120" t="s">
        <v>37</v>
      </c>
      <c r="D120" t="s">
        <v>49</v>
      </c>
      <c r="E120">
        <v>5.3</v>
      </c>
      <c r="F120">
        <v>374</v>
      </c>
      <c r="G120" s="2">
        <v>2.4004629629629629E-2</v>
      </c>
      <c r="H120" t="s">
        <v>39</v>
      </c>
      <c r="I120" t="s">
        <v>39</v>
      </c>
      <c r="J120" t="s">
        <v>39</v>
      </c>
      <c r="K120">
        <v>121</v>
      </c>
      <c r="L120">
        <v>173</v>
      </c>
      <c r="M120" s="4">
        <v>0.2722222222222222</v>
      </c>
      <c r="N120" s="4">
        <v>1.1805555555555555E-2</v>
      </c>
      <c r="O120">
        <v>9</v>
      </c>
      <c r="P120">
        <v>12</v>
      </c>
      <c r="Q120">
        <v>1.24</v>
      </c>
      <c r="R120">
        <v>0</v>
      </c>
      <c r="S120">
        <v>0</v>
      </c>
      <c r="T120">
        <v>0</v>
      </c>
      <c r="U120">
        <v>0</v>
      </c>
      <c r="V120">
        <v>0</v>
      </c>
      <c r="W120" t="s">
        <v>39</v>
      </c>
      <c r="X120" t="s">
        <v>39</v>
      </c>
      <c r="Y120" s="3">
        <v>1.440277777777778</v>
      </c>
      <c r="Z120" s="4">
        <v>0</v>
      </c>
      <c r="AA120">
        <v>0</v>
      </c>
      <c r="AB120" s="4">
        <v>0</v>
      </c>
      <c r="AC120" t="s">
        <v>40</v>
      </c>
      <c r="AD120" t="s">
        <v>187</v>
      </c>
      <c r="AE120">
        <v>22</v>
      </c>
      <c r="AF120">
        <v>0</v>
      </c>
      <c r="AG120" s="2">
        <v>1.8541666666666668E-2</v>
      </c>
      <c r="AH120" s="2">
        <v>2.4027777777777776E-2</v>
      </c>
      <c r="AI120">
        <v>12</v>
      </c>
      <c r="AJ120">
        <v>23</v>
      </c>
    </row>
    <row r="121" spans="1:36" x14ac:dyDescent="0.25">
      <c r="A121" t="s">
        <v>45</v>
      </c>
      <c r="B121" s="1">
        <v>44096.295381944445</v>
      </c>
      <c r="C121" t="s">
        <v>37</v>
      </c>
      <c r="D121" t="s">
        <v>49</v>
      </c>
      <c r="E121">
        <v>1.06</v>
      </c>
      <c r="F121">
        <v>76</v>
      </c>
      <c r="G121" s="6">
        <v>4.5914351851851854E-3</v>
      </c>
      <c r="H121" t="s">
        <v>39</v>
      </c>
      <c r="I121" t="s">
        <v>39</v>
      </c>
      <c r="J121" t="s">
        <v>39</v>
      </c>
      <c r="K121">
        <v>155</v>
      </c>
      <c r="L121">
        <v>162</v>
      </c>
      <c r="M121" s="4">
        <v>0.26111111111111113</v>
      </c>
      <c r="N121" s="4">
        <v>0.23750000000000002</v>
      </c>
      <c r="O121" t="s">
        <v>39</v>
      </c>
      <c r="P121">
        <v>8</v>
      </c>
      <c r="Q121">
        <v>1.03</v>
      </c>
      <c r="R121">
        <v>0</v>
      </c>
      <c r="S121">
        <v>0</v>
      </c>
      <c r="T121">
        <v>0</v>
      </c>
      <c r="U121">
        <v>0</v>
      </c>
      <c r="V121">
        <v>0</v>
      </c>
      <c r="W121" t="s">
        <v>39</v>
      </c>
      <c r="X121" t="s">
        <v>39</v>
      </c>
      <c r="Y121" s="6">
        <v>4.5914351851851854E-3</v>
      </c>
      <c r="Z121" s="4">
        <v>0</v>
      </c>
      <c r="AA121">
        <v>0</v>
      </c>
      <c r="AB121" s="4">
        <v>0</v>
      </c>
      <c r="AC121" t="s">
        <v>40</v>
      </c>
      <c r="AD121" t="s">
        <v>188</v>
      </c>
      <c r="AE121">
        <v>3</v>
      </c>
      <c r="AF121">
        <v>0</v>
      </c>
      <c r="AG121" s="6">
        <v>4.5914351851851854E-3</v>
      </c>
      <c r="AH121" s="6">
        <v>4.6064814814814814E-3</v>
      </c>
      <c r="AI121">
        <v>18</v>
      </c>
      <c r="AJ121">
        <v>29</v>
      </c>
    </row>
    <row r="122" spans="1:36" x14ac:dyDescent="0.25">
      <c r="A122" t="s">
        <v>45</v>
      </c>
      <c r="B122" s="1">
        <v>44094.348182870373</v>
      </c>
      <c r="C122" t="s">
        <v>37</v>
      </c>
      <c r="D122" t="s">
        <v>49</v>
      </c>
      <c r="E122">
        <v>8.01</v>
      </c>
      <c r="F122">
        <v>586</v>
      </c>
      <c r="G122" s="2">
        <v>3.2361111111111111E-2</v>
      </c>
      <c r="H122" t="s">
        <v>39</v>
      </c>
      <c r="I122" t="s">
        <v>39</v>
      </c>
      <c r="J122" t="s">
        <v>39</v>
      </c>
      <c r="K122">
        <v>160</v>
      </c>
      <c r="L122">
        <v>169</v>
      </c>
      <c r="M122" s="4">
        <v>0.24236111111111111</v>
      </c>
      <c r="N122" s="4">
        <v>0.14583333333333334</v>
      </c>
      <c r="O122">
        <v>48</v>
      </c>
      <c r="P122">
        <v>48</v>
      </c>
      <c r="Q122">
        <v>1.07</v>
      </c>
      <c r="R122">
        <v>0</v>
      </c>
      <c r="S122">
        <v>0</v>
      </c>
      <c r="T122">
        <v>0</v>
      </c>
      <c r="U122">
        <v>0</v>
      </c>
      <c r="V122">
        <v>0</v>
      </c>
      <c r="W122" t="s">
        <v>39</v>
      </c>
      <c r="X122" t="s">
        <v>39</v>
      </c>
      <c r="Y122" s="3">
        <v>1.9416666666666667</v>
      </c>
      <c r="Z122" s="4">
        <v>0</v>
      </c>
      <c r="AA122">
        <v>0</v>
      </c>
      <c r="AB122" s="4">
        <v>0</v>
      </c>
      <c r="AC122" t="s">
        <v>40</v>
      </c>
      <c r="AD122" t="s">
        <v>189</v>
      </c>
      <c r="AE122">
        <v>9</v>
      </c>
      <c r="AF122">
        <v>0</v>
      </c>
      <c r="AG122" s="2">
        <v>3.2337962962962964E-2</v>
      </c>
      <c r="AH122" s="2">
        <v>3.2361111111111111E-2</v>
      </c>
      <c r="AI122">
        <v>12</v>
      </c>
      <c r="AJ122">
        <v>56</v>
      </c>
    </row>
    <row r="123" spans="1:36" x14ac:dyDescent="0.25">
      <c r="A123" t="s">
        <v>45</v>
      </c>
      <c r="B123" s="1">
        <v>44091.298032407409</v>
      </c>
      <c r="C123" t="s">
        <v>37</v>
      </c>
      <c r="D123" t="s">
        <v>45</v>
      </c>
      <c r="E123">
        <v>6.53</v>
      </c>
      <c r="F123">
        <v>462</v>
      </c>
      <c r="G123" s="2">
        <v>2.8437500000000001E-2</v>
      </c>
      <c r="H123" t="s">
        <v>39</v>
      </c>
      <c r="I123" t="s">
        <v>39</v>
      </c>
      <c r="J123" t="s">
        <v>39</v>
      </c>
      <c r="K123">
        <v>142</v>
      </c>
      <c r="L123">
        <v>168</v>
      </c>
      <c r="M123" s="4">
        <v>0.26111111111111113</v>
      </c>
      <c r="N123" s="4">
        <v>0.20555555555555557</v>
      </c>
      <c r="O123" t="s">
        <v>39</v>
      </c>
      <c r="P123" t="s">
        <v>39</v>
      </c>
      <c r="Q123">
        <v>1.1200000000000001</v>
      </c>
      <c r="R123">
        <v>0</v>
      </c>
      <c r="S123">
        <v>0</v>
      </c>
      <c r="T123">
        <v>0</v>
      </c>
      <c r="U123">
        <v>0</v>
      </c>
      <c r="V123">
        <v>0</v>
      </c>
      <c r="W123" t="s">
        <v>39</v>
      </c>
      <c r="X123" t="s">
        <v>39</v>
      </c>
      <c r="Y123" s="3">
        <v>1.70625</v>
      </c>
      <c r="Z123" s="4">
        <v>0</v>
      </c>
      <c r="AA123">
        <v>0</v>
      </c>
      <c r="AB123" s="4">
        <v>0</v>
      </c>
      <c r="AC123" t="s">
        <v>40</v>
      </c>
      <c r="AD123" t="s">
        <v>190</v>
      </c>
      <c r="AE123">
        <v>18</v>
      </c>
      <c r="AF123">
        <v>0</v>
      </c>
      <c r="AG123" s="2">
        <v>2.7581018518518519E-2</v>
      </c>
      <c r="AH123" s="2">
        <v>2.8472222222222222E-2</v>
      </c>
      <c r="AI123" t="s">
        <v>39</v>
      </c>
      <c r="AJ123" t="s">
        <v>39</v>
      </c>
    </row>
    <row r="124" spans="1:36" x14ac:dyDescent="0.25">
      <c r="A124" t="s">
        <v>45</v>
      </c>
      <c r="B124" s="1">
        <v>44089.295358796298</v>
      </c>
      <c r="C124" t="s">
        <v>37</v>
      </c>
      <c r="D124" t="s">
        <v>49</v>
      </c>
      <c r="E124">
        <v>5.0999999999999996</v>
      </c>
      <c r="F124">
        <v>372</v>
      </c>
      <c r="G124" s="2">
        <v>2.0868055555555556E-2</v>
      </c>
      <c r="H124" t="s">
        <v>39</v>
      </c>
      <c r="I124" t="s">
        <v>39</v>
      </c>
      <c r="J124" t="s">
        <v>39</v>
      </c>
      <c r="K124">
        <v>157</v>
      </c>
      <c r="L124">
        <v>164</v>
      </c>
      <c r="M124" s="4">
        <v>0.24583333333333335</v>
      </c>
      <c r="N124" s="4">
        <v>0.23055555555555554</v>
      </c>
      <c r="O124">
        <v>18</v>
      </c>
      <c r="P124">
        <v>21</v>
      </c>
      <c r="Q124">
        <v>1.08</v>
      </c>
      <c r="R124">
        <v>0</v>
      </c>
      <c r="S124">
        <v>0</v>
      </c>
      <c r="T124">
        <v>0</v>
      </c>
      <c r="U124">
        <v>0</v>
      </c>
      <c r="V124">
        <v>0</v>
      </c>
      <c r="W124" t="s">
        <v>39</v>
      </c>
      <c r="X124" t="s">
        <v>39</v>
      </c>
      <c r="Y124" s="3">
        <v>1.2520833333333334</v>
      </c>
      <c r="Z124" s="4">
        <v>0</v>
      </c>
      <c r="AA124">
        <v>0</v>
      </c>
      <c r="AB124" s="4">
        <v>0</v>
      </c>
      <c r="AC124" t="s">
        <v>40</v>
      </c>
      <c r="AD124" t="s">
        <v>191</v>
      </c>
      <c r="AE124">
        <v>6</v>
      </c>
      <c r="AF124">
        <v>0</v>
      </c>
      <c r="AG124" s="2">
        <v>2.0856481481481479E-2</v>
      </c>
      <c r="AH124" s="2">
        <v>2.0868055555555556E-2</v>
      </c>
      <c r="AI124">
        <v>12</v>
      </c>
      <c r="AJ124">
        <v>33</v>
      </c>
    </row>
    <row r="125" spans="1:36" x14ac:dyDescent="0.25">
      <c r="A125" t="s">
        <v>45</v>
      </c>
      <c r="B125" s="1">
        <v>44084.297881944447</v>
      </c>
      <c r="C125" t="s">
        <v>37</v>
      </c>
      <c r="D125" t="s">
        <v>49</v>
      </c>
      <c r="E125">
        <v>7.01</v>
      </c>
      <c r="F125">
        <v>504</v>
      </c>
      <c r="G125" s="2">
        <v>2.8692129629629633E-2</v>
      </c>
      <c r="H125" t="s">
        <v>39</v>
      </c>
      <c r="I125" t="s">
        <v>39</v>
      </c>
      <c r="J125" t="s">
        <v>39</v>
      </c>
      <c r="K125">
        <v>158</v>
      </c>
      <c r="L125">
        <v>169</v>
      </c>
      <c r="M125" s="4">
        <v>0.24583333333333335</v>
      </c>
      <c r="N125" s="4">
        <v>0.20902777777777778</v>
      </c>
      <c r="O125">
        <v>29</v>
      </c>
      <c r="P125">
        <v>34</v>
      </c>
      <c r="Q125">
        <v>1.07</v>
      </c>
      <c r="R125">
        <v>0</v>
      </c>
      <c r="S125">
        <v>0</v>
      </c>
      <c r="T125">
        <v>0</v>
      </c>
      <c r="U125">
        <v>0</v>
      </c>
      <c r="V125">
        <v>0</v>
      </c>
      <c r="W125" t="s">
        <v>39</v>
      </c>
      <c r="X125" t="s">
        <v>39</v>
      </c>
      <c r="Y125" s="3">
        <v>1.721527777777778</v>
      </c>
      <c r="Z125" s="4">
        <v>0</v>
      </c>
      <c r="AA125">
        <v>0</v>
      </c>
      <c r="AB125" s="4">
        <v>0</v>
      </c>
      <c r="AC125" t="s">
        <v>40</v>
      </c>
      <c r="AD125" t="s">
        <v>98</v>
      </c>
      <c r="AE125">
        <v>8</v>
      </c>
      <c r="AF125">
        <v>0</v>
      </c>
      <c r="AG125" s="2">
        <v>2.8668981481481479E-2</v>
      </c>
      <c r="AH125" s="2">
        <v>2.8692129629629633E-2</v>
      </c>
      <c r="AI125">
        <v>12</v>
      </c>
      <c r="AJ125">
        <v>37</v>
      </c>
    </row>
    <row r="126" spans="1:36" x14ac:dyDescent="0.25">
      <c r="A126" t="s">
        <v>45</v>
      </c>
      <c r="B126" s="1">
        <v>44082.293715277781</v>
      </c>
      <c r="C126" t="s">
        <v>37</v>
      </c>
      <c r="D126" t="s">
        <v>192</v>
      </c>
      <c r="E126">
        <v>7.61</v>
      </c>
      <c r="F126">
        <v>528</v>
      </c>
      <c r="G126" s="2">
        <v>3.7245370370370366E-2</v>
      </c>
      <c r="H126" t="s">
        <v>39</v>
      </c>
      <c r="I126" t="s">
        <v>39</v>
      </c>
      <c r="J126" t="s">
        <v>39</v>
      </c>
      <c r="K126">
        <v>135</v>
      </c>
      <c r="L126">
        <v>236</v>
      </c>
      <c r="M126" s="4">
        <v>0.29375000000000001</v>
      </c>
      <c r="N126" s="4">
        <v>0.19305555555555554</v>
      </c>
      <c r="O126" t="s">
        <v>39</v>
      </c>
      <c r="P126" t="s">
        <v>39</v>
      </c>
      <c r="Q126">
        <v>1.04</v>
      </c>
      <c r="R126">
        <v>0</v>
      </c>
      <c r="S126">
        <v>0</v>
      </c>
      <c r="T126">
        <v>0</v>
      </c>
      <c r="U126">
        <v>0</v>
      </c>
      <c r="V126">
        <v>0</v>
      </c>
      <c r="W126" t="s">
        <v>39</v>
      </c>
      <c r="X126" t="s">
        <v>39</v>
      </c>
      <c r="Y126" s="3">
        <v>2.2347222222222221</v>
      </c>
      <c r="Z126" s="4">
        <v>0</v>
      </c>
      <c r="AA126">
        <v>0</v>
      </c>
      <c r="AB126" s="4">
        <v>0</v>
      </c>
      <c r="AC126" t="s">
        <v>40</v>
      </c>
      <c r="AD126" t="s">
        <v>193</v>
      </c>
      <c r="AE126">
        <v>19</v>
      </c>
      <c r="AF126">
        <v>0</v>
      </c>
      <c r="AG126" s="2">
        <v>3.6608796296296299E-2</v>
      </c>
      <c r="AH126" s="2">
        <v>3.7442129629629624E-2</v>
      </c>
      <c r="AI126" t="s">
        <v>39</v>
      </c>
      <c r="AJ126" t="s">
        <v>39</v>
      </c>
    </row>
    <row r="127" spans="1:36" x14ac:dyDescent="0.25">
      <c r="A127" t="s">
        <v>45</v>
      </c>
      <c r="B127" s="1">
        <v>44080.358807870369</v>
      </c>
      <c r="C127" t="s">
        <v>37</v>
      </c>
      <c r="D127" t="s">
        <v>49</v>
      </c>
      <c r="E127">
        <v>7.01</v>
      </c>
      <c r="F127">
        <v>517</v>
      </c>
      <c r="G127" s="2">
        <v>2.8310185185185185E-2</v>
      </c>
      <c r="H127" t="s">
        <v>39</v>
      </c>
      <c r="I127" t="s">
        <v>39</v>
      </c>
      <c r="J127" t="s">
        <v>39</v>
      </c>
      <c r="K127">
        <v>159</v>
      </c>
      <c r="L127">
        <v>170</v>
      </c>
      <c r="M127" s="4">
        <v>0.24236111111111111</v>
      </c>
      <c r="N127" s="4">
        <v>4.8611111111111112E-2</v>
      </c>
      <c r="O127">
        <v>68</v>
      </c>
      <c r="P127">
        <v>71</v>
      </c>
      <c r="Q127">
        <v>1.08</v>
      </c>
      <c r="R127">
        <v>0</v>
      </c>
      <c r="S127">
        <v>0</v>
      </c>
      <c r="T127">
        <v>0</v>
      </c>
      <c r="U127">
        <v>0</v>
      </c>
      <c r="V127">
        <v>0</v>
      </c>
      <c r="W127" t="s">
        <v>39</v>
      </c>
      <c r="X127" t="s">
        <v>39</v>
      </c>
      <c r="Y127" s="3">
        <v>1.6986111111111111</v>
      </c>
      <c r="Z127" s="4">
        <v>0</v>
      </c>
      <c r="AA127">
        <v>0</v>
      </c>
      <c r="AB127" s="4">
        <v>0</v>
      </c>
      <c r="AC127" t="s">
        <v>40</v>
      </c>
      <c r="AD127" t="s">
        <v>194</v>
      </c>
      <c r="AE127">
        <v>8</v>
      </c>
      <c r="AF127">
        <v>0</v>
      </c>
      <c r="AG127" s="2">
        <v>2.8229166666666666E-2</v>
      </c>
      <c r="AH127" s="2">
        <v>2.8310185185185185E-2</v>
      </c>
      <c r="AI127">
        <v>-3</v>
      </c>
      <c r="AJ127">
        <v>59</v>
      </c>
    </row>
    <row r="128" spans="1:36" x14ac:dyDescent="0.25">
      <c r="A128" t="s">
        <v>45</v>
      </c>
      <c r="B128" s="1">
        <v>44077.298437500001</v>
      </c>
      <c r="C128" t="s">
        <v>37</v>
      </c>
      <c r="D128" t="s">
        <v>195</v>
      </c>
      <c r="E128">
        <v>6.01</v>
      </c>
      <c r="F128">
        <v>435</v>
      </c>
      <c r="G128" s="2">
        <v>2.3796296296296298E-2</v>
      </c>
      <c r="H128" t="s">
        <v>39</v>
      </c>
      <c r="I128" t="s">
        <v>39</v>
      </c>
      <c r="J128" t="s">
        <v>39</v>
      </c>
      <c r="K128">
        <v>157</v>
      </c>
      <c r="L128">
        <v>169</v>
      </c>
      <c r="M128" s="4">
        <v>0.23750000000000002</v>
      </c>
      <c r="N128" s="4">
        <v>0.1423611111111111</v>
      </c>
      <c r="O128">
        <v>8</v>
      </c>
      <c r="P128">
        <v>14</v>
      </c>
      <c r="Q128">
        <v>1.1100000000000001</v>
      </c>
      <c r="R128">
        <v>0</v>
      </c>
      <c r="S128">
        <v>0</v>
      </c>
      <c r="T128">
        <v>0</v>
      </c>
      <c r="U128">
        <v>0</v>
      </c>
      <c r="V128">
        <v>0</v>
      </c>
      <c r="W128" t="s">
        <v>39</v>
      </c>
      <c r="X128" t="s">
        <v>39</v>
      </c>
      <c r="Y128" s="3">
        <v>1.4277777777777778</v>
      </c>
      <c r="Z128" s="4">
        <v>0</v>
      </c>
      <c r="AA128">
        <v>0</v>
      </c>
      <c r="AB128" s="4">
        <v>0</v>
      </c>
      <c r="AC128" t="s">
        <v>40</v>
      </c>
      <c r="AD128" t="s">
        <v>196</v>
      </c>
      <c r="AE128">
        <v>7</v>
      </c>
      <c r="AF128">
        <v>0</v>
      </c>
      <c r="AG128" s="2">
        <v>2.3784722222222221E-2</v>
      </c>
      <c r="AH128" s="2">
        <v>2.3796296296296298E-2</v>
      </c>
      <c r="AI128">
        <v>12</v>
      </c>
      <c r="AJ128">
        <v>29</v>
      </c>
    </row>
    <row r="129" spans="1:36" x14ac:dyDescent="0.25">
      <c r="A129" t="s">
        <v>45</v>
      </c>
      <c r="B129" s="1">
        <v>44075.300266203703</v>
      </c>
      <c r="C129" t="s">
        <v>37</v>
      </c>
      <c r="D129" t="s">
        <v>197</v>
      </c>
      <c r="E129">
        <v>5.87</v>
      </c>
      <c r="F129">
        <v>406</v>
      </c>
      <c r="G129" s="2">
        <v>2.90162037037037E-2</v>
      </c>
      <c r="H129" t="s">
        <v>39</v>
      </c>
      <c r="I129" t="s">
        <v>39</v>
      </c>
      <c r="J129" t="s">
        <v>39</v>
      </c>
      <c r="K129">
        <v>132</v>
      </c>
      <c r="L129">
        <v>160</v>
      </c>
      <c r="M129" s="4">
        <v>0.29652777777777778</v>
      </c>
      <c r="N129" s="4">
        <v>0.21319444444444444</v>
      </c>
      <c r="O129" t="s">
        <v>39</v>
      </c>
      <c r="P129" t="s">
        <v>39</v>
      </c>
      <c r="Q129">
        <v>1.04</v>
      </c>
      <c r="R129">
        <v>0</v>
      </c>
      <c r="S129">
        <v>0</v>
      </c>
      <c r="T129">
        <v>0</v>
      </c>
      <c r="U129">
        <v>0</v>
      </c>
      <c r="V129">
        <v>0</v>
      </c>
      <c r="W129" t="s">
        <v>39</v>
      </c>
      <c r="X129" t="s">
        <v>39</v>
      </c>
      <c r="Y129" s="3">
        <v>1.7409722222222221</v>
      </c>
      <c r="Z129" s="4">
        <v>0</v>
      </c>
      <c r="AA129">
        <v>0</v>
      </c>
      <c r="AB129" s="4">
        <v>0</v>
      </c>
      <c r="AC129" t="s">
        <v>40</v>
      </c>
      <c r="AD129" t="s">
        <v>198</v>
      </c>
      <c r="AE129">
        <v>10</v>
      </c>
      <c r="AF129">
        <v>0</v>
      </c>
      <c r="AG129" s="2">
        <v>2.855324074074074E-2</v>
      </c>
      <c r="AH129" s="2">
        <v>2.90162037037037E-2</v>
      </c>
      <c r="AI129" t="s">
        <v>39</v>
      </c>
      <c r="AJ129" t="s">
        <v>39</v>
      </c>
    </row>
    <row r="130" spans="1:36" x14ac:dyDescent="0.25">
      <c r="A130" t="s">
        <v>45</v>
      </c>
      <c r="B130" s="1">
        <v>44072.333298611113</v>
      </c>
      <c r="C130" t="s">
        <v>37</v>
      </c>
      <c r="D130" t="s">
        <v>49</v>
      </c>
      <c r="E130">
        <v>7</v>
      </c>
      <c r="F130">
        <v>511</v>
      </c>
      <c r="G130" s="2">
        <v>2.9861111111111113E-2</v>
      </c>
      <c r="H130" t="s">
        <v>39</v>
      </c>
      <c r="I130" t="s">
        <v>39</v>
      </c>
      <c r="J130" t="s">
        <v>39</v>
      </c>
      <c r="K130">
        <v>155</v>
      </c>
      <c r="L130">
        <v>169</v>
      </c>
      <c r="M130" s="4">
        <v>0.25555555555555559</v>
      </c>
      <c r="N130" s="4">
        <v>0.18541666666666667</v>
      </c>
      <c r="O130">
        <v>98</v>
      </c>
      <c r="P130">
        <v>82</v>
      </c>
      <c r="Q130">
        <v>1.05</v>
      </c>
      <c r="R130">
        <v>0</v>
      </c>
      <c r="S130">
        <v>0</v>
      </c>
      <c r="T130">
        <v>0</v>
      </c>
      <c r="U130">
        <v>0</v>
      </c>
      <c r="V130">
        <v>0</v>
      </c>
      <c r="W130" t="s">
        <v>39</v>
      </c>
      <c r="X130" t="s">
        <v>39</v>
      </c>
      <c r="Y130" s="3">
        <v>1.7916666666666667</v>
      </c>
      <c r="Z130" s="4">
        <v>0</v>
      </c>
      <c r="AA130">
        <v>0</v>
      </c>
      <c r="AB130" s="4">
        <v>0</v>
      </c>
      <c r="AC130" t="s">
        <v>40</v>
      </c>
      <c r="AD130" t="s">
        <v>199</v>
      </c>
      <c r="AE130">
        <v>8</v>
      </c>
      <c r="AF130">
        <v>0</v>
      </c>
      <c r="AG130" s="2">
        <v>2.9849537037037036E-2</v>
      </c>
      <c r="AH130" s="2">
        <v>2.9861111111111113E-2</v>
      </c>
      <c r="AI130">
        <v>22</v>
      </c>
      <c r="AJ130">
        <v>60</v>
      </c>
    </row>
    <row r="131" spans="1:36" x14ac:dyDescent="0.25">
      <c r="A131" t="s">
        <v>45</v>
      </c>
      <c r="B131" s="1">
        <v>44070.299201388887</v>
      </c>
      <c r="C131" t="s">
        <v>37</v>
      </c>
      <c r="D131" t="s">
        <v>200</v>
      </c>
      <c r="E131">
        <v>5.24</v>
      </c>
      <c r="F131">
        <v>375</v>
      </c>
      <c r="G131" s="2">
        <v>2.7303240740740743E-2</v>
      </c>
      <c r="H131" t="s">
        <v>39</v>
      </c>
      <c r="I131" t="s">
        <v>39</v>
      </c>
      <c r="J131" t="s">
        <v>39</v>
      </c>
      <c r="K131">
        <v>115</v>
      </c>
      <c r="L131">
        <v>176</v>
      </c>
      <c r="M131" s="4">
        <v>0.3125</v>
      </c>
      <c r="N131" s="4">
        <v>3.6111111111111115E-2</v>
      </c>
      <c r="O131">
        <v>9</v>
      </c>
      <c r="P131">
        <v>11</v>
      </c>
      <c r="Q131">
        <v>1.1200000000000001</v>
      </c>
      <c r="R131">
        <v>0</v>
      </c>
      <c r="S131">
        <v>0</v>
      </c>
      <c r="T131">
        <v>0</v>
      </c>
      <c r="U131">
        <v>0</v>
      </c>
      <c r="V131">
        <v>0</v>
      </c>
      <c r="W131" t="s">
        <v>39</v>
      </c>
      <c r="X131" t="s">
        <v>39</v>
      </c>
      <c r="Y131" s="3">
        <v>1.6381944444444445</v>
      </c>
      <c r="Z131" s="4">
        <v>0</v>
      </c>
      <c r="AA131">
        <v>0</v>
      </c>
      <c r="AB131" s="4">
        <v>0</v>
      </c>
      <c r="AC131" t="s">
        <v>40</v>
      </c>
      <c r="AD131" t="s">
        <v>114</v>
      </c>
      <c r="AE131">
        <v>15</v>
      </c>
      <c r="AF131">
        <v>0</v>
      </c>
      <c r="AG131" s="2">
        <v>1.9872685185185184E-2</v>
      </c>
      <c r="AH131" s="2">
        <v>2.7303240740740743E-2</v>
      </c>
      <c r="AI131">
        <v>12</v>
      </c>
      <c r="AJ131">
        <v>22</v>
      </c>
    </row>
    <row r="132" spans="1:36" x14ac:dyDescent="0.25">
      <c r="A132" t="s">
        <v>45</v>
      </c>
      <c r="B132" s="1">
        <v>44068.302615740744</v>
      </c>
      <c r="C132" t="s">
        <v>37</v>
      </c>
      <c r="D132" t="s">
        <v>49</v>
      </c>
      <c r="E132">
        <v>6.01</v>
      </c>
      <c r="F132">
        <v>439</v>
      </c>
      <c r="G132" s="2">
        <v>2.4583333333333332E-2</v>
      </c>
      <c r="H132" t="s">
        <v>39</v>
      </c>
      <c r="I132" t="s">
        <v>39</v>
      </c>
      <c r="J132" t="s">
        <v>39</v>
      </c>
      <c r="K132">
        <v>160</v>
      </c>
      <c r="L132">
        <v>167</v>
      </c>
      <c r="M132" s="4">
        <v>0.24513888888888888</v>
      </c>
      <c r="N132" s="4">
        <v>0.15902777777777777</v>
      </c>
      <c r="O132">
        <v>46</v>
      </c>
      <c r="P132">
        <v>49</v>
      </c>
      <c r="Q132">
        <v>1.06</v>
      </c>
      <c r="R132">
        <v>0</v>
      </c>
      <c r="S132">
        <v>0</v>
      </c>
      <c r="T132">
        <v>0</v>
      </c>
      <c r="U132">
        <v>0</v>
      </c>
      <c r="V132">
        <v>0</v>
      </c>
      <c r="W132" t="s">
        <v>39</v>
      </c>
      <c r="X132" t="s">
        <v>39</v>
      </c>
      <c r="Y132" s="3">
        <v>1.4749999999999999</v>
      </c>
      <c r="Z132" s="4">
        <v>0</v>
      </c>
      <c r="AA132">
        <v>0</v>
      </c>
      <c r="AB132" s="4">
        <v>0</v>
      </c>
      <c r="AC132" t="s">
        <v>40</v>
      </c>
      <c r="AD132" t="s">
        <v>201</v>
      </c>
      <c r="AE132">
        <v>7</v>
      </c>
      <c r="AF132">
        <v>0</v>
      </c>
      <c r="AG132" s="2">
        <v>2.4560185185185185E-2</v>
      </c>
      <c r="AH132" s="2">
        <v>2.4583333333333332E-2</v>
      </c>
      <c r="AI132">
        <v>21</v>
      </c>
      <c r="AJ132">
        <v>54</v>
      </c>
    </row>
    <row r="133" spans="1:36" x14ac:dyDescent="0.25">
      <c r="A133" t="s">
        <v>45</v>
      </c>
      <c r="B133" s="1">
        <v>44065.39806712963</v>
      </c>
      <c r="C133" t="s">
        <v>37</v>
      </c>
      <c r="D133" t="s">
        <v>103</v>
      </c>
      <c r="E133">
        <v>6.04</v>
      </c>
      <c r="F133">
        <v>446</v>
      </c>
      <c r="G133" s="2">
        <v>2.7280092592592592E-2</v>
      </c>
      <c r="H133">
        <v>177</v>
      </c>
      <c r="I133">
        <v>191</v>
      </c>
      <c r="J133">
        <v>4.9000000000000004</v>
      </c>
      <c r="K133">
        <v>153</v>
      </c>
      <c r="L133">
        <v>168</v>
      </c>
      <c r="M133" s="4">
        <v>0.27083333333333331</v>
      </c>
      <c r="N133" s="4">
        <v>0.19791666666666666</v>
      </c>
      <c r="O133">
        <v>96</v>
      </c>
      <c r="P133">
        <v>73</v>
      </c>
      <c r="Q133">
        <v>1</v>
      </c>
      <c r="R133">
        <v>0</v>
      </c>
      <c r="S133">
        <v>0</v>
      </c>
      <c r="T133">
        <v>0</v>
      </c>
      <c r="U133">
        <v>0</v>
      </c>
      <c r="V133">
        <v>0</v>
      </c>
      <c r="W133" t="s">
        <v>39</v>
      </c>
      <c r="X133" t="s">
        <v>39</v>
      </c>
      <c r="Y133" s="3">
        <v>1.6368055555555554</v>
      </c>
      <c r="Z133" s="4">
        <v>0</v>
      </c>
      <c r="AA133">
        <v>0</v>
      </c>
      <c r="AB133" s="4">
        <v>0</v>
      </c>
      <c r="AC133" t="s">
        <v>40</v>
      </c>
      <c r="AD133" t="s">
        <v>202</v>
      </c>
      <c r="AE133">
        <v>10</v>
      </c>
      <c r="AF133">
        <v>0</v>
      </c>
      <c r="AG133" s="2">
        <v>2.6886574074074077E-2</v>
      </c>
      <c r="AH133" s="2">
        <v>2.7280092592592592E-2</v>
      </c>
      <c r="AI133">
        <v>21</v>
      </c>
      <c r="AJ133">
        <v>59</v>
      </c>
    </row>
    <row r="134" spans="1:36" x14ac:dyDescent="0.25">
      <c r="A134" t="s">
        <v>45</v>
      </c>
      <c r="B134" s="1">
        <v>44063.297731481478</v>
      </c>
      <c r="C134" t="s">
        <v>37</v>
      </c>
      <c r="D134" t="s">
        <v>45</v>
      </c>
      <c r="E134">
        <v>5.01</v>
      </c>
      <c r="F134">
        <v>333</v>
      </c>
      <c r="G134" s="2">
        <v>2.1354166666666664E-2</v>
      </c>
      <c r="H134">
        <v>171</v>
      </c>
      <c r="I134">
        <v>182</v>
      </c>
      <c r="J134">
        <v>4</v>
      </c>
      <c r="K134">
        <v>152</v>
      </c>
      <c r="L134">
        <v>158</v>
      </c>
      <c r="M134" s="4">
        <v>0.25555555555555559</v>
      </c>
      <c r="N134" s="4">
        <v>0.23541666666666669</v>
      </c>
      <c r="O134" t="s">
        <v>39</v>
      </c>
      <c r="P134" t="s">
        <v>39</v>
      </c>
      <c r="Q134">
        <v>1.08</v>
      </c>
      <c r="R134">
        <v>0</v>
      </c>
      <c r="S134">
        <v>0</v>
      </c>
      <c r="T134">
        <v>0</v>
      </c>
      <c r="U134">
        <v>0</v>
      </c>
      <c r="V134">
        <v>0</v>
      </c>
      <c r="W134" t="s">
        <v>39</v>
      </c>
      <c r="X134" t="s">
        <v>39</v>
      </c>
      <c r="Y134" s="3">
        <v>1.28125</v>
      </c>
      <c r="Z134" s="4">
        <v>0</v>
      </c>
      <c r="AA134">
        <v>0</v>
      </c>
      <c r="AB134" s="4">
        <v>0</v>
      </c>
      <c r="AC134" t="s">
        <v>40</v>
      </c>
      <c r="AD134" t="s">
        <v>203</v>
      </c>
      <c r="AE134">
        <v>6</v>
      </c>
      <c r="AF134">
        <v>0</v>
      </c>
      <c r="AG134" s="2">
        <v>2.1331018518518517E-2</v>
      </c>
      <c r="AH134" s="2">
        <v>2.1354166666666664E-2</v>
      </c>
      <c r="AI134" t="s">
        <v>39</v>
      </c>
      <c r="AJ134" t="s">
        <v>39</v>
      </c>
    </row>
    <row r="135" spans="1:36" x14ac:dyDescent="0.25">
      <c r="A135" t="s">
        <v>45</v>
      </c>
      <c r="B135" s="1">
        <v>44061.2971412037</v>
      </c>
      <c r="C135" t="s">
        <v>37</v>
      </c>
      <c r="D135" t="s">
        <v>204</v>
      </c>
      <c r="E135">
        <v>4.51</v>
      </c>
      <c r="F135">
        <v>320</v>
      </c>
      <c r="G135" s="2">
        <v>2.2800925925925929E-2</v>
      </c>
      <c r="H135">
        <v>158</v>
      </c>
      <c r="I135">
        <v>179</v>
      </c>
      <c r="J135">
        <v>3.4</v>
      </c>
      <c r="K135">
        <v>132</v>
      </c>
      <c r="L135">
        <v>158</v>
      </c>
      <c r="M135" s="4">
        <v>0.3034722222222222</v>
      </c>
      <c r="N135" s="4">
        <v>0.21805555555555556</v>
      </c>
      <c r="O135" t="s">
        <v>39</v>
      </c>
      <c r="P135" t="s">
        <v>39</v>
      </c>
      <c r="Q135">
        <v>1.03</v>
      </c>
      <c r="R135">
        <v>0</v>
      </c>
      <c r="S135">
        <v>0</v>
      </c>
      <c r="T135">
        <v>0</v>
      </c>
      <c r="U135">
        <v>0</v>
      </c>
      <c r="V135">
        <v>0</v>
      </c>
      <c r="W135" t="s">
        <v>39</v>
      </c>
      <c r="X135" t="s">
        <v>39</v>
      </c>
      <c r="Y135" s="3">
        <v>1.3680555555555556</v>
      </c>
      <c r="Z135" s="4">
        <v>0</v>
      </c>
      <c r="AA135">
        <v>0</v>
      </c>
      <c r="AB135" s="4">
        <v>0</v>
      </c>
      <c r="AC135" t="s">
        <v>40</v>
      </c>
      <c r="AD135" t="s">
        <v>205</v>
      </c>
      <c r="AE135">
        <v>12</v>
      </c>
      <c r="AF135">
        <v>0</v>
      </c>
      <c r="AG135" s="2">
        <v>2.1041666666666667E-2</v>
      </c>
      <c r="AH135" s="2">
        <v>2.2800925925925929E-2</v>
      </c>
      <c r="AI135">
        <v>53</v>
      </c>
      <c r="AJ135">
        <v>53</v>
      </c>
    </row>
    <row r="136" spans="1:36" x14ac:dyDescent="0.25">
      <c r="A136" t="s">
        <v>45</v>
      </c>
      <c r="B136" s="1">
        <v>44058.384618055556</v>
      </c>
      <c r="C136" t="s">
        <v>37</v>
      </c>
      <c r="D136" t="s">
        <v>45</v>
      </c>
      <c r="E136">
        <v>5.01</v>
      </c>
      <c r="F136">
        <v>335</v>
      </c>
      <c r="G136" s="2">
        <v>2.0219907407407409E-2</v>
      </c>
      <c r="H136">
        <v>177</v>
      </c>
      <c r="I136">
        <v>190</v>
      </c>
      <c r="J136">
        <v>4.5</v>
      </c>
      <c r="K136">
        <v>153</v>
      </c>
      <c r="L136">
        <v>159</v>
      </c>
      <c r="M136" s="4">
        <v>0.24236111111111111</v>
      </c>
      <c r="N136" s="4">
        <v>0.22500000000000001</v>
      </c>
      <c r="O136" t="s">
        <v>39</v>
      </c>
      <c r="P136" t="s">
        <v>39</v>
      </c>
      <c r="Q136">
        <v>1.1200000000000001</v>
      </c>
      <c r="R136">
        <v>0</v>
      </c>
      <c r="S136">
        <v>0</v>
      </c>
      <c r="T136">
        <v>0</v>
      </c>
      <c r="U136">
        <v>0</v>
      </c>
      <c r="V136">
        <v>0</v>
      </c>
      <c r="W136" t="s">
        <v>39</v>
      </c>
      <c r="X136" t="s">
        <v>39</v>
      </c>
      <c r="Y136" s="3">
        <v>1.2131944444444445</v>
      </c>
      <c r="Z136" s="4">
        <v>0</v>
      </c>
      <c r="AA136">
        <v>0</v>
      </c>
      <c r="AB136" s="4">
        <v>0</v>
      </c>
      <c r="AC136" t="s">
        <v>40</v>
      </c>
      <c r="AD136" t="s">
        <v>206</v>
      </c>
      <c r="AE136">
        <v>6</v>
      </c>
      <c r="AF136">
        <v>0</v>
      </c>
      <c r="AG136" s="2">
        <v>2.0208333333333335E-2</v>
      </c>
      <c r="AH136" s="2">
        <v>2.0219907407407409E-2</v>
      </c>
      <c r="AI136" t="s">
        <v>39</v>
      </c>
      <c r="AJ136" t="s">
        <v>39</v>
      </c>
    </row>
    <row r="137" spans="1:36" x14ac:dyDescent="0.25">
      <c r="A137" t="s">
        <v>45</v>
      </c>
      <c r="B137" s="1">
        <v>44056.734247685185</v>
      </c>
      <c r="C137" t="s">
        <v>37</v>
      </c>
      <c r="D137" t="s">
        <v>207</v>
      </c>
      <c r="E137">
        <v>3.89</v>
      </c>
      <c r="F137">
        <v>277</v>
      </c>
      <c r="G137" s="2">
        <v>1.9039351851851852E-2</v>
      </c>
      <c r="H137">
        <v>162</v>
      </c>
      <c r="I137">
        <v>187</v>
      </c>
      <c r="J137">
        <v>3.5</v>
      </c>
      <c r="K137">
        <v>132</v>
      </c>
      <c r="L137">
        <v>160</v>
      </c>
      <c r="M137" s="4">
        <v>0.29305555555555557</v>
      </c>
      <c r="N137" s="4">
        <v>0.18819444444444444</v>
      </c>
      <c r="O137" t="s">
        <v>39</v>
      </c>
      <c r="P137" t="s">
        <v>39</v>
      </c>
      <c r="Q137">
        <v>1.06</v>
      </c>
      <c r="R137">
        <v>0</v>
      </c>
      <c r="S137">
        <v>0</v>
      </c>
      <c r="T137">
        <v>0</v>
      </c>
      <c r="U137">
        <v>0</v>
      </c>
      <c r="V137">
        <v>0</v>
      </c>
      <c r="W137" t="s">
        <v>39</v>
      </c>
      <c r="X137" t="s">
        <v>39</v>
      </c>
      <c r="Y137" s="3">
        <v>1.1423611111111112</v>
      </c>
      <c r="Z137" s="4">
        <v>0</v>
      </c>
      <c r="AA137">
        <v>0</v>
      </c>
      <c r="AB137" s="4">
        <v>0</v>
      </c>
      <c r="AC137" t="s">
        <v>40</v>
      </c>
      <c r="AD137" t="s">
        <v>208</v>
      </c>
      <c r="AE137">
        <v>12</v>
      </c>
      <c r="AF137">
        <v>0</v>
      </c>
      <c r="AG137" s="2">
        <v>1.7291666666666667E-2</v>
      </c>
      <c r="AH137" s="2">
        <v>1.9039351851851852E-2</v>
      </c>
      <c r="AI137" t="s">
        <v>39</v>
      </c>
      <c r="AJ137" t="s">
        <v>39</v>
      </c>
    </row>
    <row r="138" spans="1:36" x14ac:dyDescent="0.25">
      <c r="A138" t="s">
        <v>45</v>
      </c>
      <c r="B138" s="1">
        <v>44054.298090277778</v>
      </c>
      <c r="C138" t="s">
        <v>37</v>
      </c>
      <c r="D138" t="s">
        <v>49</v>
      </c>
      <c r="E138">
        <v>4.01</v>
      </c>
      <c r="F138">
        <v>272</v>
      </c>
      <c r="G138" s="2">
        <v>1.6736111111111111E-2</v>
      </c>
      <c r="H138">
        <v>176</v>
      </c>
      <c r="I138">
        <v>190</v>
      </c>
      <c r="J138">
        <v>4.2</v>
      </c>
      <c r="K138">
        <v>157</v>
      </c>
      <c r="L138">
        <v>164</v>
      </c>
      <c r="M138" s="4">
        <v>0.25069444444444444</v>
      </c>
      <c r="N138" s="4">
        <v>0.15972222222222224</v>
      </c>
      <c r="O138">
        <v>7</v>
      </c>
      <c r="P138">
        <v>14</v>
      </c>
      <c r="Q138">
        <v>1.06</v>
      </c>
      <c r="R138">
        <v>0</v>
      </c>
      <c r="S138">
        <v>0</v>
      </c>
      <c r="T138">
        <v>0</v>
      </c>
      <c r="U138">
        <v>0</v>
      </c>
      <c r="V138">
        <v>0</v>
      </c>
      <c r="W138" t="s">
        <v>39</v>
      </c>
      <c r="X138" t="s">
        <v>39</v>
      </c>
      <c r="Y138" s="3">
        <v>1.0041666666666667</v>
      </c>
      <c r="Z138" s="4">
        <v>0</v>
      </c>
      <c r="AA138">
        <v>0</v>
      </c>
      <c r="AB138" s="4">
        <v>0</v>
      </c>
      <c r="AC138" t="s">
        <v>40</v>
      </c>
      <c r="AD138" t="s">
        <v>209</v>
      </c>
      <c r="AE138">
        <v>5</v>
      </c>
      <c r="AF138">
        <v>0</v>
      </c>
      <c r="AG138" s="2">
        <v>1.6736111111111111E-2</v>
      </c>
      <c r="AH138" s="2">
        <v>1.6736111111111111E-2</v>
      </c>
      <c r="AI138">
        <v>12</v>
      </c>
      <c r="AJ138">
        <v>29</v>
      </c>
    </row>
    <row r="139" spans="1:36" x14ac:dyDescent="0.25">
      <c r="A139" t="s">
        <v>45</v>
      </c>
      <c r="B139" s="1">
        <v>44051.304016203707</v>
      </c>
      <c r="C139" t="s">
        <v>37</v>
      </c>
      <c r="D139" t="s">
        <v>103</v>
      </c>
      <c r="E139">
        <v>3.01</v>
      </c>
      <c r="F139">
        <v>205</v>
      </c>
      <c r="G139" s="2">
        <v>1.3055555555555556E-2</v>
      </c>
      <c r="H139">
        <v>173</v>
      </c>
      <c r="I139">
        <v>188</v>
      </c>
      <c r="J139">
        <v>3.6</v>
      </c>
      <c r="K139">
        <v>157</v>
      </c>
      <c r="L139">
        <v>165</v>
      </c>
      <c r="M139" s="4">
        <v>0.26041666666666669</v>
      </c>
      <c r="N139" s="4">
        <v>0.16458333333333333</v>
      </c>
      <c r="O139">
        <v>13</v>
      </c>
      <c r="P139">
        <v>19</v>
      </c>
      <c r="Q139">
        <v>1.02</v>
      </c>
      <c r="R139">
        <v>0</v>
      </c>
      <c r="S139">
        <v>0</v>
      </c>
      <c r="T139">
        <v>0</v>
      </c>
      <c r="U139">
        <v>0</v>
      </c>
      <c r="V139">
        <v>0</v>
      </c>
      <c r="W139" t="s">
        <v>39</v>
      </c>
      <c r="X139" t="s">
        <v>39</v>
      </c>
      <c r="Y139" s="4">
        <v>0.78333333333333333</v>
      </c>
      <c r="Z139" s="4">
        <v>0</v>
      </c>
      <c r="AA139">
        <v>0</v>
      </c>
      <c r="AB139" s="4">
        <v>0</v>
      </c>
      <c r="AC139" t="s">
        <v>40</v>
      </c>
      <c r="AD139" t="s">
        <v>210</v>
      </c>
      <c r="AE139">
        <v>11</v>
      </c>
      <c r="AF139">
        <v>0</v>
      </c>
      <c r="AG139" s="2">
        <v>1.3043981481481483E-2</v>
      </c>
      <c r="AH139" s="2">
        <v>1.3055555555555556E-2</v>
      </c>
      <c r="AI139">
        <v>12</v>
      </c>
      <c r="AJ139">
        <v>30</v>
      </c>
    </row>
    <row r="140" spans="1:36" x14ac:dyDescent="0.25">
      <c r="A140" t="s">
        <v>45</v>
      </c>
      <c r="B140" s="1">
        <v>44049.302222222221</v>
      </c>
      <c r="C140" t="s">
        <v>37</v>
      </c>
      <c r="D140" t="s">
        <v>49</v>
      </c>
      <c r="E140">
        <v>3.51</v>
      </c>
      <c r="F140">
        <v>243</v>
      </c>
      <c r="G140" s="2">
        <v>1.4548611111111111E-2</v>
      </c>
      <c r="H140">
        <v>178</v>
      </c>
      <c r="I140">
        <v>191</v>
      </c>
      <c r="J140">
        <v>4</v>
      </c>
      <c r="K140">
        <v>157</v>
      </c>
      <c r="L140">
        <v>164</v>
      </c>
      <c r="M140" s="4">
        <v>0.24930555555555556</v>
      </c>
      <c r="N140" s="4">
        <v>0.19027777777777777</v>
      </c>
      <c r="O140">
        <v>10</v>
      </c>
      <c r="P140">
        <v>16</v>
      </c>
      <c r="Q140">
        <v>1.07</v>
      </c>
      <c r="R140">
        <v>0</v>
      </c>
      <c r="S140">
        <v>0</v>
      </c>
      <c r="T140">
        <v>0</v>
      </c>
      <c r="U140">
        <v>0</v>
      </c>
      <c r="V140">
        <v>0</v>
      </c>
      <c r="W140" t="s">
        <v>39</v>
      </c>
      <c r="X140" t="s">
        <v>39</v>
      </c>
      <c r="Y140" s="4">
        <v>0.87291666666666667</v>
      </c>
      <c r="Z140" s="4">
        <v>0</v>
      </c>
      <c r="AA140">
        <v>0</v>
      </c>
      <c r="AB140" s="4">
        <v>0</v>
      </c>
      <c r="AC140" t="s">
        <v>40</v>
      </c>
      <c r="AD140" t="s">
        <v>211</v>
      </c>
      <c r="AE140">
        <v>4</v>
      </c>
      <c r="AF140">
        <v>0</v>
      </c>
      <c r="AG140" s="2">
        <v>1.4537037037037038E-2</v>
      </c>
      <c r="AH140" s="2">
        <v>1.4548611111111111E-2</v>
      </c>
      <c r="AI140">
        <v>12</v>
      </c>
      <c r="AJ140">
        <v>33</v>
      </c>
    </row>
    <row r="141" spans="1:36" x14ac:dyDescent="0.25">
      <c r="A141" t="s">
        <v>45</v>
      </c>
      <c r="B141" s="1">
        <v>44047.304189814815</v>
      </c>
      <c r="C141" t="s">
        <v>37</v>
      </c>
      <c r="D141" t="s">
        <v>103</v>
      </c>
      <c r="E141">
        <v>3.9</v>
      </c>
      <c r="F141">
        <v>296</v>
      </c>
      <c r="G141" s="2">
        <v>1.9733796296296298E-2</v>
      </c>
      <c r="H141">
        <v>165</v>
      </c>
      <c r="I141">
        <v>185</v>
      </c>
      <c r="J141">
        <v>3.7</v>
      </c>
      <c r="K141">
        <v>141</v>
      </c>
      <c r="L141">
        <v>164</v>
      </c>
      <c r="M141" s="4">
        <v>0.3034722222222222</v>
      </c>
      <c r="N141" s="4">
        <v>0.17361111111111113</v>
      </c>
      <c r="O141">
        <v>26</v>
      </c>
      <c r="P141">
        <v>21</v>
      </c>
      <c r="Q141">
        <v>0.96</v>
      </c>
      <c r="R141">
        <v>0</v>
      </c>
      <c r="S141">
        <v>0</v>
      </c>
      <c r="T141">
        <v>0</v>
      </c>
      <c r="U141">
        <v>0</v>
      </c>
      <c r="V141">
        <v>0</v>
      </c>
      <c r="W141" t="s">
        <v>39</v>
      </c>
      <c r="X141" t="s">
        <v>39</v>
      </c>
      <c r="Y141" s="3">
        <v>1.1840277777777779</v>
      </c>
      <c r="Z141" s="4">
        <v>0</v>
      </c>
      <c r="AA141">
        <v>0</v>
      </c>
      <c r="AB141" s="4">
        <v>0</v>
      </c>
      <c r="AC141" t="s">
        <v>40</v>
      </c>
      <c r="AD141" t="s">
        <v>212</v>
      </c>
      <c r="AE141">
        <v>7</v>
      </c>
      <c r="AF141">
        <v>0</v>
      </c>
      <c r="AG141" s="2">
        <v>1.9606481481481482E-2</v>
      </c>
      <c r="AH141" s="2">
        <v>1.9733796296296298E-2</v>
      </c>
      <c r="AI141">
        <v>12</v>
      </c>
      <c r="AJ141">
        <v>31</v>
      </c>
    </row>
    <row r="142" spans="1:36" x14ac:dyDescent="0.25">
      <c r="A142" t="s">
        <v>45</v>
      </c>
      <c r="B142" s="1">
        <v>44045.365624999999</v>
      </c>
      <c r="C142" t="s">
        <v>37</v>
      </c>
      <c r="D142" t="s">
        <v>49</v>
      </c>
      <c r="E142">
        <v>3.01</v>
      </c>
      <c r="F142">
        <v>211</v>
      </c>
      <c r="G142" s="2">
        <v>1.2604166666666666E-2</v>
      </c>
      <c r="H142">
        <v>177</v>
      </c>
      <c r="I142">
        <v>191</v>
      </c>
      <c r="J142">
        <v>3.8</v>
      </c>
      <c r="K142">
        <v>157</v>
      </c>
      <c r="L142">
        <v>164</v>
      </c>
      <c r="M142" s="4">
        <v>0.25138888888888888</v>
      </c>
      <c r="N142" s="4">
        <v>0.23750000000000002</v>
      </c>
      <c r="O142">
        <v>8</v>
      </c>
      <c r="P142">
        <v>14</v>
      </c>
      <c r="Q142">
        <v>1.06</v>
      </c>
      <c r="R142">
        <v>0</v>
      </c>
      <c r="S142">
        <v>0</v>
      </c>
      <c r="T142">
        <v>0</v>
      </c>
      <c r="U142">
        <v>0</v>
      </c>
      <c r="V142">
        <v>0</v>
      </c>
      <c r="W142" t="s">
        <v>39</v>
      </c>
      <c r="X142" t="s">
        <v>39</v>
      </c>
      <c r="Y142" s="4">
        <v>0.75624999999999998</v>
      </c>
      <c r="Z142" s="4">
        <v>0</v>
      </c>
      <c r="AA142">
        <v>0</v>
      </c>
      <c r="AB142" s="4">
        <v>0</v>
      </c>
      <c r="AC142" t="s">
        <v>40</v>
      </c>
      <c r="AD142" t="s">
        <v>213</v>
      </c>
      <c r="AE142">
        <v>4</v>
      </c>
      <c r="AF142">
        <v>0</v>
      </c>
      <c r="AG142" s="2">
        <v>1.2592592592592593E-2</v>
      </c>
      <c r="AH142" s="2">
        <v>1.2604166666666666E-2</v>
      </c>
      <c r="AI142">
        <v>12</v>
      </c>
      <c r="AJ142">
        <v>29</v>
      </c>
    </row>
    <row r="143" spans="1:36" x14ac:dyDescent="0.25">
      <c r="A143" t="s">
        <v>45</v>
      </c>
      <c r="B143" s="1">
        <v>44040.303726851853</v>
      </c>
      <c r="C143" t="s">
        <v>37</v>
      </c>
      <c r="D143" t="s">
        <v>49</v>
      </c>
      <c r="E143">
        <v>3.01</v>
      </c>
      <c r="F143">
        <v>207</v>
      </c>
      <c r="G143" s="2">
        <v>1.2662037037037039E-2</v>
      </c>
      <c r="H143">
        <v>173</v>
      </c>
      <c r="I143">
        <v>189</v>
      </c>
      <c r="J143">
        <v>3.6</v>
      </c>
      <c r="K143">
        <v>156</v>
      </c>
      <c r="L143">
        <v>162</v>
      </c>
      <c r="M143" s="4">
        <v>0.25208333333333333</v>
      </c>
      <c r="N143" s="4">
        <v>0.23680555555555557</v>
      </c>
      <c r="O143">
        <v>5</v>
      </c>
      <c r="P143">
        <v>16</v>
      </c>
      <c r="Q143">
        <v>1.06</v>
      </c>
      <c r="R143">
        <v>0</v>
      </c>
      <c r="S143">
        <v>0</v>
      </c>
      <c r="T143">
        <v>0</v>
      </c>
      <c r="U143">
        <v>0</v>
      </c>
      <c r="V143">
        <v>0</v>
      </c>
      <c r="W143" t="s">
        <v>39</v>
      </c>
      <c r="X143" t="s">
        <v>39</v>
      </c>
      <c r="Y143" s="4">
        <v>0.7597222222222223</v>
      </c>
      <c r="Z143" s="4">
        <v>0</v>
      </c>
      <c r="AA143">
        <v>0</v>
      </c>
      <c r="AB143" s="4">
        <v>0</v>
      </c>
      <c r="AC143" t="s">
        <v>40</v>
      </c>
      <c r="AD143" t="s">
        <v>214</v>
      </c>
      <c r="AE143">
        <v>4</v>
      </c>
      <c r="AF143">
        <v>0</v>
      </c>
      <c r="AG143" s="2">
        <v>1.2650462962962962E-2</v>
      </c>
      <c r="AH143" s="2">
        <v>1.2662037037037039E-2</v>
      </c>
      <c r="AI143">
        <v>12</v>
      </c>
      <c r="AJ143">
        <v>29</v>
      </c>
    </row>
    <row r="144" spans="1:36" x14ac:dyDescent="0.25">
      <c r="A144" t="s">
        <v>45</v>
      </c>
      <c r="B144" s="1">
        <v>44038.372291666667</v>
      </c>
      <c r="C144" t="s">
        <v>37</v>
      </c>
      <c r="D144" t="s">
        <v>49</v>
      </c>
      <c r="E144">
        <v>3.2</v>
      </c>
      <c r="F144">
        <v>234</v>
      </c>
      <c r="G144" s="2">
        <v>1.7083333333333336E-2</v>
      </c>
      <c r="H144">
        <v>153</v>
      </c>
      <c r="I144">
        <v>176</v>
      </c>
      <c r="J144">
        <v>3.1</v>
      </c>
      <c r="K144">
        <v>128</v>
      </c>
      <c r="L144">
        <v>160</v>
      </c>
      <c r="M144" s="4">
        <v>0.32013888888888892</v>
      </c>
      <c r="N144" s="4">
        <v>0.1013888888888889</v>
      </c>
      <c r="O144">
        <v>63</v>
      </c>
      <c r="P144">
        <v>60</v>
      </c>
      <c r="Q144">
        <v>1.01</v>
      </c>
      <c r="R144">
        <v>0</v>
      </c>
      <c r="S144">
        <v>0</v>
      </c>
      <c r="T144">
        <v>0</v>
      </c>
      <c r="U144">
        <v>0</v>
      </c>
      <c r="V144">
        <v>0</v>
      </c>
      <c r="W144" t="s">
        <v>39</v>
      </c>
      <c r="X144" t="s">
        <v>39</v>
      </c>
      <c r="Y144" s="3">
        <v>1.0250000000000001</v>
      </c>
      <c r="Z144" s="4">
        <v>0</v>
      </c>
      <c r="AA144">
        <v>0</v>
      </c>
      <c r="AB144" s="4">
        <v>0</v>
      </c>
      <c r="AC144" t="s">
        <v>40</v>
      </c>
      <c r="AD144" t="s">
        <v>215</v>
      </c>
      <c r="AE144">
        <v>8</v>
      </c>
      <c r="AF144">
        <v>0</v>
      </c>
      <c r="AG144" s="2">
        <v>1.7060185185185185E-2</v>
      </c>
      <c r="AH144" s="2">
        <v>1.7083333333333336E-2</v>
      </c>
      <c r="AI144">
        <v>11</v>
      </c>
      <c r="AJ144">
        <v>37</v>
      </c>
    </row>
    <row r="145" spans="1:36" x14ac:dyDescent="0.25">
      <c r="A145" t="s">
        <v>45</v>
      </c>
      <c r="B145" s="1">
        <v>44035.767013888886</v>
      </c>
      <c r="C145" t="s">
        <v>37</v>
      </c>
      <c r="D145" t="s">
        <v>49</v>
      </c>
      <c r="E145">
        <v>2.5099999999999998</v>
      </c>
      <c r="F145">
        <v>171</v>
      </c>
      <c r="G145" s="2">
        <v>1.1203703703703704E-2</v>
      </c>
      <c r="H145">
        <v>161</v>
      </c>
      <c r="I145">
        <v>177</v>
      </c>
      <c r="J145">
        <v>3.1</v>
      </c>
      <c r="K145">
        <v>152</v>
      </c>
      <c r="L145">
        <v>158</v>
      </c>
      <c r="M145" s="4">
        <v>0.26805555555555555</v>
      </c>
      <c r="N145" s="4">
        <v>0.17430555555555557</v>
      </c>
      <c r="O145">
        <v>81</v>
      </c>
      <c r="P145">
        <v>88</v>
      </c>
      <c r="Q145">
        <v>1.01</v>
      </c>
      <c r="R145">
        <v>0</v>
      </c>
      <c r="S145">
        <v>0</v>
      </c>
      <c r="T145">
        <v>0</v>
      </c>
      <c r="U145">
        <v>0</v>
      </c>
      <c r="V145">
        <v>0</v>
      </c>
      <c r="W145" t="s">
        <v>39</v>
      </c>
      <c r="X145" t="s">
        <v>39</v>
      </c>
      <c r="Y145" s="4">
        <v>0.67222222222222217</v>
      </c>
      <c r="Z145" s="4">
        <v>0</v>
      </c>
      <c r="AA145">
        <v>0</v>
      </c>
      <c r="AB145" s="4">
        <v>0</v>
      </c>
      <c r="AC145" t="s">
        <v>40</v>
      </c>
      <c r="AD145" t="s">
        <v>216</v>
      </c>
      <c r="AE145">
        <v>3</v>
      </c>
      <c r="AF145">
        <v>0</v>
      </c>
      <c r="AG145" s="2">
        <v>1.119212962962963E-2</v>
      </c>
      <c r="AH145" s="2">
        <v>1.1203703703703704E-2</v>
      </c>
      <c r="AI145">
        <v>19</v>
      </c>
      <c r="AJ145">
        <v>56</v>
      </c>
    </row>
    <row r="146" spans="1:36" x14ac:dyDescent="0.25">
      <c r="A146" t="s">
        <v>45</v>
      </c>
      <c r="B146" s="1">
        <v>44033.291192129633</v>
      </c>
      <c r="C146" t="s">
        <v>37</v>
      </c>
      <c r="D146" t="s">
        <v>103</v>
      </c>
      <c r="E146">
        <v>3.91</v>
      </c>
      <c r="F146">
        <v>282</v>
      </c>
      <c r="G146" s="2">
        <v>1.9108796296296294E-2</v>
      </c>
      <c r="H146">
        <v>162</v>
      </c>
      <c r="I146">
        <v>182</v>
      </c>
      <c r="J146">
        <v>3.6</v>
      </c>
      <c r="K146">
        <v>142</v>
      </c>
      <c r="L146">
        <v>160</v>
      </c>
      <c r="M146" s="4">
        <v>0.29375000000000001</v>
      </c>
      <c r="N146" s="4">
        <v>0.15972222222222224</v>
      </c>
      <c r="O146">
        <v>13</v>
      </c>
      <c r="P146">
        <v>19</v>
      </c>
      <c r="Q146">
        <v>0.99</v>
      </c>
      <c r="R146">
        <v>0</v>
      </c>
      <c r="S146">
        <v>0</v>
      </c>
      <c r="T146">
        <v>0</v>
      </c>
      <c r="U146">
        <v>0</v>
      </c>
      <c r="V146">
        <v>0</v>
      </c>
      <c r="W146" t="s">
        <v>39</v>
      </c>
      <c r="X146" t="s">
        <v>39</v>
      </c>
      <c r="Y146" s="3">
        <v>1.1465277777777778</v>
      </c>
      <c r="Z146" s="4">
        <v>0</v>
      </c>
      <c r="AA146">
        <v>0</v>
      </c>
      <c r="AB146" s="4">
        <v>0</v>
      </c>
      <c r="AC146" t="s">
        <v>40</v>
      </c>
      <c r="AD146" t="s">
        <v>217</v>
      </c>
      <c r="AE146">
        <v>7</v>
      </c>
      <c r="AF146">
        <v>0</v>
      </c>
      <c r="AG146" s="2">
        <v>1.9108796296296294E-2</v>
      </c>
      <c r="AH146" s="2">
        <v>1.9108796296296294E-2</v>
      </c>
      <c r="AI146">
        <v>12</v>
      </c>
      <c r="AJ146">
        <v>28</v>
      </c>
    </row>
    <row r="147" spans="1:36" x14ac:dyDescent="0.25">
      <c r="A147" t="s">
        <v>45</v>
      </c>
      <c r="B147" s="1">
        <v>44030.350960648146</v>
      </c>
      <c r="C147" t="s">
        <v>37</v>
      </c>
      <c r="D147" t="s">
        <v>49</v>
      </c>
      <c r="E147">
        <v>2.0099999999999998</v>
      </c>
      <c r="F147">
        <v>140</v>
      </c>
      <c r="G147" s="2">
        <v>8.2754629629629619E-3</v>
      </c>
      <c r="H147">
        <v>174</v>
      </c>
      <c r="I147">
        <v>191</v>
      </c>
      <c r="J147">
        <v>3.2</v>
      </c>
      <c r="K147">
        <v>155</v>
      </c>
      <c r="L147">
        <v>162</v>
      </c>
      <c r="M147" s="4">
        <v>0.24722222222222223</v>
      </c>
      <c r="N147" s="4">
        <v>8.3333333333333329E-2</v>
      </c>
      <c r="O147">
        <v>4</v>
      </c>
      <c r="P147">
        <v>12</v>
      </c>
      <c r="Q147">
        <v>1.08</v>
      </c>
      <c r="R147">
        <v>0</v>
      </c>
      <c r="S147">
        <v>0</v>
      </c>
      <c r="T147">
        <v>0</v>
      </c>
      <c r="U147">
        <v>0</v>
      </c>
      <c r="V147">
        <v>0</v>
      </c>
      <c r="W147" t="s">
        <v>39</v>
      </c>
      <c r="X147" t="s">
        <v>39</v>
      </c>
      <c r="Y147" s="4">
        <v>0.49652777777777773</v>
      </c>
      <c r="Z147" s="4">
        <v>0</v>
      </c>
      <c r="AA147">
        <v>0</v>
      </c>
      <c r="AB147" s="4">
        <v>0</v>
      </c>
      <c r="AC147" t="s">
        <v>40</v>
      </c>
      <c r="AD147" t="s">
        <v>218</v>
      </c>
      <c r="AE147">
        <v>3</v>
      </c>
      <c r="AF147">
        <v>0</v>
      </c>
      <c r="AG147" s="2">
        <v>8.2754629629629619E-3</v>
      </c>
      <c r="AH147" s="2">
        <v>8.2754629629629619E-3</v>
      </c>
      <c r="AI147">
        <v>17</v>
      </c>
      <c r="AJ147">
        <v>31</v>
      </c>
    </row>
    <row r="148" spans="1:36" x14ac:dyDescent="0.25">
      <c r="A148" t="s">
        <v>45</v>
      </c>
      <c r="B148" s="1">
        <v>44028.764224537037</v>
      </c>
      <c r="C148" t="s">
        <v>37</v>
      </c>
      <c r="D148" t="s">
        <v>219</v>
      </c>
      <c r="E148">
        <v>3.81</v>
      </c>
      <c r="F148">
        <v>290</v>
      </c>
      <c r="G148" s="2">
        <v>2.4120370370370372E-2</v>
      </c>
      <c r="H148">
        <v>139</v>
      </c>
      <c r="I148">
        <v>172</v>
      </c>
      <c r="J148">
        <v>3.2</v>
      </c>
      <c r="K148">
        <v>116</v>
      </c>
      <c r="L148">
        <v>160</v>
      </c>
      <c r="M148" s="4">
        <v>0.38055555555555554</v>
      </c>
      <c r="N148" s="4">
        <v>0.20625000000000002</v>
      </c>
      <c r="O148" t="s">
        <v>39</v>
      </c>
      <c r="P148" t="s">
        <v>39</v>
      </c>
      <c r="Q148">
        <v>0.92</v>
      </c>
      <c r="R148">
        <v>0</v>
      </c>
      <c r="S148">
        <v>0</v>
      </c>
      <c r="T148">
        <v>0</v>
      </c>
      <c r="U148">
        <v>0</v>
      </c>
      <c r="V148">
        <v>0</v>
      </c>
      <c r="W148" t="s">
        <v>39</v>
      </c>
      <c r="X148" t="s">
        <v>39</v>
      </c>
      <c r="Y148" s="3">
        <v>1.4472222222222222</v>
      </c>
      <c r="Z148" s="4">
        <v>0</v>
      </c>
      <c r="AA148">
        <v>0</v>
      </c>
      <c r="AB148" s="4">
        <v>0</v>
      </c>
      <c r="AC148" t="s">
        <v>40</v>
      </c>
      <c r="AD148" t="s">
        <v>220</v>
      </c>
      <c r="AE148">
        <v>10</v>
      </c>
      <c r="AF148">
        <v>0</v>
      </c>
      <c r="AG148" s="2">
        <v>2.2361111111111113E-2</v>
      </c>
      <c r="AH148" s="2">
        <v>2.4120370370370372E-2</v>
      </c>
      <c r="AI148" t="s">
        <v>39</v>
      </c>
      <c r="AJ148" t="s">
        <v>39</v>
      </c>
    </row>
    <row r="149" spans="1:36" x14ac:dyDescent="0.25">
      <c r="A149" t="s">
        <v>45</v>
      </c>
      <c r="B149" s="1">
        <v>44026.289652777778</v>
      </c>
      <c r="C149" t="s">
        <v>37</v>
      </c>
      <c r="D149" t="s">
        <v>45</v>
      </c>
      <c r="E149">
        <v>2.58</v>
      </c>
      <c r="F149">
        <v>200</v>
      </c>
      <c r="G149" s="2">
        <v>2.0844907407407406E-2</v>
      </c>
      <c r="H149">
        <v>122</v>
      </c>
      <c r="I149">
        <v>135</v>
      </c>
      <c r="J149">
        <v>1.9</v>
      </c>
      <c r="K149">
        <v>107</v>
      </c>
      <c r="L149">
        <v>135</v>
      </c>
      <c r="M149" s="4">
        <v>0.48541666666666666</v>
      </c>
      <c r="N149" s="4">
        <v>0.37013888888888885</v>
      </c>
      <c r="O149" t="s">
        <v>39</v>
      </c>
      <c r="P149" t="s">
        <v>39</v>
      </c>
      <c r="Q149">
        <v>0.8</v>
      </c>
      <c r="R149">
        <v>0</v>
      </c>
      <c r="S149">
        <v>0</v>
      </c>
      <c r="T149">
        <v>0</v>
      </c>
      <c r="U149">
        <v>0</v>
      </c>
      <c r="V149">
        <v>0</v>
      </c>
      <c r="W149" t="s">
        <v>39</v>
      </c>
      <c r="X149" t="s">
        <v>39</v>
      </c>
      <c r="Y149" s="3">
        <v>1.2506944444444443</v>
      </c>
      <c r="Z149" s="4">
        <v>0</v>
      </c>
      <c r="AA149">
        <v>0</v>
      </c>
      <c r="AB149" s="4">
        <v>0</v>
      </c>
      <c r="AC149" t="s">
        <v>40</v>
      </c>
      <c r="AD149" t="s">
        <v>221</v>
      </c>
      <c r="AE149">
        <v>3</v>
      </c>
      <c r="AF149">
        <v>0</v>
      </c>
      <c r="AG149" s="2">
        <v>2.045138888888889E-2</v>
      </c>
      <c r="AH149" s="2">
        <v>2.0844907407407406E-2</v>
      </c>
      <c r="AI149" t="s">
        <v>39</v>
      </c>
      <c r="AJ149" t="s">
        <v>39</v>
      </c>
    </row>
    <row r="150" spans="1:36" x14ac:dyDescent="0.25">
      <c r="A150" t="s">
        <v>45</v>
      </c>
      <c r="B150" s="1">
        <v>44023.345185185186</v>
      </c>
      <c r="C150" t="s">
        <v>37</v>
      </c>
      <c r="D150" t="s">
        <v>49</v>
      </c>
      <c r="E150">
        <v>2.0099999999999998</v>
      </c>
      <c r="F150">
        <v>141</v>
      </c>
      <c r="G150" s="2">
        <v>8.0902777777777778E-3</v>
      </c>
      <c r="H150">
        <v>176</v>
      </c>
      <c r="I150">
        <v>190</v>
      </c>
      <c r="J150">
        <v>3.3</v>
      </c>
      <c r="K150">
        <v>157</v>
      </c>
      <c r="L150">
        <v>162</v>
      </c>
      <c r="M150" s="4">
        <v>0.24166666666666667</v>
      </c>
      <c r="N150" s="4">
        <v>0.20138888888888887</v>
      </c>
      <c r="O150" t="s">
        <v>39</v>
      </c>
      <c r="P150">
        <v>6</v>
      </c>
      <c r="Q150">
        <v>1.1000000000000001</v>
      </c>
      <c r="R150">
        <v>0</v>
      </c>
      <c r="S150">
        <v>0</v>
      </c>
      <c r="T150">
        <v>0</v>
      </c>
      <c r="U150">
        <v>0</v>
      </c>
      <c r="V150">
        <v>0</v>
      </c>
      <c r="W150" t="s">
        <v>39</v>
      </c>
      <c r="X150" t="s">
        <v>39</v>
      </c>
      <c r="Y150" s="4">
        <v>0.48541666666666666</v>
      </c>
      <c r="Z150" s="4">
        <v>0</v>
      </c>
      <c r="AA150">
        <v>0</v>
      </c>
      <c r="AB150" s="4">
        <v>0</v>
      </c>
      <c r="AC150" t="s">
        <v>40</v>
      </c>
      <c r="AD150" t="s">
        <v>222</v>
      </c>
      <c r="AE150">
        <v>3</v>
      </c>
      <c r="AF150">
        <v>0</v>
      </c>
      <c r="AG150" s="2">
        <v>8.0902777777777778E-3</v>
      </c>
      <c r="AH150" s="2">
        <v>8.0902777777777778E-3</v>
      </c>
      <c r="AI150">
        <v>16</v>
      </c>
      <c r="AJ150">
        <v>32</v>
      </c>
    </row>
    <row r="151" spans="1:36" x14ac:dyDescent="0.25">
      <c r="A151" t="s">
        <v>45</v>
      </c>
      <c r="B151" s="1">
        <v>44021.29241898148</v>
      </c>
      <c r="C151" t="s">
        <v>37</v>
      </c>
      <c r="D151" t="s">
        <v>103</v>
      </c>
      <c r="E151">
        <v>3.84</v>
      </c>
      <c r="F151">
        <v>325</v>
      </c>
      <c r="G151" s="2">
        <v>1.9351851851851853E-2</v>
      </c>
      <c r="H151">
        <v>169</v>
      </c>
      <c r="I151">
        <v>188</v>
      </c>
      <c r="J151">
        <v>4.2</v>
      </c>
      <c r="K151">
        <v>141</v>
      </c>
      <c r="L151">
        <v>163</v>
      </c>
      <c r="M151" s="4">
        <v>0.30277777777777776</v>
      </c>
      <c r="N151" s="4">
        <v>0.24097222222222223</v>
      </c>
      <c r="O151">
        <v>15</v>
      </c>
      <c r="P151">
        <v>23</v>
      </c>
      <c r="Q151">
        <v>0.96</v>
      </c>
      <c r="R151">
        <v>0</v>
      </c>
      <c r="S151">
        <v>0</v>
      </c>
      <c r="T151">
        <v>0</v>
      </c>
      <c r="U151">
        <v>0</v>
      </c>
      <c r="V151">
        <v>0</v>
      </c>
      <c r="W151" t="s">
        <v>39</v>
      </c>
      <c r="X151" t="s">
        <v>39</v>
      </c>
      <c r="Y151" s="3">
        <v>1.1611111111111112</v>
      </c>
      <c r="Z151" s="4">
        <v>0</v>
      </c>
      <c r="AA151">
        <v>0</v>
      </c>
      <c r="AB151" s="4">
        <v>0</v>
      </c>
      <c r="AC151" t="s">
        <v>40</v>
      </c>
      <c r="AD151" t="s">
        <v>223</v>
      </c>
      <c r="AE151">
        <v>7</v>
      </c>
      <c r="AF151">
        <v>0</v>
      </c>
      <c r="AG151" s="2">
        <v>1.9328703703703702E-2</v>
      </c>
      <c r="AH151" s="2">
        <v>1.9351851851851853E-2</v>
      </c>
      <c r="AI151">
        <v>12</v>
      </c>
      <c r="AJ151">
        <v>31</v>
      </c>
    </row>
    <row r="152" spans="1:36" x14ac:dyDescent="0.25">
      <c r="A152" t="s">
        <v>45</v>
      </c>
      <c r="B152" s="1">
        <v>44019.30028935185</v>
      </c>
      <c r="C152" t="s">
        <v>37</v>
      </c>
      <c r="D152" t="s">
        <v>45</v>
      </c>
      <c r="E152">
        <v>2.0099999999999998</v>
      </c>
      <c r="F152">
        <v>145</v>
      </c>
      <c r="G152" s="2">
        <v>8.7615740740740744E-3</v>
      </c>
      <c r="H152">
        <v>166</v>
      </c>
      <c r="I152">
        <v>180</v>
      </c>
      <c r="J152">
        <v>3.1</v>
      </c>
      <c r="K152">
        <v>152</v>
      </c>
      <c r="L152">
        <v>158</v>
      </c>
      <c r="M152" s="4">
        <v>0.26180555555555557</v>
      </c>
      <c r="N152" s="4">
        <v>0.23750000000000002</v>
      </c>
      <c r="O152" t="s">
        <v>39</v>
      </c>
      <c r="P152" t="s">
        <v>39</v>
      </c>
      <c r="Q152">
        <v>1.05</v>
      </c>
      <c r="R152">
        <v>0</v>
      </c>
      <c r="S152">
        <v>0</v>
      </c>
      <c r="T152">
        <v>0</v>
      </c>
      <c r="U152">
        <v>0</v>
      </c>
      <c r="V152">
        <v>0</v>
      </c>
      <c r="W152" t="s">
        <v>39</v>
      </c>
      <c r="X152" t="s">
        <v>39</v>
      </c>
      <c r="Y152" s="4">
        <v>0.52569444444444446</v>
      </c>
      <c r="Z152" s="4">
        <v>0</v>
      </c>
      <c r="AA152">
        <v>0</v>
      </c>
      <c r="AB152" s="4">
        <v>0</v>
      </c>
      <c r="AC152" t="s">
        <v>40</v>
      </c>
      <c r="AD152" t="s">
        <v>224</v>
      </c>
      <c r="AE152">
        <v>3</v>
      </c>
      <c r="AF152">
        <v>0</v>
      </c>
      <c r="AG152" s="2">
        <v>8.7152777777777784E-3</v>
      </c>
      <c r="AH152" s="2">
        <v>8.7615740740740744E-3</v>
      </c>
      <c r="AI152" t="s">
        <v>39</v>
      </c>
      <c r="AJ152" t="s">
        <v>39</v>
      </c>
    </row>
    <row r="153" spans="1:36" x14ac:dyDescent="0.25">
      <c r="A153" t="s">
        <v>45</v>
      </c>
      <c r="B153" s="1">
        <v>44006.799305555556</v>
      </c>
      <c r="C153" t="s">
        <v>37</v>
      </c>
      <c r="D153" t="s">
        <v>49</v>
      </c>
      <c r="E153">
        <v>1.95</v>
      </c>
      <c r="F153">
        <v>142</v>
      </c>
      <c r="G153" s="2">
        <v>8.6921296296296312E-3</v>
      </c>
      <c r="H153" t="s">
        <v>39</v>
      </c>
      <c r="I153" t="s">
        <v>39</v>
      </c>
      <c r="J153" t="s">
        <v>39</v>
      </c>
      <c r="K153">
        <v>149</v>
      </c>
      <c r="L153">
        <v>160</v>
      </c>
      <c r="M153" s="4">
        <v>0.26666666666666666</v>
      </c>
      <c r="N153" s="4">
        <v>0.15</v>
      </c>
      <c r="O153">
        <v>13</v>
      </c>
      <c r="P153">
        <v>11</v>
      </c>
      <c r="Q153">
        <v>1.05</v>
      </c>
      <c r="R153">
        <v>0</v>
      </c>
      <c r="S153">
        <v>0</v>
      </c>
      <c r="T153">
        <v>0</v>
      </c>
      <c r="U153">
        <v>0</v>
      </c>
      <c r="V153">
        <v>0</v>
      </c>
      <c r="W153" t="s">
        <v>39</v>
      </c>
      <c r="X153" t="s">
        <v>39</v>
      </c>
      <c r="Y153" s="4">
        <v>0.52152777777777781</v>
      </c>
      <c r="Z153" s="4">
        <v>0</v>
      </c>
      <c r="AA153">
        <v>0</v>
      </c>
      <c r="AB153" s="4">
        <v>0</v>
      </c>
      <c r="AC153" t="s">
        <v>40</v>
      </c>
      <c r="AD153" t="s">
        <v>225</v>
      </c>
      <c r="AE153">
        <v>4</v>
      </c>
      <c r="AF153">
        <v>0</v>
      </c>
      <c r="AG153" s="2">
        <v>8.4722222222222213E-3</v>
      </c>
      <c r="AH153" s="2">
        <v>1.6655092592592593E-2</v>
      </c>
      <c r="AI153">
        <v>17</v>
      </c>
      <c r="AJ153">
        <v>33</v>
      </c>
    </row>
    <row r="154" spans="1:36" x14ac:dyDescent="0.25">
      <c r="A154" t="s">
        <v>42</v>
      </c>
      <c r="B154" s="1">
        <v>44004.288391203707</v>
      </c>
      <c r="C154" t="s">
        <v>37</v>
      </c>
      <c r="D154" t="s">
        <v>43</v>
      </c>
      <c r="E154">
        <v>11.53</v>
      </c>
      <c r="F154">
        <v>554</v>
      </c>
      <c r="G154" s="2">
        <v>3.1226851851851853E-2</v>
      </c>
      <c r="H154">
        <v>167</v>
      </c>
      <c r="I154">
        <v>185</v>
      </c>
      <c r="J154">
        <v>5</v>
      </c>
      <c r="K154" t="s">
        <v>39</v>
      </c>
      <c r="L154" t="s">
        <v>39</v>
      </c>
      <c r="M154">
        <v>15.4</v>
      </c>
      <c r="N154">
        <v>38.299999999999997</v>
      </c>
      <c r="O154">
        <v>106</v>
      </c>
      <c r="P154">
        <v>111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 t="s">
        <v>39</v>
      </c>
      <c r="X154" t="s">
        <v>39</v>
      </c>
      <c r="Y154" s="3">
        <v>1.8736111111111111</v>
      </c>
      <c r="Z154" s="4">
        <v>0</v>
      </c>
      <c r="AA154">
        <v>0</v>
      </c>
      <c r="AB154" s="4">
        <v>0</v>
      </c>
      <c r="AC154" t="s">
        <v>40</v>
      </c>
      <c r="AD154" t="s">
        <v>226</v>
      </c>
      <c r="AE154">
        <v>3</v>
      </c>
      <c r="AF154">
        <v>0</v>
      </c>
      <c r="AG154" s="2">
        <v>2.9247685185185186E-2</v>
      </c>
      <c r="AH154" s="2">
        <v>3.1226851851851853E-2</v>
      </c>
      <c r="AI154">
        <v>15</v>
      </c>
      <c r="AJ154">
        <v>58</v>
      </c>
    </row>
    <row r="155" spans="1:36" x14ac:dyDescent="0.25">
      <c r="A155" t="s">
        <v>45</v>
      </c>
      <c r="B155" s="1">
        <v>43992.290416666663</v>
      </c>
      <c r="C155" t="s">
        <v>37</v>
      </c>
      <c r="D155" t="s">
        <v>45</v>
      </c>
      <c r="E155">
        <v>5.49</v>
      </c>
      <c r="F155">
        <v>289</v>
      </c>
      <c r="G155" s="2">
        <v>4.1701388888888885E-2</v>
      </c>
      <c r="H155">
        <v>115</v>
      </c>
      <c r="I155">
        <v>128</v>
      </c>
      <c r="J155">
        <v>1.8</v>
      </c>
      <c r="K155">
        <v>110</v>
      </c>
      <c r="L155">
        <v>138</v>
      </c>
      <c r="M155" s="4">
        <v>0.45624999999999999</v>
      </c>
      <c r="N155" s="4">
        <v>0.34791666666666665</v>
      </c>
      <c r="O155" t="s">
        <v>39</v>
      </c>
      <c r="P155" t="s">
        <v>39</v>
      </c>
      <c r="Q155">
        <v>0.84</v>
      </c>
      <c r="R155">
        <v>0</v>
      </c>
      <c r="S155">
        <v>0</v>
      </c>
      <c r="T155">
        <v>0</v>
      </c>
      <c r="U155">
        <v>0</v>
      </c>
      <c r="V155">
        <v>0</v>
      </c>
      <c r="W155" t="s">
        <v>39</v>
      </c>
      <c r="X155" t="s">
        <v>39</v>
      </c>
      <c r="Y155" s="2">
        <v>4.1701388888888885E-2</v>
      </c>
      <c r="Z155" s="4">
        <v>0</v>
      </c>
      <c r="AA155">
        <v>0</v>
      </c>
      <c r="AB155" s="4">
        <v>0</v>
      </c>
      <c r="AC155" t="s">
        <v>40</v>
      </c>
      <c r="AD155" t="s">
        <v>227</v>
      </c>
      <c r="AE155">
        <v>6</v>
      </c>
      <c r="AF155">
        <v>0</v>
      </c>
      <c r="AG155" s="2">
        <v>4.0601851851851854E-2</v>
      </c>
      <c r="AH155" s="2">
        <v>4.1701388888888885E-2</v>
      </c>
      <c r="AI155" t="s">
        <v>39</v>
      </c>
      <c r="AJ155" t="s">
        <v>39</v>
      </c>
    </row>
    <row r="156" spans="1:36" x14ac:dyDescent="0.25">
      <c r="A156" t="s">
        <v>45</v>
      </c>
      <c r="B156" s="1">
        <v>43990.299305555556</v>
      </c>
      <c r="C156" t="s">
        <v>37</v>
      </c>
      <c r="D156" t="s">
        <v>49</v>
      </c>
      <c r="E156">
        <v>4.7699999999999996</v>
      </c>
      <c r="F156">
        <v>256</v>
      </c>
      <c r="G156" s="2">
        <v>2.7523148148148147E-2</v>
      </c>
      <c r="H156">
        <v>134</v>
      </c>
      <c r="I156">
        <v>165</v>
      </c>
      <c r="J156">
        <v>2.8</v>
      </c>
      <c r="K156">
        <v>116</v>
      </c>
      <c r="L156">
        <v>164</v>
      </c>
      <c r="M156" s="4">
        <v>0.34652777777777777</v>
      </c>
      <c r="N156" s="4">
        <v>0.22083333333333333</v>
      </c>
      <c r="O156">
        <v>16</v>
      </c>
      <c r="P156">
        <v>19</v>
      </c>
      <c r="Q156">
        <v>1.04</v>
      </c>
      <c r="R156">
        <v>0</v>
      </c>
      <c r="S156">
        <v>0</v>
      </c>
      <c r="T156">
        <v>0</v>
      </c>
      <c r="U156">
        <v>0</v>
      </c>
      <c r="V156">
        <v>0</v>
      </c>
      <c r="W156" t="s">
        <v>39</v>
      </c>
      <c r="X156" t="s">
        <v>39</v>
      </c>
      <c r="Y156" s="3">
        <v>1.6513888888888888</v>
      </c>
      <c r="Z156" s="4">
        <v>0</v>
      </c>
      <c r="AA156">
        <v>0</v>
      </c>
      <c r="AB156" s="4">
        <v>0</v>
      </c>
      <c r="AC156" t="s">
        <v>40</v>
      </c>
      <c r="AD156" t="s">
        <v>228</v>
      </c>
      <c r="AE156">
        <v>5</v>
      </c>
      <c r="AF156">
        <v>0</v>
      </c>
      <c r="AG156" s="2">
        <v>2.7442129629629632E-2</v>
      </c>
      <c r="AH156" s="2">
        <v>2.7523148148148147E-2</v>
      </c>
      <c r="AI156">
        <v>12</v>
      </c>
      <c r="AJ156">
        <v>28</v>
      </c>
    </row>
    <row r="157" spans="1:36" x14ac:dyDescent="0.25">
      <c r="A157" t="s">
        <v>45</v>
      </c>
      <c r="B157" s="1">
        <v>43985.290393518517</v>
      </c>
      <c r="C157" t="s">
        <v>37</v>
      </c>
      <c r="D157" t="s">
        <v>103</v>
      </c>
      <c r="E157">
        <v>8.8000000000000007</v>
      </c>
      <c r="F157">
        <v>630</v>
      </c>
      <c r="G157" s="2">
        <v>4.3738425925925924E-2</v>
      </c>
      <c r="H157">
        <v>162</v>
      </c>
      <c r="I157">
        <v>188</v>
      </c>
      <c r="J157">
        <v>5</v>
      </c>
      <c r="K157">
        <v>134</v>
      </c>
      <c r="L157">
        <v>174</v>
      </c>
      <c r="M157" s="4">
        <v>0.29791666666666666</v>
      </c>
      <c r="N157" s="4">
        <v>0.14375000000000002</v>
      </c>
      <c r="O157">
        <v>14</v>
      </c>
      <c r="P157">
        <v>17</v>
      </c>
      <c r="Q157">
        <v>1.01</v>
      </c>
      <c r="R157">
        <v>0</v>
      </c>
      <c r="S157">
        <v>0</v>
      </c>
      <c r="T157">
        <v>0</v>
      </c>
      <c r="U157">
        <v>0</v>
      </c>
      <c r="V157">
        <v>0</v>
      </c>
      <c r="W157" t="s">
        <v>39</v>
      </c>
      <c r="X157" t="s">
        <v>39</v>
      </c>
      <c r="Y157" s="2">
        <v>4.3738425925925924E-2</v>
      </c>
      <c r="Z157" s="4">
        <v>0</v>
      </c>
      <c r="AA157">
        <v>0</v>
      </c>
      <c r="AB157" s="4">
        <v>0</v>
      </c>
      <c r="AC157" t="s">
        <v>40</v>
      </c>
      <c r="AD157" t="s">
        <v>229</v>
      </c>
      <c r="AE157">
        <v>22</v>
      </c>
      <c r="AF157">
        <v>0</v>
      </c>
      <c r="AG157" s="2">
        <v>4.3564814814814813E-2</v>
      </c>
      <c r="AH157" s="2">
        <v>4.3738425925925924E-2</v>
      </c>
      <c r="AI157">
        <v>14</v>
      </c>
      <c r="AJ157">
        <v>30</v>
      </c>
    </row>
    <row r="158" spans="1:36" x14ac:dyDescent="0.25">
      <c r="A158" t="s">
        <v>57</v>
      </c>
      <c r="B158" s="1">
        <v>43983.735243055555</v>
      </c>
      <c r="C158" t="s">
        <v>37</v>
      </c>
      <c r="D158" t="s">
        <v>45</v>
      </c>
      <c r="E158">
        <v>0</v>
      </c>
      <c r="F158">
        <v>680</v>
      </c>
      <c r="G158" s="2">
        <v>3.2870370370370376E-2</v>
      </c>
      <c r="H158">
        <v>171</v>
      </c>
      <c r="I158">
        <v>186</v>
      </c>
      <c r="J158" t="s">
        <v>39</v>
      </c>
      <c r="K158" t="s">
        <v>39</v>
      </c>
      <c r="L158" t="s">
        <v>39</v>
      </c>
      <c r="M158" t="s">
        <v>39</v>
      </c>
      <c r="N158" t="s">
        <v>39</v>
      </c>
      <c r="O158" t="s">
        <v>39</v>
      </c>
      <c r="P158" t="s">
        <v>39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 t="s">
        <v>39</v>
      </c>
      <c r="X158" t="s">
        <v>39</v>
      </c>
      <c r="Y158" s="3">
        <v>1.9722222222222223</v>
      </c>
      <c r="Z158" s="4">
        <v>0</v>
      </c>
      <c r="AA158">
        <v>0</v>
      </c>
      <c r="AB158" s="4">
        <v>0</v>
      </c>
      <c r="AC158" t="s">
        <v>40</v>
      </c>
      <c r="AD158" t="s">
        <v>230</v>
      </c>
      <c r="AE158">
        <v>1</v>
      </c>
      <c r="AF158">
        <v>0</v>
      </c>
      <c r="AG158" s="2">
        <v>0</v>
      </c>
      <c r="AH158" s="2">
        <v>3.2870370370370376E-2</v>
      </c>
      <c r="AI158" t="s">
        <v>39</v>
      </c>
      <c r="AJ158" t="s">
        <v>39</v>
      </c>
    </row>
    <row r="159" spans="1:36" x14ac:dyDescent="0.25">
      <c r="A159" t="s">
        <v>45</v>
      </c>
      <c r="B159" s="1">
        <v>43980.746342592596</v>
      </c>
      <c r="C159" t="s">
        <v>37</v>
      </c>
      <c r="D159" t="s">
        <v>45</v>
      </c>
      <c r="E159">
        <v>0</v>
      </c>
      <c r="F159">
        <v>794</v>
      </c>
      <c r="G159" s="2">
        <v>4.2337962962962966E-2</v>
      </c>
      <c r="H159">
        <v>163</v>
      </c>
      <c r="I159">
        <v>181</v>
      </c>
      <c r="J159" t="s">
        <v>39</v>
      </c>
      <c r="K159" t="s">
        <v>39</v>
      </c>
      <c r="L159" t="s">
        <v>39</v>
      </c>
      <c r="M159" t="s">
        <v>39</v>
      </c>
      <c r="N159" t="s">
        <v>39</v>
      </c>
      <c r="O159" t="s">
        <v>39</v>
      </c>
      <c r="P159" t="s">
        <v>39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 t="s">
        <v>39</v>
      </c>
      <c r="X159" t="s">
        <v>39</v>
      </c>
      <c r="Y159" s="2">
        <v>4.2337962962962966E-2</v>
      </c>
      <c r="Z159" s="4">
        <v>0</v>
      </c>
      <c r="AA159">
        <v>0</v>
      </c>
      <c r="AB159" s="4">
        <v>0</v>
      </c>
      <c r="AC159" t="s">
        <v>40</v>
      </c>
      <c r="AD159" t="s">
        <v>230</v>
      </c>
      <c r="AE159">
        <v>1</v>
      </c>
      <c r="AF159">
        <v>0</v>
      </c>
      <c r="AG159" s="2">
        <v>0</v>
      </c>
      <c r="AH159" s="2">
        <v>4.2337962962962966E-2</v>
      </c>
      <c r="AI159" t="s">
        <v>39</v>
      </c>
      <c r="AJ159" t="s">
        <v>39</v>
      </c>
    </row>
    <row r="160" spans="1:36" x14ac:dyDescent="0.25">
      <c r="A160" t="s">
        <v>45</v>
      </c>
      <c r="B160" s="1">
        <v>43978.2891087963</v>
      </c>
      <c r="C160" t="s">
        <v>37</v>
      </c>
      <c r="D160" t="s">
        <v>49</v>
      </c>
      <c r="E160">
        <v>8.58</v>
      </c>
      <c r="F160">
        <v>756</v>
      </c>
      <c r="G160" s="2">
        <v>3.7569444444444447E-2</v>
      </c>
      <c r="H160">
        <v>169</v>
      </c>
      <c r="I160">
        <v>181</v>
      </c>
      <c r="J160" t="s">
        <v>39</v>
      </c>
      <c r="K160" t="s">
        <v>39</v>
      </c>
      <c r="L160" t="s">
        <v>39</v>
      </c>
      <c r="M160" s="4">
        <v>0.26319444444444445</v>
      </c>
      <c r="N160" s="4">
        <v>0.13055555555555556</v>
      </c>
      <c r="O160">
        <v>95</v>
      </c>
      <c r="P160">
        <v>100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 t="s">
        <v>39</v>
      </c>
      <c r="X160" t="s">
        <v>39</v>
      </c>
      <c r="Y160" s="3">
        <v>2.2541666666666669</v>
      </c>
      <c r="Z160" s="4">
        <v>0</v>
      </c>
      <c r="AA160">
        <v>0</v>
      </c>
      <c r="AB160" s="4">
        <v>0</v>
      </c>
      <c r="AC160" t="s">
        <v>40</v>
      </c>
      <c r="AD160" t="s">
        <v>230</v>
      </c>
      <c r="AE160">
        <v>1</v>
      </c>
      <c r="AF160">
        <v>0</v>
      </c>
      <c r="AG160" s="2">
        <v>3.6608796296296299E-2</v>
      </c>
      <c r="AH160" s="2">
        <v>3.892361111111111E-2</v>
      </c>
      <c r="AI160">
        <v>12</v>
      </c>
      <c r="AJ160">
        <v>56</v>
      </c>
    </row>
    <row r="161" spans="1:36" x14ac:dyDescent="0.25">
      <c r="A161" t="s">
        <v>45</v>
      </c>
      <c r="B161" s="1">
        <v>43976.299791666665</v>
      </c>
      <c r="C161" t="s">
        <v>37</v>
      </c>
      <c r="D161" t="s">
        <v>49</v>
      </c>
      <c r="E161">
        <v>1.9</v>
      </c>
      <c r="F161">
        <v>147</v>
      </c>
      <c r="G161" s="2">
        <v>1.3194444444444444E-2</v>
      </c>
      <c r="H161">
        <v>128</v>
      </c>
      <c r="I161">
        <v>143</v>
      </c>
      <c r="J161" t="s">
        <v>39</v>
      </c>
      <c r="K161" t="s">
        <v>39</v>
      </c>
      <c r="L161" t="s">
        <v>39</v>
      </c>
      <c r="M161" s="4">
        <v>0.41736111111111113</v>
      </c>
      <c r="N161" s="4">
        <v>0.35555555555555557</v>
      </c>
      <c r="O161">
        <v>15</v>
      </c>
      <c r="P161">
        <v>5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 t="s">
        <v>39</v>
      </c>
      <c r="X161" t="s">
        <v>39</v>
      </c>
      <c r="Y161" s="4">
        <v>0.79166666666666663</v>
      </c>
      <c r="Z161" s="4">
        <v>0</v>
      </c>
      <c r="AA161">
        <v>0</v>
      </c>
      <c r="AB161" s="4">
        <v>0</v>
      </c>
      <c r="AC161" t="s">
        <v>40</v>
      </c>
      <c r="AD161" t="s">
        <v>230</v>
      </c>
      <c r="AE161">
        <v>1</v>
      </c>
      <c r="AF161">
        <v>0</v>
      </c>
      <c r="AG161" s="2">
        <v>1.3194444444444444E-2</v>
      </c>
      <c r="AH161" s="2">
        <v>1.3194444444444444E-2</v>
      </c>
      <c r="AI161">
        <v>12</v>
      </c>
      <c r="AJ161">
        <v>28</v>
      </c>
    </row>
    <row r="162" spans="1:36" x14ac:dyDescent="0.25">
      <c r="A162" t="s">
        <v>45</v>
      </c>
      <c r="B162" s="1">
        <v>43976.295937499999</v>
      </c>
      <c r="C162" t="s">
        <v>37</v>
      </c>
      <c r="D162" t="s">
        <v>49</v>
      </c>
      <c r="E162">
        <v>1</v>
      </c>
      <c r="F162">
        <v>64</v>
      </c>
      <c r="G162" s="6">
        <v>3.0347222222222221E-3</v>
      </c>
      <c r="H162">
        <v>174</v>
      </c>
      <c r="I162">
        <v>180</v>
      </c>
      <c r="J162" t="s">
        <v>39</v>
      </c>
      <c r="K162" t="s">
        <v>39</v>
      </c>
      <c r="L162" t="s">
        <v>39</v>
      </c>
      <c r="M162" s="4">
        <v>0.18194444444444444</v>
      </c>
      <c r="N162" s="4">
        <v>0.16250000000000001</v>
      </c>
      <c r="O162">
        <v>1</v>
      </c>
      <c r="P162" t="s">
        <v>39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 t="s">
        <v>39</v>
      </c>
      <c r="X162" t="s">
        <v>39</v>
      </c>
      <c r="Y162" s="6">
        <v>3.0347222222222221E-3</v>
      </c>
      <c r="Z162" s="4">
        <v>0</v>
      </c>
      <c r="AA162">
        <v>0</v>
      </c>
      <c r="AB162" s="4">
        <v>0</v>
      </c>
      <c r="AC162" t="s">
        <v>40</v>
      </c>
      <c r="AD162" t="s">
        <v>230</v>
      </c>
      <c r="AE162">
        <v>1</v>
      </c>
      <c r="AF162">
        <v>0</v>
      </c>
      <c r="AG162" s="2">
        <v>3.0324074074074073E-3</v>
      </c>
      <c r="AH162" s="6">
        <v>3.0347222222222221E-3</v>
      </c>
      <c r="AI162">
        <v>12</v>
      </c>
      <c r="AJ162">
        <v>16</v>
      </c>
    </row>
    <row r="163" spans="1:36" x14ac:dyDescent="0.25">
      <c r="A163" t="s">
        <v>45</v>
      </c>
      <c r="B163" s="1">
        <v>43976.286527777775</v>
      </c>
      <c r="C163" t="s">
        <v>37</v>
      </c>
      <c r="D163" t="s">
        <v>49</v>
      </c>
      <c r="E163">
        <v>1.46</v>
      </c>
      <c r="F163">
        <v>80</v>
      </c>
      <c r="G163" s="2">
        <v>8.9814814814814809E-3</v>
      </c>
      <c r="H163">
        <v>118</v>
      </c>
      <c r="I163">
        <v>160</v>
      </c>
      <c r="J163" t="s">
        <v>39</v>
      </c>
      <c r="K163" t="s">
        <v>39</v>
      </c>
      <c r="L163" t="s">
        <v>39</v>
      </c>
      <c r="M163" s="4">
        <v>0.36944444444444446</v>
      </c>
      <c r="N163" s="4">
        <v>0.24444444444444446</v>
      </c>
      <c r="O163">
        <v>3</v>
      </c>
      <c r="P163">
        <v>17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 t="s">
        <v>39</v>
      </c>
      <c r="X163" t="s">
        <v>39</v>
      </c>
      <c r="Y163" s="4">
        <v>0.53888888888888886</v>
      </c>
      <c r="Z163" s="4">
        <v>0</v>
      </c>
      <c r="AA163">
        <v>0</v>
      </c>
      <c r="AB163" s="4">
        <v>0</v>
      </c>
      <c r="AC163" t="s">
        <v>40</v>
      </c>
      <c r="AD163" t="s">
        <v>230</v>
      </c>
      <c r="AE163">
        <v>1</v>
      </c>
      <c r="AF163">
        <v>0</v>
      </c>
      <c r="AG163" s="2">
        <v>8.9814814814814809E-3</v>
      </c>
      <c r="AH163" s="2">
        <v>8.9814814814814809E-3</v>
      </c>
      <c r="AI163">
        <v>12</v>
      </c>
      <c r="AJ163">
        <v>26</v>
      </c>
    </row>
    <row r="164" spans="1:36" x14ac:dyDescent="0.25">
      <c r="A164" t="s">
        <v>57</v>
      </c>
      <c r="B164" s="1">
        <v>43973.680659722224</v>
      </c>
      <c r="C164" t="s">
        <v>37</v>
      </c>
      <c r="D164" t="s">
        <v>45</v>
      </c>
      <c r="E164">
        <v>0</v>
      </c>
      <c r="F164">
        <v>627</v>
      </c>
      <c r="G164" s="2">
        <v>3.4236111111111113E-2</v>
      </c>
      <c r="H164">
        <v>161</v>
      </c>
      <c r="I164">
        <v>190</v>
      </c>
      <c r="J164" t="s">
        <v>39</v>
      </c>
      <c r="K164" t="s">
        <v>39</v>
      </c>
      <c r="L164" t="s">
        <v>39</v>
      </c>
      <c r="M164" t="s">
        <v>39</v>
      </c>
      <c r="N164" t="s">
        <v>39</v>
      </c>
      <c r="O164" t="s">
        <v>39</v>
      </c>
      <c r="P164" t="s">
        <v>39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 t="s">
        <v>39</v>
      </c>
      <c r="X164" t="s">
        <v>39</v>
      </c>
      <c r="Y164" s="3">
        <v>2.0541666666666667</v>
      </c>
      <c r="Z164" s="4">
        <v>0</v>
      </c>
      <c r="AA164">
        <v>0</v>
      </c>
      <c r="AB164" s="4">
        <v>0</v>
      </c>
      <c r="AC164" t="s">
        <v>40</v>
      </c>
      <c r="AD164" t="s">
        <v>230</v>
      </c>
      <c r="AE164">
        <v>1</v>
      </c>
      <c r="AF164">
        <v>0</v>
      </c>
      <c r="AG164" s="2">
        <v>0</v>
      </c>
      <c r="AH164" s="2">
        <v>3.4236111111111113E-2</v>
      </c>
      <c r="AI164" t="s">
        <v>39</v>
      </c>
      <c r="AJ164" t="s">
        <v>39</v>
      </c>
    </row>
    <row r="165" spans="1:36" x14ac:dyDescent="0.25">
      <c r="A165" t="s">
        <v>45</v>
      </c>
      <c r="B165" s="1">
        <v>43971.724062499998</v>
      </c>
      <c r="C165" t="s">
        <v>37</v>
      </c>
      <c r="D165" t="s">
        <v>49</v>
      </c>
      <c r="E165">
        <v>5.9</v>
      </c>
      <c r="F165">
        <v>516</v>
      </c>
      <c r="G165" s="2">
        <v>2.4710648148148148E-2</v>
      </c>
      <c r="H165">
        <v>172</v>
      </c>
      <c r="I165">
        <v>185</v>
      </c>
      <c r="J165" t="s">
        <v>39</v>
      </c>
      <c r="K165" t="s">
        <v>39</v>
      </c>
      <c r="L165" t="s">
        <v>39</v>
      </c>
      <c r="M165" s="4">
        <v>0.25138888888888888</v>
      </c>
      <c r="N165" s="4">
        <v>0.21180555555555555</v>
      </c>
      <c r="O165">
        <v>64</v>
      </c>
      <c r="P165">
        <v>68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 t="s">
        <v>39</v>
      </c>
      <c r="X165" t="s">
        <v>39</v>
      </c>
      <c r="Y165" s="3">
        <v>1.4826388888888891</v>
      </c>
      <c r="Z165" s="4">
        <v>0</v>
      </c>
      <c r="AA165">
        <v>0</v>
      </c>
      <c r="AB165" s="4">
        <v>0</v>
      </c>
      <c r="AC165" t="s">
        <v>40</v>
      </c>
      <c r="AD165" t="s">
        <v>230</v>
      </c>
      <c r="AE165">
        <v>1</v>
      </c>
      <c r="AF165">
        <v>0</v>
      </c>
      <c r="AG165" s="2">
        <v>2.4641203703703703E-2</v>
      </c>
      <c r="AH165" s="2">
        <v>2.4710648148148148E-2</v>
      </c>
      <c r="AI165">
        <v>12</v>
      </c>
      <c r="AJ165">
        <v>56</v>
      </c>
    </row>
    <row r="166" spans="1:36" x14ac:dyDescent="0.25">
      <c r="A166" t="s">
        <v>45</v>
      </c>
      <c r="B166" s="1">
        <v>43968.358043981483</v>
      </c>
      <c r="C166" t="s">
        <v>37</v>
      </c>
      <c r="D166" t="s">
        <v>49</v>
      </c>
      <c r="E166">
        <v>13.51</v>
      </c>
      <c r="F166" s="5">
        <v>1185</v>
      </c>
      <c r="G166" s="2">
        <v>5.9687500000000004E-2</v>
      </c>
      <c r="H166">
        <v>168</v>
      </c>
      <c r="I166">
        <v>204</v>
      </c>
      <c r="J166" t="s">
        <v>39</v>
      </c>
      <c r="K166" t="s">
        <v>39</v>
      </c>
      <c r="L166" t="s">
        <v>39</v>
      </c>
      <c r="M166" s="4">
        <v>0.26527777777777778</v>
      </c>
      <c r="N166" s="4">
        <v>9.0972222222222218E-2</v>
      </c>
      <c r="O166">
        <v>221</v>
      </c>
      <c r="P166">
        <v>225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 t="s">
        <v>39</v>
      </c>
      <c r="X166" t="s">
        <v>39</v>
      </c>
      <c r="Y166" s="2">
        <v>5.9687500000000004E-2</v>
      </c>
      <c r="Z166" s="4">
        <v>0</v>
      </c>
      <c r="AA166">
        <v>0</v>
      </c>
      <c r="AB166" s="4">
        <v>0</v>
      </c>
      <c r="AC166" t="s">
        <v>40</v>
      </c>
      <c r="AD166" t="s">
        <v>230</v>
      </c>
      <c r="AE166">
        <v>1</v>
      </c>
      <c r="AF166">
        <v>0</v>
      </c>
      <c r="AG166" s="2">
        <v>5.9687500000000004E-2</v>
      </c>
      <c r="AH166" s="2">
        <v>5.9687500000000004E-2</v>
      </c>
      <c r="AI166">
        <v>20</v>
      </c>
      <c r="AJ166">
        <v>117</v>
      </c>
    </row>
    <row r="167" spans="1:36" x14ac:dyDescent="0.25">
      <c r="A167" t="s">
        <v>57</v>
      </c>
      <c r="B167" s="1">
        <v>43966.755636574075</v>
      </c>
      <c r="C167" t="s">
        <v>37</v>
      </c>
      <c r="D167" t="s">
        <v>45</v>
      </c>
      <c r="E167">
        <v>0</v>
      </c>
      <c r="F167">
        <v>557</v>
      </c>
      <c r="G167" s="2">
        <v>2.7916666666666669E-2</v>
      </c>
      <c r="H167">
        <v>168</v>
      </c>
      <c r="I167">
        <v>180</v>
      </c>
      <c r="J167" t="s">
        <v>39</v>
      </c>
      <c r="K167" t="s">
        <v>39</v>
      </c>
      <c r="L167" t="s">
        <v>39</v>
      </c>
      <c r="M167" t="s">
        <v>39</v>
      </c>
      <c r="N167" t="s">
        <v>39</v>
      </c>
      <c r="O167" t="s">
        <v>39</v>
      </c>
      <c r="P167" t="s">
        <v>39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 t="s">
        <v>39</v>
      </c>
      <c r="X167" t="s">
        <v>39</v>
      </c>
      <c r="Y167" s="3">
        <v>1.675</v>
      </c>
      <c r="Z167" s="4">
        <v>0</v>
      </c>
      <c r="AA167">
        <v>0</v>
      </c>
      <c r="AB167" s="4">
        <v>0</v>
      </c>
      <c r="AC167" t="s">
        <v>40</v>
      </c>
      <c r="AD167" t="s">
        <v>230</v>
      </c>
      <c r="AE167">
        <v>1</v>
      </c>
      <c r="AF167">
        <v>0</v>
      </c>
      <c r="AG167" s="2">
        <v>0</v>
      </c>
      <c r="AH167" s="2">
        <v>2.7916666666666669E-2</v>
      </c>
      <c r="AI167" t="s">
        <v>39</v>
      </c>
      <c r="AJ167" t="s">
        <v>39</v>
      </c>
    </row>
    <row r="168" spans="1:36" x14ac:dyDescent="0.25">
      <c r="A168" t="s">
        <v>57</v>
      </c>
      <c r="B168" s="1">
        <v>43964.791087962964</v>
      </c>
      <c r="C168" t="s">
        <v>37</v>
      </c>
      <c r="D168" t="s">
        <v>45</v>
      </c>
      <c r="E168">
        <v>0</v>
      </c>
      <c r="F168">
        <v>608</v>
      </c>
      <c r="G168" s="2">
        <v>3.2245370370370369E-2</v>
      </c>
      <c r="H168">
        <v>163</v>
      </c>
      <c r="I168">
        <v>187</v>
      </c>
      <c r="J168" t="s">
        <v>39</v>
      </c>
      <c r="K168" t="s">
        <v>39</v>
      </c>
      <c r="L168" t="s">
        <v>39</v>
      </c>
      <c r="M168" t="s">
        <v>39</v>
      </c>
      <c r="N168" t="s">
        <v>39</v>
      </c>
      <c r="O168" t="s">
        <v>39</v>
      </c>
      <c r="P168" t="s">
        <v>39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 t="s">
        <v>39</v>
      </c>
      <c r="X168" t="s">
        <v>39</v>
      </c>
      <c r="Y168" s="3">
        <v>1.934722222222222</v>
      </c>
      <c r="Z168" s="4">
        <v>0</v>
      </c>
      <c r="AA168">
        <v>0</v>
      </c>
      <c r="AB168" s="4">
        <v>0</v>
      </c>
      <c r="AC168" t="s">
        <v>40</v>
      </c>
      <c r="AD168" t="s">
        <v>230</v>
      </c>
      <c r="AE168">
        <v>1</v>
      </c>
      <c r="AF168">
        <v>0</v>
      </c>
      <c r="AG168" s="2">
        <v>0</v>
      </c>
      <c r="AH168" s="2">
        <v>3.2245370370370369E-2</v>
      </c>
      <c r="AI168" t="s">
        <v>39</v>
      </c>
      <c r="AJ168" t="s">
        <v>39</v>
      </c>
    </row>
    <row r="169" spans="1:36" x14ac:dyDescent="0.25">
      <c r="A169" t="s">
        <v>36</v>
      </c>
      <c r="B169" s="1">
        <v>43963.288541666669</v>
      </c>
      <c r="C169" t="s">
        <v>37</v>
      </c>
      <c r="D169" t="s">
        <v>231</v>
      </c>
      <c r="E169">
        <v>0</v>
      </c>
      <c r="F169">
        <v>331</v>
      </c>
      <c r="G169" s="2">
        <v>4.0069444444444442E-2</v>
      </c>
      <c r="H169">
        <v>115</v>
      </c>
      <c r="I169">
        <v>152</v>
      </c>
      <c r="J169" t="s">
        <v>39</v>
      </c>
      <c r="K169" t="s">
        <v>39</v>
      </c>
      <c r="L169" t="s">
        <v>39</v>
      </c>
      <c r="M169" t="s">
        <v>39</v>
      </c>
      <c r="N169" t="s">
        <v>39</v>
      </c>
      <c r="O169" t="s">
        <v>39</v>
      </c>
      <c r="P169" t="s">
        <v>39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 t="s">
        <v>39</v>
      </c>
      <c r="X169" t="s">
        <v>39</v>
      </c>
      <c r="Y169" s="3">
        <v>2.4041666666666668</v>
      </c>
      <c r="Z169" s="4">
        <v>0</v>
      </c>
      <c r="AA169">
        <v>0</v>
      </c>
      <c r="AB169" s="4">
        <v>0</v>
      </c>
      <c r="AC169" t="s">
        <v>40</v>
      </c>
      <c r="AD169" t="s">
        <v>230</v>
      </c>
      <c r="AE169">
        <v>1</v>
      </c>
      <c r="AF169">
        <v>0</v>
      </c>
      <c r="AG169" s="2">
        <v>0</v>
      </c>
      <c r="AH169" s="2">
        <v>4.0069444444444442E-2</v>
      </c>
      <c r="AI169" t="s">
        <v>39</v>
      </c>
      <c r="AJ169" t="s">
        <v>39</v>
      </c>
    </row>
    <row r="170" spans="1:36" x14ac:dyDescent="0.25">
      <c r="A170" t="s">
        <v>45</v>
      </c>
      <c r="B170" s="1">
        <v>43962.291493055556</v>
      </c>
      <c r="C170" t="s">
        <v>37</v>
      </c>
      <c r="D170" t="s">
        <v>49</v>
      </c>
      <c r="E170">
        <v>6.02</v>
      </c>
      <c r="F170">
        <v>473</v>
      </c>
      <c r="G170" s="2">
        <v>2.4247685185185181E-2</v>
      </c>
      <c r="H170">
        <v>166</v>
      </c>
      <c r="I170">
        <v>183</v>
      </c>
      <c r="J170" t="s">
        <v>39</v>
      </c>
      <c r="K170" t="s">
        <v>39</v>
      </c>
      <c r="L170" t="s">
        <v>39</v>
      </c>
      <c r="M170" s="4">
        <v>0.24166666666666667</v>
      </c>
      <c r="N170" s="4">
        <v>9.1666666666666674E-2</v>
      </c>
      <c r="O170">
        <v>63</v>
      </c>
      <c r="P170">
        <v>67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 t="s">
        <v>39</v>
      </c>
      <c r="X170" t="s">
        <v>39</v>
      </c>
      <c r="Y170" s="3">
        <v>1.4548611111111109</v>
      </c>
      <c r="Z170" s="4">
        <v>0</v>
      </c>
      <c r="AA170">
        <v>0</v>
      </c>
      <c r="AB170" s="4">
        <v>0</v>
      </c>
      <c r="AC170" t="s">
        <v>40</v>
      </c>
      <c r="AD170" t="s">
        <v>232</v>
      </c>
      <c r="AE170">
        <v>4</v>
      </c>
      <c r="AF170">
        <v>0</v>
      </c>
      <c r="AG170" s="2">
        <v>2.2361111111111113E-2</v>
      </c>
      <c r="AH170" s="2">
        <v>2.4247685185185181E-2</v>
      </c>
      <c r="AI170">
        <v>22</v>
      </c>
      <c r="AJ170">
        <v>55</v>
      </c>
    </row>
    <row r="171" spans="1:36" x14ac:dyDescent="0.25">
      <c r="A171" t="s">
        <v>45</v>
      </c>
      <c r="B171" s="1">
        <v>43961.372789351852</v>
      </c>
      <c r="C171" t="s">
        <v>37</v>
      </c>
      <c r="D171" t="s">
        <v>49</v>
      </c>
      <c r="E171">
        <v>12.82</v>
      </c>
      <c r="F171" s="5">
        <v>1125</v>
      </c>
      <c r="G171" s="2">
        <v>5.4803240740740743E-2</v>
      </c>
      <c r="H171">
        <v>171</v>
      </c>
      <c r="I171">
        <v>182</v>
      </c>
      <c r="J171" t="s">
        <v>39</v>
      </c>
      <c r="K171" t="s">
        <v>39</v>
      </c>
      <c r="L171" t="s">
        <v>39</v>
      </c>
      <c r="M171" s="4">
        <v>0.25625000000000003</v>
      </c>
      <c r="N171" s="4">
        <v>9.930555555555555E-2</v>
      </c>
      <c r="O171">
        <v>188</v>
      </c>
      <c r="P171">
        <v>192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 t="s">
        <v>39</v>
      </c>
      <c r="X171" t="s">
        <v>39</v>
      </c>
      <c r="Y171" s="2">
        <v>5.4803240740740743E-2</v>
      </c>
      <c r="Z171" s="4">
        <v>0</v>
      </c>
      <c r="AA171">
        <v>0</v>
      </c>
      <c r="AB171" s="4">
        <v>0</v>
      </c>
      <c r="AC171" t="s">
        <v>40</v>
      </c>
      <c r="AD171" t="s">
        <v>230</v>
      </c>
      <c r="AE171">
        <v>1</v>
      </c>
      <c r="AF171">
        <v>0</v>
      </c>
      <c r="AG171" s="2">
        <v>5.4803240740740743E-2</v>
      </c>
      <c r="AH171" s="2">
        <v>5.4803240740740743E-2</v>
      </c>
      <c r="AI171">
        <v>20</v>
      </c>
      <c r="AJ171">
        <v>117</v>
      </c>
    </row>
    <row r="172" spans="1:36" x14ac:dyDescent="0.25">
      <c r="A172" t="s">
        <v>45</v>
      </c>
      <c r="B172" s="1">
        <v>43959.284583333334</v>
      </c>
      <c r="C172" t="s">
        <v>37</v>
      </c>
      <c r="D172" t="s">
        <v>49</v>
      </c>
      <c r="E172">
        <v>4.71</v>
      </c>
      <c r="F172">
        <v>538</v>
      </c>
      <c r="G172" s="2">
        <v>2.8900462962962961E-2</v>
      </c>
      <c r="H172">
        <v>164</v>
      </c>
      <c r="I172">
        <v>184</v>
      </c>
      <c r="J172" t="s">
        <v>39</v>
      </c>
      <c r="K172" t="s">
        <v>39</v>
      </c>
      <c r="L172" t="s">
        <v>39</v>
      </c>
      <c r="M172" s="4">
        <v>0.36805555555555558</v>
      </c>
      <c r="N172" s="4">
        <v>4.1666666666666664E-2</v>
      </c>
      <c r="O172">
        <v>75</v>
      </c>
      <c r="P172">
        <v>75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 t="s">
        <v>39</v>
      </c>
      <c r="X172" t="s">
        <v>39</v>
      </c>
      <c r="Y172" s="3">
        <v>1.7340277777777777</v>
      </c>
      <c r="Z172" s="4">
        <v>0</v>
      </c>
      <c r="AA172">
        <v>0</v>
      </c>
      <c r="AB172" s="4">
        <v>0</v>
      </c>
      <c r="AC172" t="s">
        <v>40</v>
      </c>
      <c r="AD172" t="s">
        <v>233</v>
      </c>
      <c r="AE172">
        <v>21</v>
      </c>
      <c r="AF172">
        <v>0</v>
      </c>
      <c r="AG172" s="2">
        <v>2.5046296296296299E-2</v>
      </c>
      <c r="AH172" s="2">
        <v>2.8900462962962961E-2</v>
      </c>
      <c r="AI172">
        <v>18</v>
      </c>
      <c r="AJ172">
        <v>36</v>
      </c>
    </row>
    <row r="173" spans="1:36" x14ac:dyDescent="0.25">
      <c r="A173" t="s">
        <v>36</v>
      </c>
      <c r="B173" s="1">
        <v>43958.778483796297</v>
      </c>
      <c r="C173" t="s">
        <v>37</v>
      </c>
      <c r="D173" t="s">
        <v>231</v>
      </c>
      <c r="E173">
        <v>0</v>
      </c>
      <c r="F173">
        <v>290</v>
      </c>
      <c r="G173" s="2">
        <v>3.6759259259259255E-2</v>
      </c>
      <c r="H173">
        <v>113</v>
      </c>
      <c r="I173">
        <v>158</v>
      </c>
      <c r="J173" t="s">
        <v>39</v>
      </c>
      <c r="K173" t="s">
        <v>39</v>
      </c>
      <c r="L173" t="s">
        <v>39</v>
      </c>
      <c r="M173" t="s">
        <v>39</v>
      </c>
      <c r="N173" t="s">
        <v>39</v>
      </c>
      <c r="O173" t="s">
        <v>39</v>
      </c>
      <c r="P173" t="s">
        <v>39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 t="s">
        <v>39</v>
      </c>
      <c r="X173" t="s">
        <v>39</v>
      </c>
      <c r="Y173" s="3">
        <v>2.2055555555555553</v>
      </c>
      <c r="Z173" s="4">
        <v>0</v>
      </c>
      <c r="AA173">
        <v>0</v>
      </c>
      <c r="AB173" s="4">
        <v>0</v>
      </c>
      <c r="AC173" t="s">
        <v>40</v>
      </c>
      <c r="AD173" t="s">
        <v>230</v>
      </c>
      <c r="AE173">
        <v>1</v>
      </c>
      <c r="AF173">
        <v>0</v>
      </c>
      <c r="AG173" s="2">
        <v>0</v>
      </c>
      <c r="AH173" s="2">
        <v>3.6759259259259255E-2</v>
      </c>
      <c r="AI173" t="s">
        <v>39</v>
      </c>
      <c r="AJ173" t="s">
        <v>39</v>
      </c>
    </row>
    <row r="174" spans="1:36" x14ac:dyDescent="0.25">
      <c r="A174" t="s">
        <v>45</v>
      </c>
      <c r="B174" s="1">
        <v>43957.278900462959</v>
      </c>
      <c r="C174" t="s">
        <v>37</v>
      </c>
      <c r="D174" t="s">
        <v>49</v>
      </c>
      <c r="E174">
        <v>9.24</v>
      </c>
      <c r="F174">
        <v>822</v>
      </c>
      <c r="G174" s="2">
        <v>3.923611111111111E-2</v>
      </c>
      <c r="H174">
        <v>173</v>
      </c>
      <c r="I174">
        <v>184</v>
      </c>
      <c r="J174" t="s">
        <v>39</v>
      </c>
      <c r="K174" t="s">
        <v>39</v>
      </c>
      <c r="L174" t="s">
        <v>39</v>
      </c>
      <c r="M174" s="4">
        <v>0.25486111111111109</v>
      </c>
      <c r="N174" s="4">
        <v>0.16874999999999998</v>
      </c>
      <c r="O174">
        <v>104</v>
      </c>
      <c r="P174">
        <v>107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 t="s">
        <v>39</v>
      </c>
      <c r="X174" t="s">
        <v>39</v>
      </c>
      <c r="Y174" s="3">
        <v>2.3541666666666665</v>
      </c>
      <c r="Z174" s="4">
        <v>0</v>
      </c>
      <c r="AA174">
        <v>0</v>
      </c>
      <c r="AB174" s="4">
        <v>0</v>
      </c>
      <c r="AC174" t="s">
        <v>40</v>
      </c>
      <c r="AD174" t="s">
        <v>234</v>
      </c>
      <c r="AE174">
        <v>10</v>
      </c>
      <c r="AF174">
        <v>0</v>
      </c>
      <c r="AG174" s="2">
        <v>3.9212962962962963E-2</v>
      </c>
      <c r="AH174" s="2">
        <v>3.923611111111111E-2</v>
      </c>
      <c r="AI174">
        <v>12</v>
      </c>
      <c r="AJ174">
        <v>56</v>
      </c>
    </row>
    <row r="175" spans="1:36" x14ac:dyDescent="0.25">
      <c r="A175" t="s">
        <v>36</v>
      </c>
      <c r="B175" s="1">
        <v>43956.271631944444</v>
      </c>
      <c r="C175" t="s">
        <v>37</v>
      </c>
      <c r="D175" t="s">
        <v>231</v>
      </c>
      <c r="E175">
        <v>0</v>
      </c>
      <c r="F175">
        <v>212</v>
      </c>
      <c r="G175" s="2">
        <v>4.1932870370370377E-2</v>
      </c>
      <c r="H175">
        <v>100</v>
      </c>
      <c r="I175">
        <v>122</v>
      </c>
      <c r="J175" t="s">
        <v>39</v>
      </c>
      <c r="K175" t="s">
        <v>39</v>
      </c>
      <c r="L175" t="s">
        <v>39</v>
      </c>
      <c r="M175" t="s">
        <v>39</v>
      </c>
      <c r="N175" t="s">
        <v>39</v>
      </c>
      <c r="O175" t="s">
        <v>39</v>
      </c>
      <c r="P175" t="s">
        <v>39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 t="s">
        <v>39</v>
      </c>
      <c r="X175" t="s">
        <v>39</v>
      </c>
      <c r="Y175" s="2">
        <v>4.1932870370370377E-2</v>
      </c>
      <c r="Z175" s="4">
        <v>0</v>
      </c>
      <c r="AA175">
        <v>0</v>
      </c>
      <c r="AB175" s="4">
        <v>0</v>
      </c>
      <c r="AC175" t="s">
        <v>40</v>
      </c>
      <c r="AD175" t="s">
        <v>230</v>
      </c>
      <c r="AE175">
        <v>1</v>
      </c>
      <c r="AF175">
        <v>0</v>
      </c>
      <c r="AG175" s="2">
        <v>0</v>
      </c>
      <c r="AH175" s="2">
        <v>4.1932870370370377E-2</v>
      </c>
      <c r="AI175" t="s">
        <v>39</v>
      </c>
      <c r="AJ175" t="s">
        <v>39</v>
      </c>
    </row>
    <row r="176" spans="1:36" x14ac:dyDescent="0.25">
      <c r="A176" t="s">
        <v>45</v>
      </c>
      <c r="B176" s="1">
        <v>43955.733194444445</v>
      </c>
      <c r="C176" t="s">
        <v>37</v>
      </c>
      <c r="D176" t="s">
        <v>49</v>
      </c>
      <c r="E176">
        <v>6</v>
      </c>
      <c r="F176">
        <v>503</v>
      </c>
      <c r="G176" s="2">
        <v>2.5624999999999998E-2</v>
      </c>
      <c r="H176">
        <v>167</v>
      </c>
      <c r="I176">
        <v>183</v>
      </c>
      <c r="J176" t="s">
        <v>39</v>
      </c>
      <c r="K176" t="s">
        <v>39</v>
      </c>
      <c r="L176" t="s">
        <v>39</v>
      </c>
      <c r="M176" s="4">
        <v>0.25625000000000003</v>
      </c>
      <c r="N176" s="4">
        <v>7.5694444444444439E-2</v>
      </c>
      <c r="O176">
        <v>65</v>
      </c>
      <c r="P176">
        <v>69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 t="s">
        <v>39</v>
      </c>
      <c r="X176" t="s">
        <v>39</v>
      </c>
      <c r="Y176" s="3">
        <v>1.5374999999999999</v>
      </c>
      <c r="Z176" s="4">
        <v>0</v>
      </c>
      <c r="AA176">
        <v>0</v>
      </c>
      <c r="AB176" s="4">
        <v>0</v>
      </c>
      <c r="AC176" t="s">
        <v>40</v>
      </c>
      <c r="AD176" t="s">
        <v>235</v>
      </c>
      <c r="AE176">
        <v>5</v>
      </c>
      <c r="AF176">
        <v>0</v>
      </c>
      <c r="AG176" s="2">
        <v>2.2881944444444444E-2</v>
      </c>
      <c r="AH176" s="2">
        <v>2.5624999999999998E-2</v>
      </c>
      <c r="AI176">
        <v>22</v>
      </c>
      <c r="AJ176">
        <v>55</v>
      </c>
    </row>
    <row r="177" spans="1:36" x14ac:dyDescent="0.25">
      <c r="A177" t="s">
        <v>45</v>
      </c>
      <c r="B177" s="1">
        <v>43954.364861111113</v>
      </c>
      <c r="C177" t="s">
        <v>37</v>
      </c>
      <c r="D177" t="s">
        <v>49</v>
      </c>
      <c r="E177">
        <v>10.3</v>
      </c>
      <c r="F177">
        <v>860</v>
      </c>
      <c r="G177" s="2">
        <v>4.1678240740740745E-2</v>
      </c>
      <c r="H177">
        <v>172</v>
      </c>
      <c r="I177">
        <v>184</v>
      </c>
      <c r="J177" t="s">
        <v>39</v>
      </c>
      <c r="K177" t="s">
        <v>39</v>
      </c>
      <c r="L177" t="s">
        <v>39</v>
      </c>
      <c r="M177" s="4">
        <v>0.24305555555555555</v>
      </c>
      <c r="N177" s="4">
        <v>0.13680555555555554</v>
      </c>
      <c r="O177">
        <v>110</v>
      </c>
      <c r="P177">
        <v>109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 t="s">
        <v>39</v>
      </c>
      <c r="X177" t="s">
        <v>39</v>
      </c>
      <c r="Y177" s="2">
        <v>4.1678240740740745E-2</v>
      </c>
      <c r="Z177" s="4">
        <v>0</v>
      </c>
      <c r="AA177">
        <v>0</v>
      </c>
      <c r="AB177" s="4">
        <v>0</v>
      </c>
      <c r="AC177" t="s">
        <v>40</v>
      </c>
      <c r="AD177" t="s">
        <v>236</v>
      </c>
      <c r="AE177">
        <v>11</v>
      </c>
      <c r="AF177">
        <v>0</v>
      </c>
      <c r="AG177" s="2">
        <v>4.1643518518518517E-2</v>
      </c>
      <c r="AH177" s="2">
        <v>4.1678240740740745E-2</v>
      </c>
      <c r="AI177">
        <v>14</v>
      </c>
      <c r="AJ177">
        <v>60</v>
      </c>
    </row>
    <row r="178" spans="1:36" x14ac:dyDescent="0.25">
      <c r="A178" t="s">
        <v>45</v>
      </c>
      <c r="B178" s="1">
        <v>43952.348043981481</v>
      </c>
      <c r="C178" t="s">
        <v>37</v>
      </c>
      <c r="D178" t="s">
        <v>49</v>
      </c>
      <c r="E178">
        <v>11.6</v>
      </c>
      <c r="F178" s="5">
        <v>1036</v>
      </c>
      <c r="G178" s="2">
        <v>5.0439814814814819E-2</v>
      </c>
      <c r="H178">
        <v>171</v>
      </c>
      <c r="I178">
        <v>183</v>
      </c>
      <c r="J178" t="s">
        <v>39</v>
      </c>
      <c r="K178" t="s">
        <v>39</v>
      </c>
      <c r="L178" t="s">
        <v>39</v>
      </c>
      <c r="M178" s="4">
        <v>0.26111111111111113</v>
      </c>
      <c r="N178" s="4">
        <v>0.19166666666666665</v>
      </c>
      <c r="O178">
        <v>178</v>
      </c>
      <c r="P178">
        <v>184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 t="s">
        <v>39</v>
      </c>
      <c r="X178" t="s">
        <v>39</v>
      </c>
      <c r="Y178" s="2">
        <v>5.0439814814814819E-2</v>
      </c>
      <c r="Z178" s="4">
        <v>0</v>
      </c>
      <c r="AA178">
        <v>0</v>
      </c>
      <c r="AB178" s="4">
        <v>0</v>
      </c>
      <c r="AC178" t="s">
        <v>40</v>
      </c>
      <c r="AD178" t="s">
        <v>230</v>
      </c>
      <c r="AE178">
        <v>1</v>
      </c>
      <c r="AF178">
        <v>0</v>
      </c>
      <c r="AG178" s="2">
        <v>5.0439814814814819E-2</v>
      </c>
      <c r="AH178" s="2">
        <v>5.0439814814814819E-2</v>
      </c>
      <c r="AI178">
        <v>20</v>
      </c>
      <c r="AJ178">
        <v>116</v>
      </c>
    </row>
    <row r="179" spans="1:36" x14ac:dyDescent="0.25">
      <c r="A179" t="s">
        <v>36</v>
      </c>
      <c r="B179" s="1">
        <v>43951.779895833337</v>
      </c>
      <c r="C179" t="s">
        <v>37</v>
      </c>
      <c r="D179" t="s">
        <v>231</v>
      </c>
      <c r="E179">
        <v>0</v>
      </c>
      <c r="F179">
        <v>216</v>
      </c>
      <c r="G179" s="2">
        <v>2.8668981481481479E-2</v>
      </c>
      <c r="H179">
        <v>111</v>
      </c>
      <c r="I179">
        <v>161</v>
      </c>
      <c r="J179" t="s">
        <v>39</v>
      </c>
      <c r="K179" t="s">
        <v>39</v>
      </c>
      <c r="L179" t="s">
        <v>39</v>
      </c>
      <c r="M179" t="s">
        <v>39</v>
      </c>
      <c r="N179" t="s">
        <v>39</v>
      </c>
      <c r="O179" t="s">
        <v>39</v>
      </c>
      <c r="P179" t="s">
        <v>39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 t="s">
        <v>39</v>
      </c>
      <c r="X179" t="s">
        <v>39</v>
      </c>
      <c r="Y179" s="3">
        <v>1.7201388888888889</v>
      </c>
      <c r="Z179" s="4">
        <v>0</v>
      </c>
      <c r="AA179">
        <v>0</v>
      </c>
      <c r="AB179" s="4">
        <v>0</v>
      </c>
      <c r="AC179" t="s">
        <v>40</v>
      </c>
      <c r="AD179" t="s">
        <v>230</v>
      </c>
      <c r="AE179">
        <v>1</v>
      </c>
      <c r="AF179">
        <v>0</v>
      </c>
      <c r="AG179" s="2">
        <v>0</v>
      </c>
      <c r="AH179" s="2">
        <v>2.8668981481481479E-2</v>
      </c>
      <c r="AI179" t="s">
        <v>39</v>
      </c>
      <c r="AJ179" t="s">
        <v>39</v>
      </c>
    </row>
    <row r="180" spans="1:36" x14ac:dyDescent="0.25">
      <c r="A180" t="s">
        <v>45</v>
      </c>
      <c r="B180" s="1">
        <v>43950.272013888891</v>
      </c>
      <c r="C180" t="s">
        <v>37</v>
      </c>
      <c r="D180" t="s">
        <v>49</v>
      </c>
      <c r="E180">
        <v>6.41</v>
      </c>
      <c r="F180">
        <v>586</v>
      </c>
      <c r="G180" s="2">
        <v>3.5925925925925924E-2</v>
      </c>
      <c r="H180">
        <v>153</v>
      </c>
      <c r="I180">
        <v>182</v>
      </c>
      <c r="J180" t="s">
        <v>39</v>
      </c>
      <c r="K180" t="s">
        <v>39</v>
      </c>
      <c r="L180" t="s">
        <v>39</v>
      </c>
      <c r="M180" s="4">
        <v>0.33611111111111108</v>
      </c>
      <c r="N180" s="4">
        <v>0.15763888888888888</v>
      </c>
      <c r="O180">
        <v>18</v>
      </c>
      <c r="P180">
        <v>30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 t="s">
        <v>39</v>
      </c>
      <c r="X180" t="s">
        <v>39</v>
      </c>
      <c r="Y180" s="3">
        <v>2.1555555555555554</v>
      </c>
      <c r="Z180" s="4">
        <v>0</v>
      </c>
      <c r="AA180">
        <v>0</v>
      </c>
      <c r="AB180" s="4">
        <v>0</v>
      </c>
      <c r="AC180" t="s">
        <v>40</v>
      </c>
      <c r="AD180" t="s">
        <v>237</v>
      </c>
      <c r="AE180">
        <v>22</v>
      </c>
      <c r="AF180">
        <v>0</v>
      </c>
      <c r="AG180" s="2">
        <v>2.8217592592592589E-2</v>
      </c>
      <c r="AH180" s="2">
        <v>3.5925925925925924E-2</v>
      </c>
      <c r="AI180">
        <v>12</v>
      </c>
      <c r="AJ180">
        <v>31</v>
      </c>
    </row>
    <row r="181" spans="1:36" x14ac:dyDescent="0.25">
      <c r="A181" t="s">
        <v>36</v>
      </c>
      <c r="B181" s="1">
        <v>43949.270138888889</v>
      </c>
      <c r="C181" t="s">
        <v>37</v>
      </c>
      <c r="D181" t="s">
        <v>231</v>
      </c>
      <c r="E181">
        <v>0</v>
      </c>
      <c r="F181">
        <v>179</v>
      </c>
      <c r="G181" s="2">
        <v>3.9050925925925926E-2</v>
      </c>
      <c r="H181">
        <v>98</v>
      </c>
      <c r="I181">
        <v>120</v>
      </c>
      <c r="J181" t="s">
        <v>39</v>
      </c>
      <c r="K181" t="s">
        <v>39</v>
      </c>
      <c r="L181" t="s">
        <v>39</v>
      </c>
      <c r="M181" t="s">
        <v>39</v>
      </c>
      <c r="N181" t="s">
        <v>39</v>
      </c>
      <c r="O181" t="s">
        <v>39</v>
      </c>
      <c r="P181" t="s">
        <v>39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 t="s">
        <v>39</v>
      </c>
      <c r="X181" t="s">
        <v>39</v>
      </c>
      <c r="Y181" s="3">
        <v>2.3430555555555554</v>
      </c>
      <c r="Z181" s="4">
        <v>0</v>
      </c>
      <c r="AA181">
        <v>0</v>
      </c>
      <c r="AB181" s="4">
        <v>0</v>
      </c>
      <c r="AC181" t="s">
        <v>40</v>
      </c>
      <c r="AD181" t="s">
        <v>230</v>
      </c>
      <c r="AE181">
        <v>1</v>
      </c>
      <c r="AF181">
        <v>0</v>
      </c>
      <c r="AG181" s="2">
        <v>0</v>
      </c>
      <c r="AH181" s="2">
        <v>3.9050925925925926E-2</v>
      </c>
      <c r="AI181" t="s">
        <v>39</v>
      </c>
      <c r="AJ181" t="s">
        <v>39</v>
      </c>
    </row>
    <row r="182" spans="1:36" x14ac:dyDescent="0.25">
      <c r="A182" t="s">
        <v>45</v>
      </c>
      <c r="B182" s="1">
        <v>43948.270891203705</v>
      </c>
      <c r="C182" t="s">
        <v>37</v>
      </c>
      <c r="D182" t="s">
        <v>49</v>
      </c>
      <c r="E182">
        <v>7</v>
      </c>
      <c r="F182">
        <v>577</v>
      </c>
      <c r="G182" s="2">
        <v>3.1446759259259258E-2</v>
      </c>
      <c r="H182">
        <v>162</v>
      </c>
      <c r="I182">
        <v>182</v>
      </c>
      <c r="J182" t="s">
        <v>39</v>
      </c>
      <c r="K182" t="s">
        <v>39</v>
      </c>
      <c r="L182" t="s">
        <v>39</v>
      </c>
      <c r="M182" s="4">
        <v>0.26944444444444443</v>
      </c>
      <c r="N182" s="4">
        <v>0.10625</v>
      </c>
      <c r="O182">
        <v>24</v>
      </c>
      <c r="P182">
        <v>40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 t="s">
        <v>39</v>
      </c>
      <c r="X182" t="s">
        <v>39</v>
      </c>
      <c r="Y182" s="3">
        <v>1.8868055555555554</v>
      </c>
      <c r="Z182" s="4">
        <v>0</v>
      </c>
      <c r="AA182">
        <v>0</v>
      </c>
      <c r="AB182" s="4">
        <v>0</v>
      </c>
      <c r="AC182" t="s">
        <v>40</v>
      </c>
      <c r="AD182" t="s">
        <v>238</v>
      </c>
      <c r="AE182">
        <v>9</v>
      </c>
      <c r="AF182">
        <v>0</v>
      </c>
      <c r="AG182" s="2">
        <v>2.837962962962963E-2</v>
      </c>
      <c r="AH182" s="2">
        <v>3.1446759259259258E-2</v>
      </c>
      <c r="AI182">
        <v>12</v>
      </c>
      <c r="AJ182">
        <v>28</v>
      </c>
    </row>
    <row r="183" spans="1:36" x14ac:dyDescent="0.25">
      <c r="A183" t="s">
        <v>45</v>
      </c>
      <c r="B183" s="1">
        <v>43946.316770833335</v>
      </c>
      <c r="C183" t="s">
        <v>37</v>
      </c>
      <c r="D183" t="s">
        <v>49</v>
      </c>
      <c r="E183">
        <v>9.44</v>
      </c>
      <c r="F183">
        <v>871</v>
      </c>
      <c r="G183" s="2">
        <v>4.1678240740740745E-2</v>
      </c>
      <c r="H183">
        <v>173</v>
      </c>
      <c r="I183">
        <v>186</v>
      </c>
      <c r="J183" t="s">
        <v>39</v>
      </c>
      <c r="K183" t="s">
        <v>39</v>
      </c>
      <c r="L183" t="s">
        <v>39</v>
      </c>
      <c r="M183" s="4">
        <v>0.26458333333333334</v>
      </c>
      <c r="N183" s="4">
        <v>0.10486111111111111</v>
      </c>
      <c r="O183">
        <v>143</v>
      </c>
      <c r="P183">
        <v>147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 t="s">
        <v>39</v>
      </c>
      <c r="X183" t="s">
        <v>39</v>
      </c>
      <c r="Y183" s="2">
        <v>4.1678240740740745E-2</v>
      </c>
      <c r="Z183" s="4">
        <v>0</v>
      </c>
      <c r="AA183">
        <v>0</v>
      </c>
      <c r="AB183" s="4">
        <v>0</v>
      </c>
      <c r="AC183" t="s">
        <v>40</v>
      </c>
      <c r="AD183" t="s">
        <v>239</v>
      </c>
      <c r="AE183">
        <v>10</v>
      </c>
      <c r="AF183">
        <v>0</v>
      </c>
      <c r="AG183" s="2">
        <v>4.1365740740740745E-2</v>
      </c>
      <c r="AH183" s="2">
        <v>4.1678240740740745E-2</v>
      </c>
      <c r="AI183">
        <v>21</v>
      </c>
      <c r="AJ183">
        <v>71</v>
      </c>
    </row>
    <row r="184" spans="1:36" x14ac:dyDescent="0.25">
      <c r="A184" t="s">
        <v>45</v>
      </c>
      <c r="B184" s="1">
        <v>43945.727314814816</v>
      </c>
      <c r="C184" t="s">
        <v>37</v>
      </c>
      <c r="D184" t="s">
        <v>49</v>
      </c>
      <c r="E184">
        <v>8</v>
      </c>
      <c r="F184">
        <v>708</v>
      </c>
      <c r="G184" s="2">
        <v>3.3784722222222223E-2</v>
      </c>
      <c r="H184">
        <v>173</v>
      </c>
      <c r="I184">
        <v>184</v>
      </c>
      <c r="J184" t="s">
        <v>39</v>
      </c>
      <c r="K184" t="s">
        <v>39</v>
      </c>
      <c r="L184" t="s">
        <v>39</v>
      </c>
      <c r="M184" s="4">
        <v>0.25347222222222221</v>
      </c>
      <c r="N184" s="4">
        <v>0.11180555555555556</v>
      </c>
      <c r="O184">
        <v>117</v>
      </c>
      <c r="P184">
        <v>116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 t="s">
        <v>39</v>
      </c>
      <c r="X184" t="s">
        <v>39</v>
      </c>
      <c r="Y184" s="3">
        <v>2.0270833333333331</v>
      </c>
      <c r="Z184" s="4">
        <v>0</v>
      </c>
      <c r="AA184">
        <v>0</v>
      </c>
      <c r="AB184" s="4">
        <v>0</v>
      </c>
      <c r="AC184" t="s">
        <v>40</v>
      </c>
      <c r="AD184" t="s">
        <v>240</v>
      </c>
      <c r="AE184">
        <v>8</v>
      </c>
      <c r="AF184">
        <v>0</v>
      </c>
      <c r="AG184" s="2">
        <v>3.3761574074074076E-2</v>
      </c>
      <c r="AH184" s="2">
        <v>3.3784722222222223E-2</v>
      </c>
      <c r="AI184">
        <v>21</v>
      </c>
      <c r="AJ184">
        <v>60</v>
      </c>
    </row>
    <row r="185" spans="1:36" x14ac:dyDescent="0.25">
      <c r="A185" t="s">
        <v>36</v>
      </c>
      <c r="B185" s="1">
        <v>43944.270856481482</v>
      </c>
      <c r="C185" t="s">
        <v>37</v>
      </c>
      <c r="D185" t="s">
        <v>231</v>
      </c>
      <c r="E185">
        <v>0</v>
      </c>
      <c r="F185">
        <v>355</v>
      </c>
      <c r="G185" s="2">
        <v>3.8946759259259257E-2</v>
      </c>
      <c r="H185">
        <v>119</v>
      </c>
      <c r="I185">
        <v>161</v>
      </c>
      <c r="J185" t="s">
        <v>39</v>
      </c>
      <c r="K185" t="s">
        <v>39</v>
      </c>
      <c r="L185" t="s">
        <v>39</v>
      </c>
      <c r="M185" t="s">
        <v>39</v>
      </c>
      <c r="N185" t="s">
        <v>39</v>
      </c>
      <c r="O185" t="s">
        <v>39</v>
      </c>
      <c r="P185" t="s">
        <v>39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 t="s">
        <v>39</v>
      </c>
      <c r="X185" t="s">
        <v>39</v>
      </c>
      <c r="Y185" s="3">
        <v>2.3368055555555558</v>
      </c>
      <c r="Z185" s="4">
        <v>0</v>
      </c>
      <c r="AA185">
        <v>0</v>
      </c>
      <c r="AB185" s="4">
        <v>0</v>
      </c>
      <c r="AC185" t="s">
        <v>40</v>
      </c>
      <c r="AD185" t="s">
        <v>230</v>
      </c>
      <c r="AE185">
        <v>1</v>
      </c>
      <c r="AF185">
        <v>0</v>
      </c>
      <c r="AG185" s="2">
        <v>0</v>
      </c>
      <c r="AH185" s="2">
        <v>3.8946759259259257E-2</v>
      </c>
      <c r="AI185" t="s">
        <v>39</v>
      </c>
      <c r="AJ185" t="s">
        <v>39</v>
      </c>
    </row>
    <row r="186" spans="1:36" x14ac:dyDescent="0.25">
      <c r="A186" t="s">
        <v>45</v>
      </c>
      <c r="B186" s="1">
        <v>43943.271273148152</v>
      </c>
      <c r="C186" t="s">
        <v>37</v>
      </c>
      <c r="D186" t="s">
        <v>49</v>
      </c>
      <c r="E186">
        <v>9.01</v>
      </c>
      <c r="F186">
        <v>758</v>
      </c>
      <c r="G186" s="2">
        <v>3.7870370370370367E-2</v>
      </c>
      <c r="H186">
        <v>169</v>
      </c>
      <c r="I186">
        <v>184</v>
      </c>
      <c r="J186" t="s">
        <v>39</v>
      </c>
      <c r="K186" t="s">
        <v>39</v>
      </c>
      <c r="L186" t="s">
        <v>39</v>
      </c>
      <c r="M186" s="4">
        <v>0.25208333333333333</v>
      </c>
      <c r="N186" s="4">
        <v>0.13055555555555556</v>
      </c>
      <c r="O186">
        <v>138</v>
      </c>
      <c r="P186">
        <v>140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 t="s">
        <v>39</v>
      </c>
      <c r="X186" t="s">
        <v>39</v>
      </c>
      <c r="Y186" s="3">
        <v>2.2722222222222221</v>
      </c>
      <c r="Z186" s="4">
        <v>0</v>
      </c>
      <c r="AA186">
        <v>0</v>
      </c>
      <c r="AB186" s="4">
        <v>0</v>
      </c>
      <c r="AC186" t="s">
        <v>40</v>
      </c>
      <c r="AD186" t="s">
        <v>241</v>
      </c>
      <c r="AE186">
        <v>13</v>
      </c>
      <c r="AF186">
        <v>0</v>
      </c>
      <c r="AG186" s="2">
        <v>3.7835648148148153E-2</v>
      </c>
      <c r="AH186" s="2">
        <v>3.7870370370370367E-2</v>
      </c>
      <c r="AI186">
        <v>21</v>
      </c>
      <c r="AJ186">
        <v>59</v>
      </c>
    </row>
    <row r="187" spans="1:36" x14ac:dyDescent="0.25">
      <c r="A187" t="s">
        <v>45</v>
      </c>
      <c r="B187" s="1">
        <v>43941.291655092595</v>
      </c>
      <c r="C187" t="s">
        <v>37</v>
      </c>
      <c r="D187" t="s">
        <v>49</v>
      </c>
      <c r="E187">
        <v>5</v>
      </c>
      <c r="F187">
        <v>426</v>
      </c>
      <c r="G187" s="2">
        <v>2.1527777777777781E-2</v>
      </c>
      <c r="H187">
        <v>168</v>
      </c>
      <c r="I187">
        <v>187</v>
      </c>
      <c r="J187" t="s">
        <v>39</v>
      </c>
      <c r="K187" t="s">
        <v>39</v>
      </c>
      <c r="L187" t="s">
        <v>39</v>
      </c>
      <c r="M187" s="4">
        <v>0.25833333333333336</v>
      </c>
      <c r="N187" s="4">
        <v>0.17569444444444446</v>
      </c>
      <c r="O187">
        <v>11</v>
      </c>
      <c r="P187">
        <v>25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 t="s">
        <v>39</v>
      </c>
      <c r="X187" t="s">
        <v>39</v>
      </c>
      <c r="Y187" s="3">
        <v>1.2916666666666667</v>
      </c>
      <c r="Z187" s="4">
        <v>0</v>
      </c>
      <c r="AA187">
        <v>0</v>
      </c>
      <c r="AB187" s="4">
        <v>0</v>
      </c>
      <c r="AC187" t="s">
        <v>40</v>
      </c>
      <c r="AD187" t="s">
        <v>242</v>
      </c>
      <c r="AE187">
        <v>7</v>
      </c>
      <c r="AF187">
        <v>0</v>
      </c>
      <c r="AG187" s="2">
        <v>1.8287037037037036E-2</v>
      </c>
      <c r="AH187" s="2">
        <v>2.1527777777777781E-2</v>
      </c>
      <c r="AI187">
        <v>12</v>
      </c>
      <c r="AJ187">
        <v>30</v>
      </c>
    </row>
    <row r="188" spans="1:36" x14ac:dyDescent="0.25">
      <c r="A188" t="s">
        <v>45</v>
      </c>
      <c r="B188" s="1">
        <v>43939.303969907407</v>
      </c>
      <c r="C188" t="s">
        <v>37</v>
      </c>
      <c r="D188" t="s">
        <v>49</v>
      </c>
      <c r="E188">
        <v>9.69</v>
      </c>
      <c r="F188">
        <v>881</v>
      </c>
      <c r="G188" s="2">
        <v>4.1689814814814818E-2</v>
      </c>
      <c r="H188">
        <v>174</v>
      </c>
      <c r="I188">
        <v>184</v>
      </c>
      <c r="J188" t="s">
        <v>39</v>
      </c>
      <c r="K188" t="s">
        <v>39</v>
      </c>
      <c r="L188" t="s">
        <v>39</v>
      </c>
      <c r="M188" s="4">
        <v>0.25833333333333336</v>
      </c>
      <c r="N188" s="4">
        <v>0.10069444444444443</v>
      </c>
      <c r="O188">
        <v>147</v>
      </c>
      <c r="P188">
        <v>151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 t="s">
        <v>39</v>
      </c>
      <c r="X188" t="s">
        <v>39</v>
      </c>
      <c r="Y188" s="2">
        <v>4.1689814814814818E-2</v>
      </c>
      <c r="Z188" s="4">
        <v>0</v>
      </c>
      <c r="AA188">
        <v>0</v>
      </c>
      <c r="AB188" s="4">
        <v>0</v>
      </c>
      <c r="AC188" t="s">
        <v>40</v>
      </c>
      <c r="AD188" t="s">
        <v>243</v>
      </c>
      <c r="AE188">
        <v>10</v>
      </c>
      <c r="AF188">
        <v>0</v>
      </c>
      <c r="AG188" s="2">
        <v>4.1666666666666664E-2</v>
      </c>
      <c r="AH188" s="2">
        <v>4.1689814814814818E-2</v>
      </c>
      <c r="AI188">
        <v>22</v>
      </c>
      <c r="AJ188">
        <v>73</v>
      </c>
    </row>
    <row r="189" spans="1:36" x14ac:dyDescent="0.25">
      <c r="A189" t="s">
        <v>45</v>
      </c>
      <c r="B189" s="1">
        <v>43938.285000000003</v>
      </c>
      <c r="C189" t="s">
        <v>37</v>
      </c>
      <c r="D189" t="s">
        <v>49</v>
      </c>
      <c r="E189">
        <v>5.16</v>
      </c>
      <c r="F189">
        <v>433</v>
      </c>
      <c r="G189" s="2">
        <v>2.0856481481481479E-2</v>
      </c>
      <c r="H189">
        <v>172</v>
      </c>
      <c r="I189">
        <v>187</v>
      </c>
      <c r="J189" t="s">
        <v>39</v>
      </c>
      <c r="K189" t="s">
        <v>39</v>
      </c>
      <c r="L189" t="s">
        <v>39</v>
      </c>
      <c r="M189" s="4">
        <v>0.24236111111111111</v>
      </c>
      <c r="N189" s="4">
        <v>0.19513888888888889</v>
      </c>
      <c r="O189">
        <v>27</v>
      </c>
      <c r="P189">
        <v>30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 t="s">
        <v>39</v>
      </c>
      <c r="X189" t="s">
        <v>39</v>
      </c>
      <c r="Y189" s="3">
        <v>1.2513888888888889</v>
      </c>
      <c r="Z189" s="4">
        <v>0</v>
      </c>
      <c r="AA189">
        <v>0</v>
      </c>
      <c r="AB189" s="4">
        <v>0</v>
      </c>
      <c r="AC189" t="s">
        <v>40</v>
      </c>
      <c r="AD189" t="s">
        <v>230</v>
      </c>
      <c r="AE189">
        <v>1</v>
      </c>
      <c r="AF189">
        <v>0</v>
      </c>
      <c r="AG189" s="2">
        <v>2.0844907407407406E-2</v>
      </c>
      <c r="AH189" s="2">
        <v>2.0856481481481479E-2</v>
      </c>
      <c r="AI189">
        <v>12</v>
      </c>
      <c r="AJ189">
        <v>29</v>
      </c>
    </row>
    <row r="190" spans="1:36" x14ac:dyDescent="0.25">
      <c r="A190" t="s">
        <v>45</v>
      </c>
      <c r="B190" s="1">
        <v>43937.271504629629</v>
      </c>
      <c r="C190" t="s">
        <v>37</v>
      </c>
      <c r="D190" t="s">
        <v>231</v>
      </c>
      <c r="E190">
        <v>0</v>
      </c>
      <c r="F190">
        <v>267</v>
      </c>
      <c r="G190" s="2">
        <v>3.0439814814814819E-2</v>
      </c>
      <c r="H190">
        <v>117</v>
      </c>
      <c r="I190">
        <v>150</v>
      </c>
      <c r="J190" t="s">
        <v>39</v>
      </c>
      <c r="K190" t="s">
        <v>39</v>
      </c>
      <c r="L190" t="s">
        <v>39</v>
      </c>
      <c r="M190" t="s">
        <v>39</v>
      </c>
      <c r="N190" t="s">
        <v>39</v>
      </c>
      <c r="O190" t="s">
        <v>39</v>
      </c>
      <c r="P190" t="s">
        <v>39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 t="s">
        <v>39</v>
      </c>
      <c r="X190" t="s">
        <v>39</v>
      </c>
      <c r="Y190" s="3">
        <v>1.8263888888888891</v>
      </c>
      <c r="Z190" s="4">
        <v>0</v>
      </c>
      <c r="AA190">
        <v>0</v>
      </c>
      <c r="AB190" s="4">
        <v>0</v>
      </c>
      <c r="AC190" t="s">
        <v>40</v>
      </c>
      <c r="AD190" t="s">
        <v>230</v>
      </c>
      <c r="AE190">
        <v>1</v>
      </c>
      <c r="AF190">
        <v>0</v>
      </c>
      <c r="AG190" s="2">
        <v>0</v>
      </c>
      <c r="AH190" s="2">
        <v>3.0439814814814819E-2</v>
      </c>
      <c r="AI190" t="s">
        <v>39</v>
      </c>
      <c r="AJ190" t="s">
        <v>39</v>
      </c>
    </row>
    <row r="191" spans="1:36" x14ac:dyDescent="0.25">
      <c r="A191" t="s">
        <v>45</v>
      </c>
      <c r="B191" s="1">
        <v>43936.289710648147</v>
      </c>
      <c r="C191" t="s">
        <v>37</v>
      </c>
      <c r="D191" t="s">
        <v>49</v>
      </c>
      <c r="E191">
        <v>5.23</v>
      </c>
      <c r="F191">
        <v>456</v>
      </c>
      <c r="G191" s="2">
        <v>2.2291666666666668E-2</v>
      </c>
      <c r="H191">
        <v>172</v>
      </c>
      <c r="I191">
        <v>191</v>
      </c>
      <c r="J191" t="s">
        <v>39</v>
      </c>
      <c r="K191" t="s">
        <v>39</v>
      </c>
      <c r="L191" t="s">
        <v>39</v>
      </c>
      <c r="M191" s="4">
        <v>0.25555555555555559</v>
      </c>
      <c r="N191" s="4">
        <v>0.18333333333333335</v>
      </c>
      <c r="O191">
        <v>18</v>
      </c>
      <c r="P191">
        <v>33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 t="s">
        <v>39</v>
      </c>
      <c r="X191" t="s">
        <v>39</v>
      </c>
      <c r="Y191" s="3">
        <v>1.3375000000000001</v>
      </c>
      <c r="Z191" s="4">
        <v>0</v>
      </c>
      <c r="AA191">
        <v>0</v>
      </c>
      <c r="AB191" s="4">
        <v>0</v>
      </c>
      <c r="AC191" t="s">
        <v>40</v>
      </c>
      <c r="AD191" t="s">
        <v>69</v>
      </c>
      <c r="AE191">
        <v>12</v>
      </c>
      <c r="AF191">
        <v>0</v>
      </c>
      <c r="AG191" s="2">
        <v>2.0370370370370369E-2</v>
      </c>
      <c r="AH191" s="2">
        <v>2.2291666666666668E-2</v>
      </c>
      <c r="AI191">
        <v>12</v>
      </c>
      <c r="AJ191">
        <v>30</v>
      </c>
    </row>
    <row r="192" spans="1:36" x14ac:dyDescent="0.25">
      <c r="A192" t="s">
        <v>45</v>
      </c>
      <c r="B192" s="1">
        <v>43935.311724537038</v>
      </c>
      <c r="C192" t="s">
        <v>37</v>
      </c>
      <c r="D192" t="s">
        <v>244</v>
      </c>
      <c r="E192">
        <v>0</v>
      </c>
      <c r="F192">
        <v>403</v>
      </c>
      <c r="G192" s="2">
        <v>3.0358796296296297E-2</v>
      </c>
      <c r="H192">
        <v>138</v>
      </c>
      <c r="I192">
        <v>170</v>
      </c>
      <c r="J192" t="s">
        <v>39</v>
      </c>
      <c r="K192" t="s">
        <v>39</v>
      </c>
      <c r="L192" t="s">
        <v>39</v>
      </c>
      <c r="M192" t="s">
        <v>39</v>
      </c>
      <c r="N192" t="s">
        <v>39</v>
      </c>
      <c r="O192" t="s">
        <v>39</v>
      </c>
      <c r="P192" t="s">
        <v>39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 t="s">
        <v>39</v>
      </c>
      <c r="X192" t="s">
        <v>39</v>
      </c>
      <c r="Y192" s="3">
        <v>1.8215277777777779</v>
      </c>
      <c r="Z192" s="4">
        <v>0</v>
      </c>
      <c r="AA192">
        <v>0</v>
      </c>
      <c r="AB192" s="4">
        <v>0</v>
      </c>
      <c r="AC192" t="s">
        <v>40</v>
      </c>
      <c r="AD192" t="s">
        <v>230</v>
      </c>
      <c r="AE192">
        <v>1</v>
      </c>
      <c r="AF192">
        <v>0</v>
      </c>
      <c r="AG192" s="2">
        <v>0</v>
      </c>
      <c r="AH192" s="2">
        <v>3.0358796296296297E-2</v>
      </c>
      <c r="AI192" t="s">
        <v>39</v>
      </c>
      <c r="AJ192" t="s">
        <v>39</v>
      </c>
    </row>
    <row r="193" spans="1:36" x14ac:dyDescent="0.25">
      <c r="A193" t="s">
        <v>45</v>
      </c>
      <c r="B193" s="1">
        <v>43934.2815625</v>
      </c>
      <c r="C193" t="s">
        <v>37</v>
      </c>
      <c r="D193" t="s">
        <v>49</v>
      </c>
      <c r="E193">
        <v>5.32</v>
      </c>
      <c r="F193">
        <v>470</v>
      </c>
      <c r="G193" s="2">
        <v>2.0844907407407406E-2</v>
      </c>
      <c r="H193">
        <v>180</v>
      </c>
      <c r="I193">
        <v>194</v>
      </c>
      <c r="J193" t="s">
        <v>39</v>
      </c>
      <c r="K193" t="s">
        <v>39</v>
      </c>
      <c r="L193" t="s">
        <v>39</v>
      </c>
      <c r="M193" s="4">
        <v>0.23541666666666669</v>
      </c>
      <c r="N193" s="4">
        <v>0.21736111111111112</v>
      </c>
      <c r="O193">
        <v>42</v>
      </c>
      <c r="P193">
        <v>48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 t="s">
        <v>39</v>
      </c>
      <c r="X193" t="s">
        <v>39</v>
      </c>
      <c r="Y193" s="3">
        <v>1.2506944444444443</v>
      </c>
      <c r="Z193" s="4">
        <v>0</v>
      </c>
      <c r="AA193">
        <v>0</v>
      </c>
      <c r="AB193" s="4">
        <v>0</v>
      </c>
      <c r="AC193" t="s">
        <v>40</v>
      </c>
      <c r="AD193" t="s">
        <v>230</v>
      </c>
      <c r="AE193">
        <v>1</v>
      </c>
      <c r="AF193">
        <v>0</v>
      </c>
      <c r="AG193" s="2">
        <v>2.0844907407407406E-2</v>
      </c>
      <c r="AH193" s="2">
        <v>2.0844907407407406E-2</v>
      </c>
      <c r="AI193">
        <v>12</v>
      </c>
      <c r="AJ193">
        <v>38</v>
      </c>
    </row>
    <row r="194" spans="1:36" x14ac:dyDescent="0.25">
      <c r="A194" t="s">
        <v>45</v>
      </c>
      <c r="B194" s="1">
        <v>43932.353043981479</v>
      </c>
      <c r="C194" t="s">
        <v>37</v>
      </c>
      <c r="D194" t="s">
        <v>49</v>
      </c>
      <c r="E194">
        <v>5.23</v>
      </c>
      <c r="F194">
        <v>465</v>
      </c>
      <c r="G194" s="2">
        <v>2.0844907407407406E-2</v>
      </c>
      <c r="H194">
        <v>179</v>
      </c>
      <c r="I194">
        <v>192</v>
      </c>
      <c r="J194" t="s">
        <v>39</v>
      </c>
      <c r="K194" t="s">
        <v>39</v>
      </c>
      <c r="L194" t="s">
        <v>39</v>
      </c>
      <c r="M194" s="4">
        <v>0.2388888888888889</v>
      </c>
      <c r="N194" s="4">
        <v>4.4444444444444446E-2</v>
      </c>
      <c r="O194">
        <v>45</v>
      </c>
      <c r="P194">
        <v>50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 t="s">
        <v>39</v>
      </c>
      <c r="X194" t="s">
        <v>39</v>
      </c>
      <c r="Y194" s="3">
        <v>1.2506944444444443</v>
      </c>
      <c r="Z194" s="4">
        <v>0</v>
      </c>
      <c r="AA194">
        <v>0</v>
      </c>
      <c r="AB194" s="4">
        <v>0</v>
      </c>
      <c r="AC194" t="s">
        <v>40</v>
      </c>
      <c r="AD194" t="s">
        <v>230</v>
      </c>
      <c r="AE194">
        <v>1</v>
      </c>
      <c r="AF194">
        <v>0</v>
      </c>
      <c r="AG194" s="2">
        <v>2.0844907407407406E-2</v>
      </c>
      <c r="AH194" s="2">
        <v>2.0844907407407406E-2</v>
      </c>
      <c r="AI194">
        <v>22</v>
      </c>
      <c r="AJ194">
        <v>45</v>
      </c>
    </row>
    <row r="195" spans="1:36" x14ac:dyDescent="0.25">
      <c r="A195" t="s">
        <v>45</v>
      </c>
      <c r="B195" s="1">
        <v>43929.324004629627</v>
      </c>
      <c r="C195" t="s">
        <v>37</v>
      </c>
      <c r="D195" t="s">
        <v>49</v>
      </c>
      <c r="E195">
        <v>5.19</v>
      </c>
      <c r="F195">
        <v>346</v>
      </c>
      <c r="G195" s="2">
        <v>2.8321759259259258E-2</v>
      </c>
      <c r="H195" t="s">
        <v>39</v>
      </c>
      <c r="I195" t="s">
        <v>39</v>
      </c>
      <c r="J195" t="s">
        <v>39</v>
      </c>
      <c r="K195" t="s">
        <v>39</v>
      </c>
      <c r="L195" t="s">
        <v>39</v>
      </c>
      <c r="M195" s="4">
        <v>0.32777777777777778</v>
      </c>
      <c r="N195" s="4">
        <v>4.3750000000000004E-2</v>
      </c>
      <c r="O195">
        <v>21</v>
      </c>
      <c r="P195">
        <v>20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 t="s">
        <v>39</v>
      </c>
      <c r="X195" t="s">
        <v>39</v>
      </c>
      <c r="Y195" s="3">
        <v>1.6993055555555554</v>
      </c>
      <c r="Z195" s="4">
        <v>0</v>
      </c>
      <c r="AA195">
        <v>0</v>
      </c>
      <c r="AB195" s="4">
        <v>0</v>
      </c>
      <c r="AC195" t="s">
        <v>40</v>
      </c>
      <c r="AD195" t="s">
        <v>245</v>
      </c>
      <c r="AE195">
        <v>14</v>
      </c>
      <c r="AF195">
        <v>0</v>
      </c>
      <c r="AG195" s="2">
        <v>2.8310185185185185E-2</v>
      </c>
      <c r="AH195" s="2">
        <v>2.8321759259259258E-2</v>
      </c>
      <c r="AI195">
        <v>18</v>
      </c>
      <c r="AJ195">
        <v>26</v>
      </c>
    </row>
    <row r="196" spans="1:36" x14ac:dyDescent="0.25">
      <c r="A196" t="s">
        <v>45</v>
      </c>
      <c r="B196" s="1">
        <v>43927.353113425925</v>
      </c>
      <c r="C196" t="s">
        <v>37</v>
      </c>
      <c r="D196" t="s">
        <v>49</v>
      </c>
      <c r="E196">
        <v>3.57</v>
      </c>
      <c r="F196">
        <v>312</v>
      </c>
      <c r="G196" s="2">
        <v>2.3298611111111107E-2</v>
      </c>
      <c r="H196">
        <v>139</v>
      </c>
      <c r="I196">
        <v>178</v>
      </c>
      <c r="J196" t="s">
        <v>39</v>
      </c>
      <c r="K196" t="s">
        <v>39</v>
      </c>
      <c r="L196" t="s">
        <v>39</v>
      </c>
      <c r="M196" s="4">
        <v>0.39166666666666666</v>
      </c>
      <c r="N196" s="4">
        <v>2.4305555555555556E-2</v>
      </c>
      <c r="O196">
        <v>16</v>
      </c>
      <c r="P196">
        <v>16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 t="s">
        <v>39</v>
      </c>
      <c r="X196" t="s">
        <v>39</v>
      </c>
      <c r="Y196" s="3">
        <v>1.3979166666666665</v>
      </c>
      <c r="Z196" s="4">
        <v>0</v>
      </c>
      <c r="AA196">
        <v>0</v>
      </c>
      <c r="AB196" s="4">
        <v>0</v>
      </c>
      <c r="AC196" t="s">
        <v>40</v>
      </c>
      <c r="AD196" t="s">
        <v>246</v>
      </c>
      <c r="AE196">
        <v>8</v>
      </c>
      <c r="AF196">
        <v>0</v>
      </c>
      <c r="AG196" s="2">
        <v>2.2372685185185186E-2</v>
      </c>
      <c r="AH196" s="2">
        <v>2.3298611111111107E-2</v>
      </c>
      <c r="AI196">
        <v>18</v>
      </c>
      <c r="AJ196">
        <v>25</v>
      </c>
    </row>
    <row r="197" spans="1:36" x14ac:dyDescent="0.25">
      <c r="A197" t="s">
        <v>45</v>
      </c>
      <c r="B197" s="1">
        <v>43904.288055555553</v>
      </c>
      <c r="C197" t="s">
        <v>37</v>
      </c>
      <c r="D197" t="s">
        <v>49</v>
      </c>
      <c r="E197">
        <v>10.01</v>
      </c>
      <c r="F197">
        <v>711</v>
      </c>
      <c r="G197" s="2">
        <v>4.5567129629629631E-2</v>
      </c>
      <c r="H197" t="s">
        <v>39</v>
      </c>
      <c r="I197" t="s">
        <v>39</v>
      </c>
      <c r="J197" t="s">
        <v>39</v>
      </c>
      <c r="K197" t="s">
        <v>39</v>
      </c>
      <c r="L197" t="s">
        <v>39</v>
      </c>
      <c r="M197" s="4">
        <v>0.27291666666666664</v>
      </c>
      <c r="N197" s="4">
        <v>7.2222222222222229E-2</v>
      </c>
      <c r="O197">
        <v>133</v>
      </c>
      <c r="P197">
        <v>134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 t="s">
        <v>39</v>
      </c>
      <c r="X197" t="s">
        <v>39</v>
      </c>
      <c r="Y197" s="2">
        <v>4.5567129629629631E-2</v>
      </c>
      <c r="Z197" s="4">
        <v>0</v>
      </c>
      <c r="AA197">
        <v>0</v>
      </c>
      <c r="AB197" s="4">
        <v>0</v>
      </c>
      <c r="AC197" t="s">
        <v>40</v>
      </c>
      <c r="AD197" t="s">
        <v>230</v>
      </c>
      <c r="AE197">
        <v>1</v>
      </c>
      <c r="AF197">
        <v>0</v>
      </c>
      <c r="AG197" s="2">
        <v>4.5567129629629631E-2</v>
      </c>
      <c r="AH197" s="2">
        <v>4.5567129629629631E-2</v>
      </c>
      <c r="AI197">
        <v>21</v>
      </c>
      <c r="AJ197">
        <v>60</v>
      </c>
    </row>
    <row r="198" spans="1:36" x14ac:dyDescent="0.25">
      <c r="A198" t="s">
        <v>45</v>
      </c>
      <c r="B198" s="1">
        <v>43899.795393518521</v>
      </c>
      <c r="C198" t="s">
        <v>37</v>
      </c>
      <c r="D198" t="s">
        <v>49</v>
      </c>
      <c r="E198">
        <v>6.17</v>
      </c>
      <c r="F198">
        <v>449</v>
      </c>
      <c r="G198" s="2">
        <v>2.4652777777777777E-2</v>
      </c>
      <c r="H198" t="s">
        <v>39</v>
      </c>
      <c r="I198" t="s">
        <v>39</v>
      </c>
      <c r="J198" t="s">
        <v>39</v>
      </c>
      <c r="K198" t="s">
        <v>39</v>
      </c>
      <c r="L198" t="s">
        <v>39</v>
      </c>
      <c r="M198" s="4">
        <v>0.23958333333333334</v>
      </c>
      <c r="N198" s="4">
        <v>0.22152777777777777</v>
      </c>
      <c r="O198">
        <v>13</v>
      </c>
      <c r="P198">
        <v>15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 t="s">
        <v>39</v>
      </c>
      <c r="X198" t="s">
        <v>39</v>
      </c>
      <c r="Y198" s="3">
        <v>1.4791666666666667</v>
      </c>
      <c r="Z198" s="4">
        <v>0</v>
      </c>
      <c r="AA198">
        <v>0</v>
      </c>
      <c r="AB198" s="4">
        <v>0</v>
      </c>
      <c r="AC198" t="s">
        <v>40</v>
      </c>
      <c r="AD198" t="s">
        <v>247</v>
      </c>
      <c r="AE198">
        <v>6</v>
      </c>
      <c r="AF198">
        <v>0</v>
      </c>
      <c r="AG198" s="2">
        <v>2.4641203703703703E-2</v>
      </c>
      <c r="AH198" s="2">
        <v>2.4652777777777777E-2</v>
      </c>
      <c r="AI198">
        <v>13</v>
      </c>
      <c r="AJ198">
        <v>21</v>
      </c>
    </row>
    <row r="199" spans="1:36" x14ac:dyDescent="0.25">
      <c r="A199" t="s">
        <v>45</v>
      </c>
      <c r="B199" s="1">
        <v>43894.798530092594</v>
      </c>
      <c r="C199" t="s">
        <v>37</v>
      </c>
      <c r="D199" t="s">
        <v>49</v>
      </c>
      <c r="E199">
        <v>3.3</v>
      </c>
      <c r="F199">
        <v>193</v>
      </c>
      <c r="G199" s="2">
        <v>2.1608796296296296E-2</v>
      </c>
      <c r="H199" t="s">
        <v>39</v>
      </c>
      <c r="I199" t="s">
        <v>39</v>
      </c>
      <c r="J199" t="s">
        <v>39</v>
      </c>
      <c r="K199" t="s">
        <v>39</v>
      </c>
      <c r="L199" t="s">
        <v>39</v>
      </c>
      <c r="M199" s="4">
        <v>0.39374999999999999</v>
      </c>
      <c r="N199" s="4">
        <v>0.26111111111111113</v>
      </c>
      <c r="O199">
        <v>7</v>
      </c>
      <c r="P199">
        <v>10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 t="s">
        <v>39</v>
      </c>
      <c r="X199" t="s">
        <v>39</v>
      </c>
      <c r="Y199" s="3">
        <v>1.2965277777777777</v>
      </c>
      <c r="Z199" s="4">
        <v>0</v>
      </c>
      <c r="AA199">
        <v>0</v>
      </c>
      <c r="AB199" s="4">
        <v>0</v>
      </c>
      <c r="AC199" t="s">
        <v>40</v>
      </c>
      <c r="AD199" t="s">
        <v>230</v>
      </c>
      <c r="AE199">
        <v>1</v>
      </c>
      <c r="AF199">
        <v>0</v>
      </c>
      <c r="AG199" s="2">
        <v>2.1597222222222223E-2</v>
      </c>
      <c r="AH199" s="2">
        <v>2.3113425925925926E-2</v>
      </c>
      <c r="AI199">
        <v>13</v>
      </c>
      <c r="AJ199">
        <v>20</v>
      </c>
    </row>
    <row r="200" spans="1:36" x14ac:dyDescent="0.25">
      <c r="A200" t="s">
        <v>45</v>
      </c>
      <c r="B200" s="1">
        <v>43892.797337962962</v>
      </c>
      <c r="C200" t="s">
        <v>37</v>
      </c>
      <c r="D200" t="s">
        <v>49</v>
      </c>
      <c r="E200">
        <v>4.5</v>
      </c>
      <c r="F200">
        <v>333</v>
      </c>
      <c r="G200" s="2">
        <v>1.9178240740740742E-2</v>
      </c>
      <c r="H200" t="s">
        <v>39</v>
      </c>
      <c r="I200" t="s">
        <v>39</v>
      </c>
      <c r="J200" t="s">
        <v>39</v>
      </c>
      <c r="K200" t="s">
        <v>39</v>
      </c>
      <c r="L200" t="s">
        <v>39</v>
      </c>
      <c r="M200" s="4">
        <v>0.25555555555555559</v>
      </c>
      <c r="N200" s="4">
        <v>0.13194444444444445</v>
      </c>
      <c r="O200">
        <v>17</v>
      </c>
      <c r="P200">
        <v>14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 t="s">
        <v>39</v>
      </c>
      <c r="X200" t="s">
        <v>39</v>
      </c>
      <c r="Y200" s="3">
        <v>1.1506944444444445</v>
      </c>
      <c r="Z200" s="4">
        <v>0</v>
      </c>
      <c r="AA200">
        <v>0</v>
      </c>
      <c r="AB200" s="4">
        <v>0</v>
      </c>
      <c r="AC200" t="s">
        <v>40</v>
      </c>
      <c r="AD200" t="s">
        <v>248</v>
      </c>
      <c r="AE200">
        <v>18</v>
      </c>
      <c r="AF200">
        <v>0</v>
      </c>
      <c r="AG200" s="2">
        <v>1.7523148148148149E-2</v>
      </c>
      <c r="AH200" s="2">
        <v>2.7824074074074074E-2</v>
      </c>
      <c r="AI200">
        <v>17</v>
      </c>
      <c r="AJ200">
        <v>26</v>
      </c>
    </row>
    <row r="201" spans="1:36" x14ac:dyDescent="0.25">
      <c r="A201" t="s">
        <v>45</v>
      </c>
      <c r="B201" s="1">
        <v>43890.283553240741</v>
      </c>
      <c r="C201" t="s">
        <v>37</v>
      </c>
      <c r="D201" t="s">
        <v>49</v>
      </c>
      <c r="E201">
        <v>10</v>
      </c>
      <c r="F201">
        <v>733</v>
      </c>
      <c r="G201" s="2">
        <v>4.2175925925925922E-2</v>
      </c>
      <c r="H201" t="s">
        <v>39</v>
      </c>
      <c r="I201" t="s">
        <v>39</v>
      </c>
      <c r="J201" t="s">
        <v>39</v>
      </c>
      <c r="K201" t="s">
        <v>39</v>
      </c>
      <c r="L201" t="s">
        <v>39</v>
      </c>
      <c r="M201" s="4">
        <v>0.25277777777777777</v>
      </c>
      <c r="N201" s="4">
        <v>9.8611111111111108E-2</v>
      </c>
      <c r="O201">
        <v>142</v>
      </c>
      <c r="P201">
        <v>145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 t="s">
        <v>39</v>
      </c>
      <c r="X201" t="s">
        <v>39</v>
      </c>
      <c r="Y201" s="2">
        <v>4.2175925925925922E-2</v>
      </c>
      <c r="Z201" s="4">
        <v>0</v>
      </c>
      <c r="AA201">
        <v>0</v>
      </c>
      <c r="AB201" s="4">
        <v>0</v>
      </c>
      <c r="AC201" t="s">
        <v>40</v>
      </c>
      <c r="AD201" t="s">
        <v>230</v>
      </c>
      <c r="AE201">
        <v>1</v>
      </c>
      <c r="AF201">
        <v>0</v>
      </c>
      <c r="AG201" s="2">
        <v>4.2175925925925922E-2</v>
      </c>
      <c r="AH201" s="2">
        <v>4.2175925925925922E-2</v>
      </c>
      <c r="AI201">
        <v>22</v>
      </c>
      <c r="AJ201">
        <v>60</v>
      </c>
    </row>
    <row r="202" spans="1:36" x14ac:dyDescent="0.25">
      <c r="A202" t="s">
        <v>45</v>
      </c>
      <c r="B202" s="1">
        <v>43887.801261574074</v>
      </c>
      <c r="C202" t="s">
        <v>37</v>
      </c>
      <c r="D202" t="s">
        <v>49</v>
      </c>
      <c r="E202">
        <v>3.47</v>
      </c>
      <c r="F202">
        <v>192</v>
      </c>
      <c r="G202" s="2">
        <v>2.4710648148148148E-2</v>
      </c>
      <c r="H202" t="s">
        <v>39</v>
      </c>
      <c r="I202" t="s">
        <v>39</v>
      </c>
      <c r="J202" t="s">
        <v>39</v>
      </c>
      <c r="K202" t="s">
        <v>39</v>
      </c>
      <c r="L202" t="s">
        <v>39</v>
      </c>
      <c r="M202" s="4">
        <v>0.42777777777777781</v>
      </c>
      <c r="N202" s="4">
        <v>0.26805555555555555</v>
      </c>
      <c r="O202">
        <v>61</v>
      </c>
      <c r="P202">
        <v>61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 t="s">
        <v>39</v>
      </c>
      <c r="X202" t="s">
        <v>39</v>
      </c>
      <c r="Y202" s="3">
        <v>1.4826388888888891</v>
      </c>
      <c r="Z202" s="4">
        <v>0</v>
      </c>
      <c r="AA202">
        <v>0</v>
      </c>
      <c r="AB202" s="4">
        <v>0</v>
      </c>
      <c r="AC202" t="s">
        <v>40</v>
      </c>
      <c r="AD202" t="s">
        <v>249</v>
      </c>
      <c r="AE202">
        <v>7</v>
      </c>
      <c r="AF202">
        <v>0</v>
      </c>
      <c r="AG202" s="2">
        <v>2.34375E-2</v>
      </c>
      <c r="AH202" s="2">
        <v>2.4710648148148148E-2</v>
      </c>
      <c r="AI202">
        <v>17</v>
      </c>
      <c r="AJ202">
        <v>28</v>
      </c>
    </row>
    <row r="203" spans="1:36" x14ac:dyDescent="0.25">
      <c r="A203" t="s">
        <v>45</v>
      </c>
      <c r="B203" s="1">
        <v>43885.799872685187</v>
      </c>
      <c r="C203" t="s">
        <v>37</v>
      </c>
      <c r="D203" t="s">
        <v>49</v>
      </c>
      <c r="E203">
        <v>1.53</v>
      </c>
      <c r="F203">
        <v>80</v>
      </c>
      <c r="G203" s="2">
        <v>1.2916666666666667E-2</v>
      </c>
      <c r="H203" t="s">
        <v>39</v>
      </c>
      <c r="I203" t="s">
        <v>39</v>
      </c>
      <c r="J203" t="s">
        <v>39</v>
      </c>
      <c r="K203" t="s">
        <v>39</v>
      </c>
      <c r="L203" t="s">
        <v>39</v>
      </c>
      <c r="M203" s="4">
        <v>0.50624999999999998</v>
      </c>
      <c r="N203" s="4">
        <v>0.36944444444444446</v>
      </c>
      <c r="O203">
        <v>13</v>
      </c>
      <c r="P203" t="s">
        <v>39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 t="s">
        <v>39</v>
      </c>
      <c r="X203" t="s">
        <v>39</v>
      </c>
      <c r="Y203" s="4">
        <v>0.77500000000000002</v>
      </c>
      <c r="Z203" s="4">
        <v>0</v>
      </c>
      <c r="AA203">
        <v>0</v>
      </c>
      <c r="AB203" s="4">
        <v>0</v>
      </c>
      <c r="AC203" t="s">
        <v>40</v>
      </c>
      <c r="AD203" t="s">
        <v>230</v>
      </c>
      <c r="AE203">
        <v>1</v>
      </c>
      <c r="AF203">
        <v>0</v>
      </c>
      <c r="AG203" s="2">
        <v>1.2916666666666667E-2</v>
      </c>
      <c r="AH203" s="2">
        <v>1.2916666666666667E-2</v>
      </c>
      <c r="AI203">
        <v>14</v>
      </c>
      <c r="AJ203">
        <v>29</v>
      </c>
    </row>
    <row r="204" spans="1:36" x14ac:dyDescent="0.25">
      <c r="A204" t="s">
        <v>45</v>
      </c>
      <c r="B204" s="1">
        <v>43885.785740740743</v>
      </c>
      <c r="C204" t="s">
        <v>37</v>
      </c>
      <c r="D204" t="s">
        <v>49</v>
      </c>
      <c r="E204">
        <v>3.06</v>
      </c>
      <c r="F204">
        <v>192</v>
      </c>
      <c r="G204" s="2">
        <v>1.3958333333333335E-2</v>
      </c>
      <c r="H204" t="s">
        <v>39</v>
      </c>
      <c r="I204" t="s">
        <v>39</v>
      </c>
      <c r="J204" t="s">
        <v>39</v>
      </c>
      <c r="K204" t="s">
        <v>39</v>
      </c>
      <c r="L204" t="s">
        <v>39</v>
      </c>
      <c r="M204" s="4">
        <v>0.27361111111111108</v>
      </c>
      <c r="N204" s="4">
        <v>0.16874999999999998</v>
      </c>
      <c r="O204">
        <v>6</v>
      </c>
      <c r="P204">
        <v>6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 t="s">
        <v>39</v>
      </c>
      <c r="X204" t="s">
        <v>39</v>
      </c>
      <c r="Y204" s="4">
        <v>0.83750000000000002</v>
      </c>
      <c r="Z204" s="4">
        <v>0</v>
      </c>
      <c r="AA204">
        <v>0</v>
      </c>
      <c r="AB204" s="4">
        <v>0</v>
      </c>
      <c r="AC204" t="s">
        <v>40</v>
      </c>
      <c r="AD204" t="s">
        <v>250</v>
      </c>
      <c r="AE204">
        <v>20</v>
      </c>
      <c r="AF204">
        <v>0</v>
      </c>
      <c r="AG204" s="2">
        <v>1.3900462962962962E-2</v>
      </c>
      <c r="AH204" s="2">
        <v>1.3958333333333335E-2</v>
      </c>
      <c r="AI204">
        <v>14</v>
      </c>
      <c r="AJ204">
        <v>18</v>
      </c>
    </row>
    <row r="205" spans="1:36" x14ac:dyDescent="0.25">
      <c r="A205" t="s">
        <v>45</v>
      </c>
      <c r="B205" s="1">
        <v>43885.774467592593</v>
      </c>
      <c r="C205" t="s">
        <v>37</v>
      </c>
      <c r="D205" t="s">
        <v>49</v>
      </c>
      <c r="E205">
        <v>2</v>
      </c>
      <c r="F205">
        <v>149</v>
      </c>
      <c r="G205" s="2">
        <v>8.1249999999999985E-3</v>
      </c>
      <c r="H205" t="s">
        <v>39</v>
      </c>
      <c r="I205" t="s">
        <v>39</v>
      </c>
      <c r="J205" t="s">
        <v>39</v>
      </c>
      <c r="K205" t="s">
        <v>39</v>
      </c>
      <c r="L205" t="s">
        <v>39</v>
      </c>
      <c r="M205" s="4">
        <v>0.24374999999999999</v>
      </c>
      <c r="N205" s="4">
        <v>0.16805555555555554</v>
      </c>
      <c r="O205">
        <v>3</v>
      </c>
      <c r="P205">
        <v>18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 t="s">
        <v>39</v>
      </c>
      <c r="X205" t="s">
        <v>39</v>
      </c>
      <c r="Y205" s="4">
        <v>0.48749999999999999</v>
      </c>
      <c r="Z205" s="4">
        <v>0</v>
      </c>
      <c r="AA205">
        <v>0</v>
      </c>
      <c r="AB205" s="4">
        <v>0</v>
      </c>
      <c r="AC205" t="s">
        <v>40</v>
      </c>
      <c r="AD205" t="s">
        <v>230</v>
      </c>
      <c r="AE205">
        <v>1</v>
      </c>
      <c r="AF205">
        <v>0</v>
      </c>
      <c r="AG205" s="2">
        <v>8.1249999999999985E-3</v>
      </c>
      <c r="AH205" s="2">
        <v>8.1249999999999985E-3</v>
      </c>
      <c r="AI205">
        <v>12</v>
      </c>
      <c r="AJ205">
        <v>28</v>
      </c>
    </row>
    <row r="206" spans="1:36" x14ac:dyDescent="0.25">
      <c r="A206" t="s">
        <v>45</v>
      </c>
      <c r="B206" s="1">
        <v>43882.547430555554</v>
      </c>
      <c r="C206" t="s">
        <v>37</v>
      </c>
      <c r="D206" t="s">
        <v>45</v>
      </c>
      <c r="E206">
        <v>0</v>
      </c>
      <c r="F206" t="s">
        <v>39</v>
      </c>
      <c r="G206" s="6">
        <v>8.5648148148148158E-5</v>
      </c>
      <c r="H206" t="s">
        <v>39</v>
      </c>
      <c r="I206" t="s">
        <v>39</v>
      </c>
      <c r="J206" t="s">
        <v>39</v>
      </c>
      <c r="K206" t="s">
        <v>39</v>
      </c>
      <c r="L206" t="s">
        <v>39</v>
      </c>
      <c r="M206" t="s">
        <v>39</v>
      </c>
      <c r="N206" t="s">
        <v>39</v>
      </c>
      <c r="O206" t="s">
        <v>39</v>
      </c>
      <c r="P206" t="s">
        <v>39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 t="s">
        <v>39</v>
      </c>
      <c r="X206" t="s">
        <v>39</v>
      </c>
      <c r="Y206" s="6">
        <v>8.5648148148148158E-5</v>
      </c>
      <c r="Z206" s="4">
        <v>0</v>
      </c>
      <c r="AA206">
        <v>0</v>
      </c>
      <c r="AB206" s="4">
        <v>0</v>
      </c>
      <c r="AC206" t="s">
        <v>40</v>
      </c>
      <c r="AD206" t="s">
        <v>230</v>
      </c>
      <c r="AE206">
        <v>1</v>
      </c>
      <c r="AF206">
        <v>0</v>
      </c>
      <c r="AG206" s="2">
        <v>0</v>
      </c>
      <c r="AH206" s="6">
        <v>8.5648148148148158E-5</v>
      </c>
      <c r="AI206" t="s">
        <v>39</v>
      </c>
      <c r="AJ206" t="s">
        <v>39</v>
      </c>
    </row>
    <row r="207" spans="1:36" x14ac:dyDescent="0.25">
      <c r="A207" t="s">
        <v>45</v>
      </c>
      <c r="B207" s="1">
        <v>43880.797256944446</v>
      </c>
      <c r="C207" t="s">
        <v>37</v>
      </c>
      <c r="D207" t="s">
        <v>49</v>
      </c>
      <c r="E207">
        <v>5.37</v>
      </c>
      <c r="F207">
        <v>362</v>
      </c>
      <c r="G207" s="2">
        <v>3.3310185185185186E-2</v>
      </c>
      <c r="H207" t="s">
        <v>39</v>
      </c>
      <c r="I207" t="s">
        <v>39</v>
      </c>
      <c r="J207" t="s">
        <v>39</v>
      </c>
      <c r="K207" t="s">
        <v>39</v>
      </c>
      <c r="L207" t="s">
        <v>39</v>
      </c>
      <c r="M207" s="4">
        <v>0.37222222222222223</v>
      </c>
      <c r="N207" s="4">
        <v>0.16527777777777777</v>
      </c>
      <c r="O207">
        <v>148</v>
      </c>
      <c r="P207">
        <v>138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 t="s">
        <v>39</v>
      </c>
      <c r="X207" t="s">
        <v>39</v>
      </c>
      <c r="Y207" s="3">
        <v>1.9986111111111111</v>
      </c>
      <c r="Z207" s="4">
        <v>0</v>
      </c>
      <c r="AA207">
        <v>0</v>
      </c>
      <c r="AB207" s="4">
        <v>0</v>
      </c>
      <c r="AC207" t="s">
        <v>40</v>
      </c>
      <c r="AD207" t="s">
        <v>251</v>
      </c>
      <c r="AE207">
        <v>24</v>
      </c>
      <c r="AF207">
        <v>0</v>
      </c>
      <c r="AG207" s="2">
        <v>3.3263888888888891E-2</v>
      </c>
      <c r="AH207" s="2">
        <v>3.3310185185185186E-2</v>
      </c>
      <c r="AI207">
        <v>13</v>
      </c>
      <c r="AJ207">
        <v>61</v>
      </c>
    </row>
    <row r="208" spans="1:36" x14ac:dyDescent="0.25">
      <c r="A208" t="s">
        <v>45</v>
      </c>
      <c r="B208" s="1">
        <v>43876.290972222225</v>
      </c>
      <c r="C208" t="s">
        <v>37</v>
      </c>
      <c r="D208" t="s">
        <v>49</v>
      </c>
      <c r="E208">
        <v>10</v>
      </c>
      <c r="F208">
        <v>726</v>
      </c>
      <c r="G208" s="2">
        <v>4.3391203703703703E-2</v>
      </c>
      <c r="H208" t="s">
        <v>39</v>
      </c>
      <c r="I208" t="s">
        <v>39</v>
      </c>
      <c r="J208" t="s">
        <v>39</v>
      </c>
      <c r="K208" t="s">
        <v>39</v>
      </c>
      <c r="L208" t="s">
        <v>39</v>
      </c>
      <c r="M208" s="4">
        <v>0.26041666666666669</v>
      </c>
      <c r="N208" s="4">
        <v>8.819444444444445E-2</v>
      </c>
      <c r="O208">
        <v>125</v>
      </c>
      <c r="P208">
        <v>129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 t="s">
        <v>39</v>
      </c>
      <c r="X208" t="s">
        <v>39</v>
      </c>
      <c r="Y208" s="2">
        <v>4.3391203703703703E-2</v>
      </c>
      <c r="Z208" s="4">
        <v>0</v>
      </c>
      <c r="AA208">
        <v>0</v>
      </c>
      <c r="AB208" s="4">
        <v>0</v>
      </c>
      <c r="AC208" t="s">
        <v>40</v>
      </c>
      <c r="AD208" t="s">
        <v>230</v>
      </c>
      <c r="AE208">
        <v>1</v>
      </c>
      <c r="AF208">
        <v>0</v>
      </c>
      <c r="AG208" s="2">
        <v>4.3391203703703703E-2</v>
      </c>
      <c r="AH208" s="2">
        <v>4.3391203703703703E-2</v>
      </c>
      <c r="AI208">
        <v>22</v>
      </c>
      <c r="AJ208">
        <v>59</v>
      </c>
    </row>
    <row r="209" spans="1:36" x14ac:dyDescent="0.25">
      <c r="A209" t="s">
        <v>45</v>
      </c>
      <c r="B209" s="1">
        <v>43873.803043981483</v>
      </c>
      <c r="C209" t="s">
        <v>37</v>
      </c>
      <c r="D209" t="s">
        <v>49</v>
      </c>
      <c r="E209">
        <v>4.17</v>
      </c>
      <c r="F209">
        <v>293</v>
      </c>
      <c r="G209" s="2">
        <v>2.3020833333333334E-2</v>
      </c>
      <c r="H209" t="s">
        <v>39</v>
      </c>
      <c r="I209" t="s">
        <v>39</v>
      </c>
      <c r="J209" t="s">
        <v>39</v>
      </c>
      <c r="K209" t="s">
        <v>39</v>
      </c>
      <c r="L209" t="s">
        <v>39</v>
      </c>
      <c r="M209" s="4">
        <v>0.33124999999999999</v>
      </c>
      <c r="N209" s="4">
        <v>0.18611111111111112</v>
      </c>
      <c r="O209">
        <v>138</v>
      </c>
      <c r="P209">
        <v>145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 t="s">
        <v>39</v>
      </c>
      <c r="X209" t="s">
        <v>39</v>
      </c>
      <c r="Y209" s="3">
        <v>1.3812499999999999</v>
      </c>
      <c r="Z209" s="4">
        <v>0</v>
      </c>
      <c r="AA209">
        <v>0</v>
      </c>
      <c r="AB209" s="4">
        <v>0</v>
      </c>
      <c r="AC209" t="s">
        <v>40</v>
      </c>
      <c r="AD209" t="s">
        <v>252</v>
      </c>
      <c r="AE209">
        <v>15</v>
      </c>
      <c r="AF209">
        <v>0</v>
      </c>
      <c r="AG209" s="2">
        <v>2.1712962962962962E-2</v>
      </c>
      <c r="AH209" s="2">
        <v>2.3344907407407408E-2</v>
      </c>
      <c r="AI209">
        <v>19</v>
      </c>
      <c r="AJ209">
        <v>63</v>
      </c>
    </row>
    <row r="210" spans="1:36" x14ac:dyDescent="0.25">
      <c r="A210" t="s">
        <v>45</v>
      </c>
      <c r="B210" s="1">
        <v>43871.798611111109</v>
      </c>
      <c r="C210" t="s">
        <v>37</v>
      </c>
      <c r="D210" t="s">
        <v>49</v>
      </c>
      <c r="E210">
        <v>6.22</v>
      </c>
      <c r="F210">
        <v>449</v>
      </c>
      <c r="G210" s="2">
        <v>3.079861111111111E-2</v>
      </c>
      <c r="H210" t="s">
        <v>39</v>
      </c>
      <c r="I210" t="s">
        <v>39</v>
      </c>
      <c r="J210" t="s">
        <v>39</v>
      </c>
      <c r="K210" t="s">
        <v>39</v>
      </c>
      <c r="L210" t="s">
        <v>39</v>
      </c>
      <c r="M210" s="4">
        <v>0.29722222222222222</v>
      </c>
      <c r="N210" s="4">
        <v>0.14722222222222223</v>
      </c>
      <c r="O210">
        <v>6</v>
      </c>
      <c r="P210">
        <v>7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 t="s">
        <v>39</v>
      </c>
      <c r="X210" t="s">
        <v>39</v>
      </c>
      <c r="Y210" s="3">
        <v>1.8479166666666667</v>
      </c>
      <c r="Z210" s="4">
        <v>0</v>
      </c>
      <c r="AA210">
        <v>0</v>
      </c>
      <c r="AB210" s="4">
        <v>0</v>
      </c>
      <c r="AC210" t="s">
        <v>40</v>
      </c>
      <c r="AD210" t="s">
        <v>253</v>
      </c>
      <c r="AE210">
        <v>19</v>
      </c>
      <c r="AF210">
        <v>0</v>
      </c>
      <c r="AG210" s="2">
        <v>3.0763888888888886E-2</v>
      </c>
      <c r="AH210" s="2">
        <v>3.079861111111111E-2</v>
      </c>
      <c r="AI210">
        <v>13</v>
      </c>
      <c r="AJ210">
        <v>20</v>
      </c>
    </row>
    <row r="211" spans="1:36" x14ac:dyDescent="0.25">
      <c r="A211" t="s">
        <v>45</v>
      </c>
      <c r="B211" s="1">
        <v>43870.324178240742</v>
      </c>
      <c r="C211" t="s">
        <v>37</v>
      </c>
      <c r="D211" t="s">
        <v>49</v>
      </c>
      <c r="E211">
        <v>7.36</v>
      </c>
      <c r="F211">
        <v>516</v>
      </c>
      <c r="G211" s="2">
        <v>3.515046296296296E-2</v>
      </c>
      <c r="H211" t="s">
        <v>39</v>
      </c>
      <c r="I211" t="s">
        <v>39</v>
      </c>
      <c r="J211" t="s">
        <v>39</v>
      </c>
      <c r="K211" t="s">
        <v>39</v>
      </c>
      <c r="L211" t="s">
        <v>39</v>
      </c>
      <c r="M211" s="4">
        <v>0.28680555555555554</v>
      </c>
      <c r="N211" s="4">
        <v>0.12708333333333333</v>
      </c>
      <c r="O211">
        <v>27</v>
      </c>
      <c r="P211">
        <v>31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 t="s">
        <v>39</v>
      </c>
      <c r="X211" t="s">
        <v>39</v>
      </c>
      <c r="Y211" s="3">
        <v>2.1090277777777779</v>
      </c>
      <c r="Z211" s="4">
        <v>0</v>
      </c>
      <c r="AA211">
        <v>0</v>
      </c>
      <c r="AB211" s="4">
        <v>0</v>
      </c>
      <c r="AC211" t="s">
        <v>40</v>
      </c>
      <c r="AD211" t="s">
        <v>102</v>
      </c>
      <c r="AE211">
        <v>10</v>
      </c>
      <c r="AF211">
        <v>0</v>
      </c>
      <c r="AG211" s="2">
        <v>3.5115740740740746E-2</v>
      </c>
      <c r="AH211" s="2">
        <v>3.515046296296296E-2</v>
      </c>
      <c r="AI211">
        <v>12</v>
      </c>
      <c r="AJ211">
        <v>29</v>
      </c>
    </row>
    <row r="212" spans="1:36" x14ac:dyDescent="0.25">
      <c r="A212" t="s">
        <v>45</v>
      </c>
      <c r="B212" s="1">
        <v>43866.797951388886</v>
      </c>
      <c r="C212" t="s">
        <v>37</v>
      </c>
      <c r="D212" t="s">
        <v>49</v>
      </c>
      <c r="E212">
        <v>5.18</v>
      </c>
      <c r="F212">
        <v>363</v>
      </c>
      <c r="G212" s="2">
        <v>2.7893518518518515E-2</v>
      </c>
      <c r="H212" t="s">
        <v>39</v>
      </c>
      <c r="I212" t="s">
        <v>39</v>
      </c>
      <c r="J212" t="s">
        <v>39</v>
      </c>
      <c r="K212" t="s">
        <v>39</v>
      </c>
      <c r="L212" t="s">
        <v>39</v>
      </c>
      <c r="M212" s="4">
        <v>0.32291666666666669</v>
      </c>
      <c r="N212" s="4">
        <v>0.18541666666666667</v>
      </c>
      <c r="O212">
        <v>158</v>
      </c>
      <c r="P212">
        <v>151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 t="s">
        <v>39</v>
      </c>
      <c r="X212" t="s">
        <v>39</v>
      </c>
      <c r="Y212" s="3">
        <v>1.6736111111111109</v>
      </c>
      <c r="Z212" s="4">
        <v>0</v>
      </c>
      <c r="AA212">
        <v>0</v>
      </c>
      <c r="AB212" s="4">
        <v>0</v>
      </c>
      <c r="AC212" t="s">
        <v>40</v>
      </c>
      <c r="AD212" t="s">
        <v>254</v>
      </c>
      <c r="AE212">
        <v>17</v>
      </c>
      <c r="AF212">
        <v>0</v>
      </c>
      <c r="AG212" s="2">
        <v>2.6261574074074076E-2</v>
      </c>
      <c r="AH212" s="2">
        <v>2.7893518518518515E-2</v>
      </c>
      <c r="AI212">
        <v>16</v>
      </c>
      <c r="AJ212">
        <v>55</v>
      </c>
    </row>
    <row r="213" spans="1:36" x14ac:dyDescent="0.25">
      <c r="A213" t="s">
        <v>45</v>
      </c>
      <c r="B213" s="1">
        <v>43863.330983796295</v>
      </c>
      <c r="C213" t="s">
        <v>37</v>
      </c>
      <c r="D213" t="s">
        <v>49</v>
      </c>
      <c r="E213">
        <v>9.2799999999999994</v>
      </c>
      <c r="F213">
        <v>658</v>
      </c>
      <c r="G213" s="2">
        <v>4.3692129629629629E-2</v>
      </c>
      <c r="H213" t="s">
        <v>39</v>
      </c>
      <c r="I213" t="s">
        <v>39</v>
      </c>
      <c r="J213" t="s">
        <v>39</v>
      </c>
      <c r="K213" t="s">
        <v>39</v>
      </c>
      <c r="L213" t="s">
        <v>39</v>
      </c>
      <c r="M213" s="4">
        <v>0.28263888888888888</v>
      </c>
      <c r="N213" s="4">
        <v>0.21111111111111111</v>
      </c>
      <c r="O213">
        <v>92</v>
      </c>
      <c r="P213">
        <v>92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 t="s">
        <v>39</v>
      </c>
      <c r="X213" t="s">
        <v>39</v>
      </c>
      <c r="Y213" s="2">
        <v>4.3692129629629629E-2</v>
      </c>
      <c r="Z213" s="4">
        <v>0</v>
      </c>
      <c r="AA213">
        <v>0</v>
      </c>
      <c r="AB213" s="4">
        <v>0</v>
      </c>
      <c r="AC213" t="s">
        <v>40</v>
      </c>
      <c r="AD213" t="s">
        <v>230</v>
      </c>
      <c r="AE213">
        <v>1</v>
      </c>
      <c r="AF213">
        <v>0</v>
      </c>
      <c r="AG213" s="2">
        <v>4.3680555555555556E-2</v>
      </c>
      <c r="AH213" s="2">
        <v>4.3692129629629629E-2</v>
      </c>
      <c r="AI213">
        <v>12</v>
      </c>
      <c r="AJ213">
        <v>56</v>
      </c>
    </row>
    <row r="214" spans="1:36" x14ac:dyDescent="0.25">
      <c r="A214" t="s">
        <v>45</v>
      </c>
      <c r="B214" s="1">
        <v>43859.794768518521</v>
      </c>
      <c r="C214" t="s">
        <v>37</v>
      </c>
      <c r="D214" t="s">
        <v>49</v>
      </c>
      <c r="E214">
        <v>6.13</v>
      </c>
      <c r="F214">
        <v>450</v>
      </c>
      <c r="G214" s="2">
        <v>2.4699074074074078E-2</v>
      </c>
      <c r="H214" t="s">
        <v>39</v>
      </c>
      <c r="I214" t="s">
        <v>39</v>
      </c>
      <c r="J214" t="s">
        <v>39</v>
      </c>
      <c r="K214" t="s">
        <v>39</v>
      </c>
      <c r="L214" t="s">
        <v>39</v>
      </c>
      <c r="M214" s="4">
        <v>0.24166666666666667</v>
      </c>
      <c r="N214" s="4">
        <v>0.21041666666666667</v>
      </c>
      <c r="O214">
        <v>15</v>
      </c>
      <c r="P214">
        <v>16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 t="s">
        <v>39</v>
      </c>
      <c r="X214" t="s">
        <v>39</v>
      </c>
      <c r="Y214" s="3">
        <v>1.4819444444444445</v>
      </c>
      <c r="Z214" s="4">
        <v>0</v>
      </c>
      <c r="AA214">
        <v>0</v>
      </c>
      <c r="AB214" s="4">
        <v>0</v>
      </c>
      <c r="AC214" t="s">
        <v>40</v>
      </c>
      <c r="AD214" t="s">
        <v>230</v>
      </c>
      <c r="AE214">
        <v>1</v>
      </c>
      <c r="AF214">
        <v>0</v>
      </c>
      <c r="AG214" s="2">
        <v>2.4699074074074078E-2</v>
      </c>
      <c r="AH214" s="2">
        <v>2.4699074074074078E-2</v>
      </c>
      <c r="AI214">
        <v>13</v>
      </c>
      <c r="AJ214">
        <v>20</v>
      </c>
    </row>
    <row r="215" spans="1:36" x14ac:dyDescent="0.25">
      <c r="A215" t="s">
        <v>45</v>
      </c>
      <c r="B215" s="1">
        <v>43857.816782407404</v>
      </c>
      <c r="C215" t="s">
        <v>37</v>
      </c>
      <c r="D215" t="s">
        <v>49</v>
      </c>
      <c r="E215">
        <v>0.65</v>
      </c>
      <c r="F215">
        <v>49</v>
      </c>
      <c r="G215" s="6">
        <v>2.9814814814814812E-3</v>
      </c>
      <c r="H215" t="s">
        <v>39</v>
      </c>
      <c r="I215" t="s">
        <v>39</v>
      </c>
      <c r="J215" t="s">
        <v>39</v>
      </c>
      <c r="K215" t="s">
        <v>39</v>
      </c>
      <c r="L215" t="s">
        <v>39</v>
      </c>
      <c r="M215" s="4">
        <v>0.27291666666666664</v>
      </c>
      <c r="N215" s="4">
        <v>0.22916666666666666</v>
      </c>
      <c r="O215">
        <v>8</v>
      </c>
      <c r="P215">
        <v>7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 t="s">
        <v>39</v>
      </c>
      <c r="X215" t="s">
        <v>39</v>
      </c>
      <c r="Y215" s="6">
        <v>2.9814814814814812E-3</v>
      </c>
      <c r="Z215" s="4">
        <v>0</v>
      </c>
      <c r="AA215">
        <v>0</v>
      </c>
      <c r="AB215" s="4">
        <v>0</v>
      </c>
      <c r="AC215" t="s">
        <v>40</v>
      </c>
      <c r="AD215" t="s">
        <v>230</v>
      </c>
      <c r="AE215">
        <v>1</v>
      </c>
      <c r="AF215">
        <v>0</v>
      </c>
      <c r="AG215" s="6">
        <v>2.9814814814814812E-3</v>
      </c>
      <c r="AH215" s="6">
        <v>2.9814814814814812E-3</v>
      </c>
      <c r="AI215">
        <v>17</v>
      </c>
      <c r="AJ215">
        <v>26</v>
      </c>
    </row>
    <row r="216" spans="1:36" x14ac:dyDescent="0.25">
      <c r="A216" t="s">
        <v>45</v>
      </c>
      <c r="B216" s="1">
        <v>43857.811273148145</v>
      </c>
      <c r="C216" t="s">
        <v>37</v>
      </c>
      <c r="D216" t="s">
        <v>49</v>
      </c>
      <c r="E216">
        <v>0.99</v>
      </c>
      <c r="F216">
        <v>73</v>
      </c>
      <c r="G216" s="6">
        <v>2.8437499999999995E-3</v>
      </c>
      <c r="H216" t="s">
        <v>39</v>
      </c>
      <c r="I216" t="s">
        <v>39</v>
      </c>
      <c r="J216" t="s">
        <v>39</v>
      </c>
      <c r="K216" t="s">
        <v>39</v>
      </c>
      <c r="L216" t="s">
        <v>39</v>
      </c>
      <c r="M216" s="4">
        <v>0.17152777777777775</v>
      </c>
      <c r="N216" s="4">
        <v>0.15208333333333332</v>
      </c>
      <c r="O216">
        <v>8</v>
      </c>
      <c r="P216">
        <v>17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 t="s">
        <v>39</v>
      </c>
      <c r="X216" t="s">
        <v>39</v>
      </c>
      <c r="Y216" s="6">
        <v>2.8437499999999995E-3</v>
      </c>
      <c r="Z216" s="4">
        <v>0</v>
      </c>
      <c r="AA216">
        <v>0</v>
      </c>
      <c r="AB216" s="4">
        <v>0</v>
      </c>
      <c r="AC216" t="s">
        <v>40</v>
      </c>
      <c r="AD216" t="s">
        <v>230</v>
      </c>
      <c r="AE216">
        <v>1</v>
      </c>
      <c r="AF216">
        <v>0</v>
      </c>
      <c r="AG216" s="6">
        <v>2.8437499999999995E-3</v>
      </c>
      <c r="AH216" s="6">
        <v>2.8437499999999995E-3</v>
      </c>
      <c r="AI216">
        <v>17</v>
      </c>
      <c r="AJ216">
        <v>27</v>
      </c>
    </row>
    <row r="217" spans="1:36" x14ac:dyDescent="0.25">
      <c r="A217" t="s">
        <v>45</v>
      </c>
      <c r="B217" s="1">
        <v>43857.805428240739</v>
      </c>
      <c r="C217" t="s">
        <v>37</v>
      </c>
      <c r="D217" t="s">
        <v>49</v>
      </c>
      <c r="E217">
        <v>0.63</v>
      </c>
      <c r="F217">
        <v>47</v>
      </c>
      <c r="G217" s="6">
        <v>2.8020833333333335E-3</v>
      </c>
      <c r="H217" t="s">
        <v>39</v>
      </c>
      <c r="I217" t="s">
        <v>39</v>
      </c>
      <c r="J217" t="s">
        <v>39</v>
      </c>
      <c r="K217" t="s">
        <v>39</v>
      </c>
      <c r="L217" t="s">
        <v>39</v>
      </c>
      <c r="M217" s="4">
        <v>0.26805555555555555</v>
      </c>
      <c r="N217" s="4">
        <v>0.24652777777777779</v>
      </c>
      <c r="O217">
        <v>8</v>
      </c>
      <c r="P217">
        <v>9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 t="s">
        <v>39</v>
      </c>
      <c r="X217" t="s">
        <v>39</v>
      </c>
      <c r="Y217" s="6">
        <v>2.8020833333333335E-3</v>
      </c>
      <c r="Z217" s="4">
        <v>0</v>
      </c>
      <c r="AA217">
        <v>0</v>
      </c>
      <c r="AB217" s="4">
        <v>0</v>
      </c>
      <c r="AC217" t="s">
        <v>40</v>
      </c>
      <c r="AD217" t="s">
        <v>230</v>
      </c>
      <c r="AE217">
        <v>1</v>
      </c>
      <c r="AF217">
        <v>0</v>
      </c>
      <c r="AG217" s="2">
        <v>2.8009259259259259E-3</v>
      </c>
      <c r="AH217" s="6">
        <v>2.8020833333333335E-3</v>
      </c>
      <c r="AI217">
        <v>17</v>
      </c>
      <c r="AJ217">
        <v>27</v>
      </c>
    </row>
    <row r="218" spans="1:36" x14ac:dyDescent="0.25">
      <c r="A218" t="s">
        <v>45</v>
      </c>
      <c r="B218" s="1">
        <v>43852.795520833337</v>
      </c>
      <c r="C218" t="s">
        <v>37</v>
      </c>
      <c r="D218" t="s">
        <v>49</v>
      </c>
      <c r="E218">
        <v>5.32</v>
      </c>
      <c r="F218">
        <v>380</v>
      </c>
      <c r="G218" s="2">
        <v>2.4120370370370372E-2</v>
      </c>
      <c r="H218" t="s">
        <v>39</v>
      </c>
      <c r="I218" t="s">
        <v>39</v>
      </c>
      <c r="J218" t="s">
        <v>39</v>
      </c>
      <c r="K218" t="s">
        <v>39</v>
      </c>
      <c r="L218" t="s">
        <v>39</v>
      </c>
      <c r="M218" s="4">
        <v>0.2722222222222222</v>
      </c>
      <c r="N218" s="4">
        <v>0.18472222222222223</v>
      </c>
      <c r="O218">
        <v>107</v>
      </c>
      <c r="P218">
        <v>117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 t="s">
        <v>39</v>
      </c>
      <c r="X218" t="s">
        <v>39</v>
      </c>
      <c r="Y218" s="3">
        <v>1.4472222222222222</v>
      </c>
      <c r="Z218" s="4">
        <v>0</v>
      </c>
      <c r="AA218">
        <v>0</v>
      </c>
      <c r="AB218" s="4">
        <v>0</v>
      </c>
      <c r="AC218" t="s">
        <v>40</v>
      </c>
      <c r="AD218" t="s">
        <v>255</v>
      </c>
      <c r="AE218">
        <v>15</v>
      </c>
      <c r="AF218">
        <v>0</v>
      </c>
      <c r="AG218" s="2">
        <v>2.4085648148148148E-2</v>
      </c>
      <c r="AH218" s="2">
        <v>2.8344907407407412E-2</v>
      </c>
      <c r="AI218">
        <v>13</v>
      </c>
      <c r="AJ218">
        <v>54</v>
      </c>
    </row>
    <row r="219" spans="1:36" x14ac:dyDescent="0.25">
      <c r="A219" t="s">
        <v>45</v>
      </c>
      <c r="B219" s="1">
        <v>43850.795717592591</v>
      </c>
      <c r="C219" t="s">
        <v>37</v>
      </c>
      <c r="D219" t="s">
        <v>49</v>
      </c>
      <c r="E219">
        <v>6.96</v>
      </c>
      <c r="F219">
        <v>503</v>
      </c>
      <c r="G219" s="2">
        <v>3.2835648148148149E-2</v>
      </c>
      <c r="H219" t="s">
        <v>39</v>
      </c>
      <c r="I219" t="s">
        <v>39</v>
      </c>
      <c r="J219" t="s">
        <v>39</v>
      </c>
      <c r="K219" t="s">
        <v>39</v>
      </c>
      <c r="L219" t="s">
        <v>39</v>
      </c>
      <c r="M219" s="4">
        <v>0.28263888888888888</v>
      </c>
      <c r="N219" s="4">
        <v>0.17500000000000002</v>
      </c>
      <c r="O219">
        <v>56</v>
      </c>
      <c r="P219">
        <v>49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 t="s">
        <v>39</v>
      </c>
      <c r="X219" t="s">
        <v>39</v>
      </c>
      <c r="Y219" s="3">
        <v>1.9701388888888889</v>
      </c>
      <c r="Z219" s="4">
        <v>0</v>
      </c>
      <c r="AA219">
        <v>0</v>
      </c>
      <c r="AB219" s="4">
        <v>0</v>
      </c>
      <c r="AC219" t="s">
        <v>40</v>
      </c>
      <c r="AD219" t="s">
        <v>256</v>
      </c>
      <c r="AE219">
        <v>15</v>
      </c>
      <c r="AF219">
        <v>0</v>
      </c>
      <c r="AG219" s="2">
        <v>3.184027777777778E-2</v>
      </c>
      <c r="AH219" s="2">
        <v>3.2835648148148149E-2</v>
      </c>
      <c r="AI219">
        <v>9</v>
      </c>
      <c r="AJ219">
        <v>24</v>
      </c>
    </row>
    <row r="220" spans="1:36" x14ac:dyDescent="0.25">
      <c r="A220" t="s">
        <v>45</v>
      </c>
      <c r="B220" s="1">
        <v>43848.31009259259</v>
      </c>
      <c r="C220" t="s">
        <v>37</v>
      </c>
      <c r="D220" t="s">
        <v>49</v>
      </c>
      <c r="E220">
        <v>7.71</v>
      </c>
      <c r="F220">
        <v>565</v>
      </c>
      <c r="G220" s="2">
        <v>3.4942129629629635E-2</v>
      </c>
      <c r="H220" t="s">
        <v>39</v>
      </c>
      <c r="I220" t="s">
        <v>39</v>
      </c>
      <c r="J220" t="s">
        <v>39</v>
      </c>
      <c r="K220" t="s">
        <v>39</v>
      </c>
      <c r="L220" t="s">
        <v>39</v>
      </c>
      <c r="M220" s="4">
        <v>0.27152777777777776</v>
      </c>
      <c r="N220" s="4">
        <v>0.15625</v>
      </c>
      <c r="O220">
        <v>117</v>
      </c>
      <c r="P220">
        <v>122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 t="s">
        <v>39</v>
      </c>
      <c r="X220" t="s">
        <v>39</v>
      </c>
      <c r="Y220" s="3">
        <v>2.0965277777777778</v>
      </c>
      <c r="Z220" s="4">
        <v>0</v>
      </c>
      <c r="AA220">
        <v>0</v>
      </c>
      <c r="AB220" s="4">
        <v>0</v>
      </c>
      <c r="AC220" t="s">
        <v>40</v>
      </c>
      <c r="AD220" t="s">
        <v>230</v>
      </c>
      <c r="AE220">
        <v>1</v>
      </c>
      <c r="AF220">
        <v>0</v>
      </c>
      <c r="AG220" s="2">
        <v>3.4942129629629635E-2</v>
      </c>
      <c r="AH220" s="2">
        <v>3.4942129629629635E-2</v>
      </c>
      <c r="AI220">
        <v>22</v>
      </c>
      <c r="AJ220">
        <v>65</v>
      </c>
    </row>
    <row r="221" spans="1:36" x14ac:dyDescent="0.25">
      <c r="A221" t="s">
        <v>45</v>
      </c>
      <c r="B221" s="1">
        <v>43845.821620370371</v>
      </c>
      <c r="C221" t="s">
        <v>37</v>
      </c>
      <c r="D221" t="s">
        <v>49</v>
      </c>
      <c r="E221">
        <v>0.41</v>
      </c>
      <c r="F221">
        <v>30</v>
      </c>
      <c r="G221" s="6">
        <v>1.5370370370370371E-3</v>
      </c>
      <c r="H221" t="s">
        <v>39</v>
      </c>
      <c r="I221" t="s">
        <v>39</v>
      </c>
      <c r="J221" t="s">
        <v>39</v>
      </c>
      <c r="K221" t="s">
        <v>39</v>
      </c>
      <c r="L221" t="s">
        <v>39</v>
      </c>
      <c r="M221" s="4">
        <v>0.22500000000000001</v>
      </c>
      <c r="N221" s="4">
        <v>0.20902777777777778</v>
      </c>
      <c r="O221" t="s">
        <v>39</v>
      </c>
      <c r="P221" t="s">
        <v>39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 t="s">
        <v>39</v>
      </c>
      <c r="X221" t="s">
        <v>39</v>
      </c>
      <c r="Y221" s="6">
        <v>1.5370370370370371E-3</v>
      </c>
      <c r="Z221" s="4">
        <v>0</v>
      </c>
      <c r="AA221">
        <v>0</v>
      </c>
      <c r="AB221" s="4">
        <v>0</v>
      </c>
      <c r="AC221" t="s">
        <v>40</v>
      </c>
      <c r="AD221" t="s">
        <v>230</v>
      </c>
      <c r="AE221">
        <v>1</v>
      </c>
      <c r="AF221">
        <v>0</v>
      </c>
      <c r="AG221" s="6">
        <v>1.5370370370370371E-3</v>
      </c>
      <c r="AH221" s="6">
        <v>1.5370370370370371E-3</v>
      </c>
      <c r="AI221">
        <v>14</v>
      </c>
      <c r="AJ221">
        <v>15</v>
      </c>
    </row>
    <row r="222" spans="1:36" x14ac:dyDescent="0.25">
      <c r="A222" t="s">
        <v>45</v>
      </c>
      <c r="B222" s="1">
        <v>43845.795659722222</v>
      </c>
      <c r="C222" t="s">
        <v>37</v>
      </c>
      <c r="D222" t="s">
        <v>49</v>
      </c>
      <c r="E222">
        <v>5.66</v>
      </c>
      <c r="F222">
        <v>410</v>
      </c>
      <c r="G222" s="2">
        <v>2.4502314814814814E-2</v>
      </c>
      <c r="H222" t="s">
        <v>39</v>
      </c>
      <c r="I222" t="s">
        <v>39</v>
      </c>
      <c r="J222" t="s">
        <v>39</v>
      </c>
      <c r="K222" t="s">
        <v>39</v>
      </c>
      <c r="L222" t="s">
        <v>39</v>
      </c>
      <c r="M222" s="4">
        <v>0.25972222222222224</v>
      </c>
      <c r="N222" s="4">
        <v>0.17708333333333334</v>
      </c>
      <c r="O222" t="s">
        <v>39</v>
      </c>
      <c r="P222" t="s">
        <v>39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 t="s">
        <v>39</v>
      </c>
      <c r="X222" t="s">
        <v>39</v>
      </c>
      <c r="Y222" s="3">
        <v>1.4701388888888889</v>
      </c>
      <c r="Z222" s="4">
        <v>0</v>
      </c>
      <c r="AA222">
        <v>0</v>
      </c>
      <c r="AB222" s="4">
        <v>0</v>
      </c>
      <c r="AC222" t="s">
        <v>40</v>
      </c>
      <c r="AD222" t="s">
        <v>257</v>
      </c>
      <c r="AE222">
        <v>11</v>
      </c>
      <c r="AF222">
        <v>0</v>
      </c>
      <c r="AG222" s="2">
        <v>2.2812499999999999E-2</v>
      </c>
      <c r="AH222" s="2">
        <v>2.4502314814814814E-2</v>
      </c>
      <c r="AI222">
        <v>14</v>
      </c>
      <c r="AJ222">
        <v>15</v>
      </c>
    </row>
    <row r="223" spans="1:36" x14ac:dyDescent="0.25">
      <c r="A223" t="s">
        <v>45</v>
      </c>
      <c r="B223" s="1">
        <v>43843.801111111112</v>
      </c>
      <c r="C223" t="s">
        <v>37</v>
      </c>
      <c r="D223" t="s">
        <v>258</v>
      </c>
      <c r="E223">
        <v>5.42</v>
      </c>
      <c r="F223">
        <v>398</v>
      </c>
      <c r="G223" s="2">
        <v>2.1203703703703707E-2</v>
      </c>
      <c r="H223" t="s">
        <v>39</v>
      </c>
      <c r="I223" t="s">
        <v>39</v>
      </c>
      <c r="J223" t="s">
        <v>39</v>
      </c>
      <c r="K223" t="s">
        <v>39</v>
      </c>
      <c r="L223" t="s">
        <v>39</v>
      </c>
      <c r="M223" s="4">
        <v>0.23472222222222219</v>
      </c>
      <c r="N223" s="4">
        <v>0.15</v>
      </c>
      <c r="O223">
        <v>41</v>
      </c>
      <c r="P223">
        <v>40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 t="s">
        <v>39</v>
      </c>
      <c r="X223" t="s">
        <v>39</v>
      </c>
      <c r="Y223" s="3">
        <v>1.2722222222222224</v>
      </c>
      <c r="Z223" s="4">
        <v>0</v>
      </c>
      <c r="AA223">
        <v>0</v>
      </c>
      <c r="AB223" s="4">
        <v>0</v>
      </c>
      <c r="AC223" t="s">
        <v>40</v>
      </c>
      <c r="AD223" t="s">
        <v>230</v>
      </c>
      <c r="AE223">
        <v>1</v>
      </c>
      <c r="AF223">
        <v>0</v>
      </c>
      <c r="AG223" s="2">
        <v>2.1203703703703707E-2</v>
      </c>
      <c r="AH223" s="2">
        <v>2.2511574074074073E-2</v>
      </c>
      <c r="AI223">
        <v>15</v>
      </c>
      <c r="AJ223">
        <v>24</v>
      </c>
    </row>
    <row r="224" spans="1:36" x14ac:dyDescent="0.25">
      <c r="A224" t="s">
        <v>45</v>
      </c>
      <c r="B224" s="1">
        <v>43843.795520833337</v>
      </c>
      <c r="C224" t="s">
        <v>37</v>
      </c>
      <c r="D224" t="s">
        <v>258</v>
      </c>
      <c r="E224">
        <v>0.69</v>
      </c>
      <c r="F224">
        <v>51</v>
      </c>
      <c r="G224" s="6">
        <v>3.1782407407407402E-3</v>
      </c>
      <c r="H224" t="s">
        <v>39</v>
      </c>
      <c r="I224" t="s">
        <v>39</v>
      </c>
      <c r="J224" t="s">
        <v>39</v>
      </c>
      <c r="K224" t="s">
        <v>39</v>
      </c>
      <c r="L224" t="s">
        <v>39</v>
      </c>
      <c r="M224" s="4">
        <v>0.27708333333333335</v>
      </c>
      <c r="N224" s="4">
        <v>0.24583333333333335</v>
      </c>
      <c r="O224">
        <v>7</v>
      </c>
      <c r="P224">
        <v>6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 t="s">
        <v>39</v>
      </c>
      <c r="X224" t="s">
        <v>39</v>
      </c>
      <c r="Y224" s="6">
        <v>3.1782407407407402E-3</v>
      </c>
      <c r="Z224" s="4">
        <v>0</v>
      </c>
      <c r="AA224">
        <v>0</v>
      </c>
      <c r="AB224" s="4">
        <v>0</v>
      </c>
      <c r="AC224" t="s">
        <v>40</v>
      </c>
      <c r="AD224" t="s">
        <v>230</v>
      </c>
      <c r="AE224">
        <v>1</v>
      </c>
      <c r="AF224">
        <v>0</v>
      </c>
      <c r="AG224" s="6">
        <v>3.1782407407407402E-3</v>
      </c>
      <c r="AH224" s="6">
        <v>3.1782407407407402E-3</v>
      </c>
      <c r="AI224">
        <v>9</v>
      </c>
      <c r="AJ224">
        <v>20</v>
      </c>
    </row>
    <row r="225" spans="1:36" x14ac:dyDescent="0.25">
      <c r="A225" t="s">
        <v>45</v>
      </c>
      <c r="B225" s="1">
        <v>43841.313032407408</v>
      </c>
      <c r="C225" t="s">
        <v>37</v>
      </c>
      <c r="D225" t="s">
        <v>258</v>
      </c>
      <c r="E225">
        <v>1.75</v>
      </c>
      <c r="F225">
        <v>92</v>
      </c>
      <c r="G225" s="2">
        <v>1.539351851851852E-2</v>
      </c>
      <c r="H225" t="s">
        <v>39</v>
      </c>
      <c r="I225" t="s">
        <v>39</v>
      </c>
      <c r="J225" t="s">
        <v>39</v>
      </c>
      <c r="K225" t="s">
        <v>39</v>
      </c>
      <c r="L225" t="s">
        <v>39</v>
      </c>
      <c r="M225" s="4">
        <v>0.52708333333333335</v>
      </c>
      <c r="N225" s="4">
        <v>0.35347222222222219</v>
      </c>
      <c r="O225">
        <v>18</v>
      </c>
      <c r="P225">
        <v>15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 t="s">
        <v>39</v>
      </c>
      <c r="X225" t="s">
        <v>39</v>
      </c>
      <c r="Y225" s="4">
        <v>0.92361111111111116</v>
      </c>
      <c r="Z225" s="4">
        <v>0</v>
      </c>
      <c r="AA225">
        <v>0</v>
      </c>
      <c r="AB225" s="4">
        <v>0</v>
      </c>
      <c r="AC225" t="s">
        <v>40</v>
      </c>
      <c r="AD225" t="s">
        <v>230</v>
      </c>
      <c r="AE225">
        <v>1</v>
      </c>
      <c r="AF225">
        <v>0</v>
      </c>
      <c r="AG225" s="2">
        <v>1.539351851851852E-2</v>
      </c>
      <c r="AH225" s="2">
        <v>1.539351851851852E-2</v>
      </c>
      <c r="AI225">
        <v>14</v>
      </c>
      <c r="AJ225">
        <v>28</v>
      </c>
    </row>
    <row r="226" spans="1:36" x14ac:dyDescent="0.25">
      <c r="A226" t="s">
        <v>45</v>
      </c>
      <c r="B226" s="1">
        <v>43841.285381944443</v>
      </c>
      <c r="C226" t="s">
        <v>37</v>
      </c>
      <c r="D226" t="s">
        <v>258</v>
      </c>
      <c r="E226">
        <v>4.8099999999999996</v>
      </c>
      <c r="F226">
        <v>343</v>
      </c>
      <c r="G226" s="2">
        <v>2.7071759259259257E-2</v>
      </c>
      <c r="H226" t="s">
        <v>39</v>
      </c>
      <c r="I226" t="s">
        <v>39</v>
      </c>
      <c r="J226" t="s">
        <v>39</v>
      </c>
      <c r="K226" t="s">
        <v>39</v>
      </c>
      <c r="L226" t="s">
        <v>39</v>
      </c>
      <c r="M226" s="4">
        <v>0.33819444444444446</v>
      </c>
      <c r="N226" s="4">
        <v>0.18194444444444444</v>
      </c>
      <c r="O226">
        <v>6</v>
      </c>
      <c r="P226">
        <v>5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 t="s">
        <v>39</v>
      </c>
      <c r="X226" t="s">
        <v>39</v>
      </c>
      <c r="Y226" s="3">
        <v>1.6243055555555557</v>
      </c>
      <c r="Z226" s="4">
        <v>0</v>
      </c>
      <c r="AA226">
        <v>0</v>
      </c>
      <c r="AB226" s="4">
        <v>0</v>
      </c>
      <c r="AC226" t="s">
        <v>40</v>
      </c>
      <c r="AD226" t="s">
        <v>259</v>
      </c>
      <c r="AE226">
        <v>16</v>
      </c>
      <c r="AF226">
        <v>0</v>
      </c>
      <c r="AG226" s="2">
        <v>2.4745370370370372E-2</v>
      </c>
      <c r="AH226" s="2">
        <v>2.7071759259259257E-2</v>
      </c>
      <c r="AI226">
        <v>14</v>
      </c>
      <c r="AJ226">
        <v>18</v>
      </c>
    </row>
    <row r="227" spans="1:36" x14ac:dyDescent="0.25">
      <c r="A227" t="s">
        <v>45</v>
      </c>
      <c r="B227" s="1">
        <v>43841.278564814813</v>
      </c>
      <c r="C227" t="s">
        <v>37</v>
      </c>
      <c r="D227" t="s">
        <v>258</v>
      </c>
      <c r="E227">
        <v>1.42</v>
      </c>
      <c r="F227">
        <v>104</v>
      </c>
      <c r="G227" s="6">
        <v>5.7789351851851856E-3</v>
      </c>
      <c r="H227" t="s">
        <v>39</v>
      </c>
      <c r="I227" t="s">
        <v>39</v>
      </c>
      <c r="J227" t="s">
        <v>39</v>
      </c>
      <c r="K227" t="s">
        <v>39</v>
      </c>
      <c r="L227" t="s">
        <v>39</v>
      </c>
      <c r="M227" s="4">
        <v>0.24444444444444446</v>
      </c>
      <c r="N227" s="4">
        <v>0.16874999999999998</v>
      </c>
      <c r="O227">
        <v>8</v>
      </c>
      <c r="P227">
        <v>19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 t="s">
        <v>39</v>
      </c>
      <c r="X227" t="s">
        <v>39</v>
      </c>
      <c r="Y227" s="6">
        <v>5.7789351851851856E-3</v>
      </c>
      <c r="Z227" s="4">
        <v>0</v>
      </c>
      <c r="AA227">
        <v>0</v>
      </c>
      <c r="AB227" s="4">
        <v>0</v>
      </c>
      <c r="AC227" t="s">
        <v>40</v>
      </c>
      <c r="AD227" t="s">
        <v>230</v>
      </c>
      <c r="AE227">
        <v>1</v>
      </c>
      <c r="AF227">
        <v>0</v>
      </c>
      <c r="AG227" s="2">
        <v>5.7754629629629623E-3</v>
      </c>
      <c r="AH227" s="6">
        <v>5.7789351851851856E-3</v>
      </c>
      <c r="AI227">
        <v>14</v>
      </c>
      <c r="AJ227">
        <v>28</v>
      </c>
    </row>
    <row r="228" spans="1:36" x14ac:dyDescent="0.25">
      <c r="A228" t="s">
        <v>45</v>
      </c>
      <c r="B228" s="1">
        <v>43836.803923611114</v>
      </c>
      <c r="C228" t="s">
        <v>37</v>
      </c>
      <c r="D228" t="s">
        <v>258</v>
      </c>
      <c r="E228">
        <v>4.04</v>
      </c>
      <c r="F228">
        <v>287</v>
      </c>
      <c r="G228" s="2">
        <v>1.8819444444444448E-2</v>
      </c>
      <c r="H228" t="s">
        <v>39</v>
      </c>
      <c r="I228" t="s">
        <v>39</v>
      </c>
      <c r="J228" t="s">
        <v>39</v>
      </c>
      <c r="K228" t="s">
        <v>39</v>
      </c>
      <c r="L228" t="s">
        <v>39</v>
      </c>
      <c r="M228" s="4">
        <v>0.27986111111111112</v>
      </c>
      <c r="N228" s="4">
        <v>0.15694444444444444</v>
      </c>
      <c r="O228">
        <v>43</v>
      </c>
      <c r="P228">
        <v>36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 t="s">
        <v>39</v>
      </c>
      <c r="X228" t="s">
        <v>39</v>
      </c>
      <c r="Y228" s="3">
        <v>1.1291666666666667</v>
      </c>
      <c r="Z228" s="4">
        <v>0</v>
      </c>
      <c r="AA228">
        <v>0</v>
      </c>
      <c r="AB228" s="4">
        <v>0</v>
      </c>
      <c r="AC228" t="s">
        <v>40</v>
      </c>
      <c r="AD228" t="s">
        <v>260</v>
      </c>
      <c r="AE228">
        <v>23</v>
      </c>
      <c r="AF228">
        <v>0</v>
      </c>
      <c r="AG228" s="2">
        <v>1.8368055555555554E-2</v>
      </c>
      <c r="AH228" s="2">
        <v>1.8819444444444448E-2</v>
      </c>
      <c r="AI228">
        <v>17</v>
      </c>
      <c r="AJ228">
        <v>26</v>
      </c>
    </row>
    <row r="229" spans="1:36" x14ac:dyDescent="0.25">
      <c r="A229" t="s">
        <v>45</v>
      </c>
      <c r="B229" s="1">
        <v>43836.799895833334</v>
      </c>
      <c r="C229" t="s">
        <v>37</v>
      </c>
      <c r="D229" t="s">
        <v>258</v>
      </c>
      <c r="E229">
        <v>0.63</v>
      </c>
      <c r="F229">
        <v>45</v>
      </c>
      <c r="G229" s="6">
        <v>2.6041666666666665E-3</v>
      </c>
      <c r="H229" t="s">
        <v>39</v>
      </c>
      <c r="I229" t="s">
        <v>39</v>
      </c>
      <c r="J229" t="s">
        <v>39</v>
      </c>
      <c r="K229" t="s">
        <v>39</v>
      </c>
      <c r="L229" t="s">
        <v>39</v>
      </c>
      <c r="M229" s="4">
        <v>0.24930555555555556</v>
      </c>
      <c r="N229" s="4">
        <v>0.21527777777777779</v>
      </c>
      <c r="O229">
        <v>2</v>
      </c>
      <c r="P229" t="s">
        <v>39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 t="s">
        <v>39</v>
      </c>
      <c r="X229" t="s">
        <v>39</v>
      </c>
      <c r="Y229" s="6">
        <v>2.6041666666666665E-3</v>
      </c>
      <c r="Z229" s="4">
        <v>0</v>
      </c>
      <c r="AA229">
        <v>0</v>
      </c>
      <c r="AB229" s="4">
        <v>0</v>
      </c>
      <c r="AC229" t="s">
        <v>40</v>
      </c>
      <c r="AD229" t="s">
        <v>230</v>
      </c>
      <c r="AE229">
        <v>1</v>
      </c>
      <c r="AF229">
        <v>0</v>
      </c>
      <c r="AG229" s="2">
        <v>2.6041666666666665E-3</v>
      </c>
      <c r="AH229" s="6">
        <v>2.6041666666666665E-3</v>
      </c>
      <c r="AI229">
        <v>17</v>
      </c>
      <c r="AJ229">
        <v>21</v>
      </c>
    </row>
    <row r="230" spans="1:36" x14ac:dyDescent="0.25">
      <c r="A230" t="s">
        <v>45</v>
      </c>
      <c r="B230" s="1">
        <v>43801.761307870373</v>
      </c>
      <c r="C230" t="s">
        <v>37</v>
      </c>
      <c r="D230" t="s">
        <v>258</v>
      </c>
      <c r="E230">
        <v>8</v>
      </c>
      <c r="F230">
        <v>567</v>
      </c>
      <c r="G230" s="2">
        <v>3.3831018518518517E-2</v>
      </c>
      <c r="H230" t="s">
        <v>39</v>
      </c>
      <c r="I230" t="s">
        <v>39</v>
      </c>
      <c r="J230" t="s">
        <v>39</v>
      </c>
      <c r="K230" t="s">
        <v>39</v>
      </c>
      <c r="L230" t="s">
        <v>39</v>
      </c>
      <c r="M230" s="4">
        <v>0.25347222222222221</v>
      </c>
      <c r="N230" s="4">
        <v>0.19305555555555554</v>
      </c>
      <c r="O230">
        <v>26</v>
      </c>
      <c r="P230">
        <v>30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 t="s">
        <v>39</v>
      </c>
      <c r="X230" t="s">
        <v>39</v>
      </c>
      <c r="Y230" s="3">
        <v>2.0298611111111113</v>
      </c>
      <c r="Z230" s="4">
        <v>0</v>
      </c>
      <c r="AA230">
        <v>0</v>
      </c>
      <c r="AB230" s="4">
        <v>0</v>
      </c>
      <c r="AC230" t="s">
        <v>40</v>
      </c>
      <c r="AD230" t="s">
        <v>261</v>
      </c>
      <c r="AE230">
        <v>11</v>
      </c>
      <c r="AF230">
        <v>0</v>
      </c>
      <c r="AG230" s="2">
        <v>3.380787037037037E-2</v>
      </c>
      <c r="AH230" s="2">
        <v>3.3831018518518517E-2</v>
      </c>
      <c r="AI230">
        <v>12</v>
      </c>
      <c r="AJ230">
        <v>29</v>
      </c>
    </row>
    <row r="231" spans="1:36" x14ac:dyDescent="0.25">
      <c r="A231" t="s">
        <v>45</v>
      </c>
      <c r="B231" s="1">
        <v>43789.838958333334</v>
      </c>
      <c r="C231" t="s">
        <v>37</v>
      </c>
      <c r="D231" t="s">
        <v>258</v>
      </c>
      <c r="E231">
        <v>4</v>
      </c>
      <c r="F231">
        <v>292</v>
      </c>
      <c r="G231" s="2">
        <v>1.5370370370370369E-2</v>
      </c>
      <c r="H231" t="s">
        <v>39</v>
      </c>
      <c r="I231" t="s">
        <v>39</v>
      </c>
      <c r="J231" t="s">
        <v>39</v>
      </c>
      <c r="K231" t="s">
        <v>39</v>
      </c>
      <c r="L231" t="s">
        <v>39</v>
      </c>
      <c r="M231" s="4">
        <v>0.23055555555555554</v>
      </c>
      <c r="N231" s="4">
        <v>0.21388888888888891</v>
      </c>
      <c r="O231">
        <v>44</v>
      </c>
      <c r="P231">
        <v>42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 t="s">
        <v>39</v>
      </c>
      <c r="X231" t="s">
        <v>39</v>
      </c>
      <c r="Y231" s="4">
        <v>0.92222222222222217</v>
      </c>
      <c r="Z231" s="4">
        <v>0</v>
      </c>
      <c r="AA231">
        <v>0</v>
      </c>
      <c r="AB231" s="4">
        <v>0</v>
      </c>
      <c r="AC231" t="s">
        <v>40</v>
      </c>
      <c r="AD231" t="s">
        <v>230</v>
      </c>
      <c r="AE231">
        <v>1</v>
      </c>
      <c r="AF231">
        <v>0</v>
      </c>
      <c r="AG231" s="2">
        <v>1.5370370370370369E-2</v>
      </c>
      <c r="AH231" s="2">
        <v>1.5370370370370369E-2</v>
      </c>
      <c r="AI231">
        <v>17</v>
      </c>
      <c r="AJ231">
        <v>27</v>
      </c>
    </row>
    <row r="232" spans="1:36" x14ac:dyDescent="0.25">
      <c r="A232" t="s">
        <v>45</v>
      </c>
      <c r="B232" s="1">
        <v>43782.841087962966</v>
      </c>
      <c r="C232" t="s">
        <v>37</v>
      </c>
      <c r="D232" t="s">
        <v>258</v>
      </c>
      <c r="E232">
        <v>5</v>
      </c>
      <c r="F232">
        <v>360</v>
      </c>
      <c r="G232" s="2">
        <v>1.834490740740741E-2</v>
      </c>
      <c r="H232" t="s">
        <v>39</v>
      </c>
      <c r="I232" t="s">
        <v>39</v>
      </c>
      <c r="J232" t="s">
        <v>39</v>
      </c>
      <c r="K232" t="s">
        <v>39</v>
      </c>
      <c r="L232" t="s">
        <v>39</v>
      </c>
      <c r="M232" s="4">
        <v>0.22013888888888888</v>
      </c>
      <c r="N232" s="4">
        <v>0.19583333333333333</v>
      </c>
      <c r="O232">
        <v>51</v>
      </c>
      <c r="P232">
        <v>44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 t="s">
        <v>39</v>
      </c>
      <c r="X232" t="s">
        <v>39</v>
      </c>
      <c r="Y232" s="3">
        <v>1.1006944444444444</v>
      </c>
      <c r="Z232" s="4">
        <v>0</v>
      </c>
      <c r="AA232">
        <v>0</v>
      </c>
      <c r="AB232" s="4">
        <v>0</v>
      </c>
      <c r="AC232" t="s">
        <v>40</v>
      </c>
      <c r="AD232" t="s">
        <v>262</v>
      </c>
      <c r="AE232">
        <v>6</v>
      </c>
      <c r="AF232">
        <v>0</v>
      </c>
      <c r="AG232" s="2">
        <v>1.8333333333333333E-2</v>
      </c>
      <c r="AH232" s="2">
        <v>1.834490740740741E-2</v>
      </c>
      <c r="AI232">
        <v>17</v>
      </c>
      <c r="AJ232">
        <v>26</v>
      </c>
    </row>
    <row r="233" spans="1:36" x14ac:dyDescent="0.25">
      <c r="A233" t="s">
        <v>45</v>
      </c>
      <c r="B233" s="1">
        <v>43781.920891203707</v>
      </c>
      <c r="C233" t="s">
        <v>37</v>
      </c>
      <c r="D233" t="s">
        <v>263</v>
      </c>
      <c r="E233">
        <v>0</v>
      </c>
      <c r="F233" t="s">
        <v>39</v>
      </c>
      <c r="G233" s="2">
        <v>3.9421296296296295E-2</v>
      </c>
      <c r="H233" t="s">
        <v>39</v>
      </c>
      <c r="I233" t="s">
        <v>39</v>
      </c>
      <c r="J233" t="s">
        <v>39</v>
      </c>
      <c r="K233" t="s">
        <v>39</v>
      </c>
      <c r="L233" t="s">
        <v>39</v>
      </c>
      <c r="M233" t="s">
        <v>39</v>
      </c>
      <c r="N233" t="s">
        <v>39</v>
      </c>
      <c r="O233" t="s">
        <v>39</v>
      </c>
      <c r="P233" t="s">
        <v>39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 t="s">
        <v>39</v>
      </c>
      <c r="X233" t="s">
        <v>39</v>
      </c>
      <c r="Y233" s="3">
        <v>2.3652777777777776</v>
      </c>
      <c r="Z233" s="4">
        <v>0</v>
      </c>
      <c r="AA233">
        <v>0</v>
      </c>
      <c r="AB233" s="4">
        <v>0</v>
      </c>
      <c r="AC233" t="s">
        <v>40</v>
      </c>
      <c r="AD233" t="s">
        <v>230</v>
      </c>
      <c r="AE233">
        <v>1</v>
      </c>
      <c r="AF233">
        <v>0</v>
      </c>
      <c r="AG233" s="2">
        <v>0</v>
      </c>
      <c r="AH233" s="2">
        <v>3.9421296296296295E-2</v>
      </c>
      <c r="AI233" t="s">
        <v>39</v>
      </c>
      <c r="AJ233" t="s">
        <v>39</v>
      </c>
    </row>
    <row r="234" spans="1:36" x14ac:dyDescent="0.25">
      <c r="A234" t="s">
        <v>45</v>
      </c>
      <c r="B234" s="1">
        <v>43780.842731481483</v>
      </c>
      <c r="C234" t="s">
        <v>37</v>
      </c>
      <c r="D234" t="s">
        <v>258</v>
      </c>
      <c r="E234">
        <v>6</v>
      </c>
      <c r="F234">
        <v>437</v>
      </c>
      <c r="G234" s="2">
        <v>2.4027777777777776E-2</v>
      </c>
      <c r="H234" t="s">
        <v>39</v>
      </c>
      <c r="I234" t="s">
        <v>39</v>
      </c>
      <c r="J234" t="s">
        <v>39</v>
      </c>
      <c r="K234" t="s">
        <v>39</v>
      </c>
      <c r="L234" t="s">
        <v>39</v>
      </c>
      <c r="M234" s="4">
        <v>0.24027777777777778</v>
      </c>
      <c r="N234" s="4">
        <v>0.20486111111111113</v>
      </c>
      <c r="O234">
        <v>70</v>
      </c>
      <c r="P234">
        <v>67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 t="s">
        <v>39</v>
      </c>
      <c r="X234" t="s">
        <v>39</v>
      </c>
      <c r="Y234" s="3">
        <v>1.4416666666666667</v>
      </c>
      <c r="Z234" s="4">
        <v>0</v>
      </c>
      <c r="AA234">
        <v>0</v>
      </c>
      <c r="AB234" s="4">
        <v>0</v>
      </c>
      <c r="AC234" t="s">
        <v>40</v>
      </c>
      <c r="AD234" t="s">
        <v>264</v>
      </c>
      <c r="AE234">
        <v>8</v>
      </c>
      <c r="AF234">
        <v>0</v>
      </c>
      <c r="AG234" s="2">
        <v>2.4027777777777776E-2</v>
      </c>
      <c r="AH234" s="2">
        <v>2.4027777777777776E-2</v>
      </c>
      <c r="AI234">
        <v>15</v>
      </c>
      <c r="AJ234">
        <v>27</v>
      </c>
    </row>
    <row r="235" spans="1:36" x14ac:dyDescent="0.25">
      <c r="A235" t="s">
        <v>45</v>
      </c>
      <c r="B235" s="1">
        <v>43777.81459490741</v>
      </c>
      <c r="C235" t="s">
        <v>37</v>
      </c>
      <c r="D235" t="s">
        <v>49</v>
      </c>
      <c r="E235">
        <v>0.97</v>
      </c>
      <c r="F235">
        <v>65</v>
      </c>
      <c r="G235" s="6">
        <v>3.4201388888888888E-3</v>
      </c>
      <c r="H235" t="s">
        <v>39</v>
      </c>
      <c r="I235" t="s">
        <v>39</v>
      </c>
      <c r="J235" t="s">
        <v>39</v>
      </c>
      <c r="K235">
        <v>151</v>
      </c>
      <c r="L235">
        <v>173</v>
      </c>
      <c r="M235" s="4">
        <v>0.21249999999999999</v>
      </c>
      <c r="N235" s="4">
        <v>9.9999999999999992E-2</v>
      </c>
      <c r="O235" t="s">
        <v>39</v>
      </c>
      <c r="P235" t="s">
        <v>39</v>
      </c>
      <c r="Q235">
        <v>1.3</v>
      </c>
      <c r="R235">
        <v>0</v>
      </c>
      <c r="S235">
        <v>0</v>
      </c>
      <c r="T235">
        <v>0</v>
      </c>
      <c r="U235">
        <v>0</v>
      </c>
      <c r="V235">
        <v>0</v>
      </c>
      <c r="W235" t="s">
        <v>39</v>
      </c>
      <c r="X235" t="s">
        <v>39</v>
      </c>
      <c r="Y235" s="6">
        <v>3.4201388888888888E-3</v>
      </c>
      <c r="Z235" s="4">
        <v>0</v>
      </c>
      <c r="AA235">
        <v>0</v>
      </c>
      <c r="AB235" s="4">
        <v>0</v>
      </c>
      <c r="AC235" t="s">
        <v>40</v>
      </c>
      <c r="AD235" t="s">
        <v>230</v>
      </c>
      <c r="AE235">
        <v>1</v>
      </c>
      <c r="AF235">
        <v>0</v>
      </c>
      <c r="AG235" s="2">
        <v>3.1249999999999997E-3</v>
      </c>
      <c r="AH235" s="6">
        <v>3.4907407407407404E-3</v>
      </c>
      <c r="AI235">
        <v>11</v>
      </c>
      <c r="AJ235">
        <v>13</v>
      </c>
    </row>
    <row r="236" spans="1:36" x14ac:dyDescent="0.25">
      <c r="A236" t="s">
        <v>45</v>
      </c>
      <c r="B236" s="1">
        <v>43777.803113425929</v>
      </c>
      <c r="C236" t="s">
        <v>37</v>
      </c>
      <c r="D236" t="s">
        <v>49</v>
      </c>
      <c r="E236">
        <v>2.31</v>
      </c>
      <c r="F236">
        <v>172</v>
      </c>
      <c r="G236" s="2">
        <v>7.69675925925926E-3</v>
      </c>
      <c r="H236" t="s">
        <v>39</v>
      </c>
      <c r="I236" t="s">
        <v>39</v>
      </c>
      <c r="J236" t="s">
        <v>39</v>
      </c>
      <c r="K236">
        <v>169</v>
      </c>
      <c r="L236">
        <v>177</v>
      </c>
      <c r="M236" s="4">
        <v>0.19930555555555554</v>
      </c>
      <c r="N236" s="4">
        <v>0.16458333333333333</v>
      </c>
      <c r="O236" t="s">
        <v>39</v>
      </c>
      <c r="P236" t="s">
        <v>39</v>
      </c>
      <c r="Q236">
        <v>1.24</v>
      </c>
      <c r="R236">
        <v>0</v>
      </c>
      <c r="S236">
        <v>0</v>
      </c>
      <c r="T236">
        <v>0</v>
      </c>
      <c r="U236">
        <v>0</v>
      </c>
      <c r="V236">
        <v>0</v>
      </c>
      <c r="W236" t="s">
        <v>39</v>
      </c>
      <c r="X236" t="s">
        <v>39</v>
      </c>
      <c r="Y236" s="4">
        <v>0.46180555555555558</v>
      </c>
      <c r="Z236" s="4">
        <v>0</v>
      </c>
      <c r="AA236">
        <v>0</v>
      </c>
      <c r="AB236" s="4">
        <v>0</v>
      </c>
      <c r="AC236" t="s">
        <v>40</v>
      </c>
      <c r="AD236" t="s">
        <v>265</v>
      </c>
      <c r="AE236">
        <v>3</v>
      </c>
      <c r="AF236">
        <v>0</v>
      </c>
      <c r="AG236" s="2">
        <v>7.6157407407407415E-3</v>
      </c>
      <c r="AH236" s="2">
        <v>1.0011574074074074E-2</v>
      </c>
      <c r="AI236">
        <v>11</v>
      </c>
      <c r="AJ236">
        <v>13</v>
      </c>
    </row>
    <row r="237" spans="1:36" x14ac:dyDescent="0.25">
      <c r="A237" t="s">
        <v>45</v>
      </c>
      <c r="B237" s="1">
        <v>43777.795949074076</v>
      </c>
      <c r="C237" t="s">
        <v>37</v>
      </c>
      <c r="D237" t="s">
        <v>49</v>
      </c>
      <c r="E237">
        <v>1.02</v>
      </c>
      <c r="F237">
        <v>73</v>
      </c>
      <c r="G237" s="6">
        <v>4.0671296296296297E-3</v>
      </c>
      <c r="H237" t="s">
        <v>39</v>
      </c>
      <c r="I237" t="s">
        <v>39</v>
      </c>
      <c r="J237" t="s">
        <v>39</v>
      </c>
      <c r="K237">
        <v>159</v>
      </c>
      <c r="L237">
        <v>164</v>
      </c>
      <c r="M237" s="4">
        <v>0.23958333333333334</v>
      </c>
      <c r="N237" s="4">
        <v>0.2298611111111111</v>
      </c>
      <c r="O237" t="s">
        <v>39</v>
      </c>
      <c r="P237" t="s">
        <v>39</v>
      </c>
      <c r="Q237">
        <v>1.0900000000000001</v>
      </c>
      <c r="R237">
        <v>0</v>
      </c>
      <c r="S237">
        <v>0</v>
      </c>
      <c r="T237">
        <v>0</v>
      </c>
      <c r="U237">
        <v>0</v>
      </c>
      <c r="V237">
        <v>0</v>
      </c>
      <c r="W237" t="s">
        <v>39</v>
      </c>
      <c r="X237" t="s">
        <v>39</v>
      </c>
      <c r="Y237" s="6">
        <v>4.0671296296296297E-3</v>
      </c>
      <c r="Z237" s="4">
        <v>0</v>
      </c>
      <c r="AA237">
        <v>0</v>
      </c>
      <c r="AB237" s="4">
        <v>0</v>
      </c>
      <c r="AC237" t="s">
        <v>40</v>
      </c>
      <c r="AD237" t="s">
        <v>266</v>
      </c>
      <c r="AE237">
        <v>2</v>
      </c>
      <c r="AF237">
        <v>0</v>
      </c>
      <c r="AG237" s="6">
        <v>4.0567129629629625E-3</v>
      </c>
      <c r="AH237" s="6">
        <v>4.0671296296296297E-3</v>
      </c>
      <c r="AI237">
        <v>10</v>
      </c>
      <c r="AJ237">
        <v>13</v>
      </c>
    </row>
    <row r="238" spans="1:36" x14ac:dyDescent="0.25">
      <c r="A238" t="s">
        <v>45</v>
      </c>
      <c r="B238" s="1">
        <v>43775.752534722225</v>
      </c>
      <c r="C238" t="s">
        <v>37</v>
      </c>
      <c r="D238" t="s">
        <v>49</v>
      </c>
      <c r="E238">
        <v>2.34</v>
      </c>
      <c r="F238">
        <v>79</v>
      </c>
      <c r="G238" s="2">
        <v>7.9398148148148145E-3</v>
      </c>
      <c r="H238" t="s">
        <v>39</v>
      </c>
      <c r="I238" t="s">
        <v>39</v>
      </c>
      <c r="J238" t="s">
        <v>39</v>
      </c>
      <c r="K238">
        <v>173</v>
      </c>
      <c r="L238">
        <v>185</v>
      </c>
      <c r="M238" s="4">
        <v>0.20347222222222219</v>
      </c>
      <c r="N238" s="4">
        <v>0.1173611111111111</v>
      </c>
      <c r="O238" t="s">
        <v>39</v>
      </c>
      <c r="P238" t="s">
        <v>39</v>
      </c>
      <c r="Q238">
        <v>1.19</v>
      </c>
      <c r="R238">
        <v>0</v>
      </c>
      <c r="S238">
        <v>0</v>
      </c>
      <c r="T238">
        <v>0</v>
      </c>
      <c r="U238">
        <v>0</v>
      </c>
      <c r="V238">
        <v>0</v>
      </c>
      <c r="W238" t="s">
        <v>39</v>
      </c>
      <c r="X238" t="s">
        <v>39</v>
      </c>
      <c r="Y238" s="4">
        <v>0.47638888888888892</v>
      </c>
      <c r="Z238" s="4">
        <v>0</v>
      </c>
      <c r="AA238">
        <v>0</v>
      </c>
      <c r="AB238" s="4">
        <v>0</v>
      </c>
      <c r="AC238" t="s">
        <v>40</v>
      </c>
      <c r="AD238" t="s">
        <v>267</v>
      </c>
      <c r="AE238">
        <v>3</v>
      </c>
      <c r="AF238">
        <v>0</v>
      </c>
      <c r="AG238" s="2">
        <v>7.4189814814814813E-3</v>
      </c>
      <c r="AH238" s="2">
        <v>8.3333333333333332E-3</v>
      </c>
      <c r="AI238">
        <v>11</v>
      </c>
      <c r="AJ238">
        <v>13</v>
      </c>
    </row>
    <row r="239" spans="1:36" x14ac:dyDescent="0.25">
      <c r="A239" t="s">
        <v>45</v>
      </c>
      <c r="B239" s="1">
        <v>43775.751319444447</v>
      </c>
      <c r="C239" t="s">
        <v>37</v>
      </c>
      <c r="D239" t="s">
        <v>49</v>
      </c>
      <c r="E239">
        <v>0.16</v>
      </c>
      <c r="F239" t="s">
        <v>39</v>
      </c>
      <c r="G239" s="6">
        <v>6.0069444444444439E-4</v>
      </c>
      <c r="H239" t="s">
        <v>39</v>
      </c>
      <c r="I239" t="s">
        <v>39</v>
      </c>
      <c r="J239" t="s">
        <v>39</v>
      </c>
      <c r="K239">
        <v>118</v>
      </c>
      <c r="L239">
        <v>118</v>
      </c>
      <c r="M239" s="4">
        <v>0.22222222222222221</v>
      </c>
      <c r="N239" t="s">
        <v>39</v>
      </c>
      <c r="O239" t="s">
        <v>39</v>
      </c>
      <c r="P239" t="s">
        <v>39</v>
      </c>
      <c r="Q239">
        <v>1.59</v>
      </c>
      <c r="R239">
        <v>0</v>
      </c>
      <c r="S239">
        <v>0</v>
      </c>
      <c r="T239">
        <v>0</v>
      </c>
      <c r="U239">
        <v>0</v>
      </c>
      <c r="V239">
        <v>0</v>
      </c>
      <c r="W239" t="s">
        <v>39</v>
      </c>
      <c r="X239" t="s">
        <v>39</v>
      </c>
      <c r="Y239" s="6">
        <v>6.0069444444444439E-4</v>
      </c>
      <c r="Z239" s="4">
        <v>0</v>
      </c>
      <c r="AA239">
        <v>0</v>
      </c>
      <c r="AB239" s="4">
        <v>0</v>
      </c>
      <c r="AC239" t="s">
        <v>40</v>
      </c>
      <c r="AD239" t="s">
        <v>230</v>
      </c>
      <c r="AE239">
        <v>1</v>
      </c>
      <c r="AF239">
        <v>0</v>
      </c>
      <c r="AG239" s="2">
        <v>0</v>
      </c>
      <c r="AH239" s="6">
        <v>6.5625000000000004E-4</v>
      </c>
      <c r="AI239">
        <v>11</v>
      </c>
      <c r="AJ239">
        <v>13</v>
      </c>
    </row>
    <row r="240" spans="1:36" x14ac:dyDescent="0.25">
      <c r="A240" t="s">
        <v>45</v>
      </c>
      <c r="B240" s="1">
        <v>43775.745289351849</v>
      </c>
      <c r="C240" t="s">
        <v>37</v>
      </c>
      <c r="D240" t="s">
        <v>49</v>
      </c>
      <c r="E240">
        <v>0.4</v>
      </c>
      <c r="F240">
        <v>14</v>
      </c>
      <c r="G240" s="6">
        <v>1.6122685185185187E-3</v>
      </c>
      <c r="H240" t="s">
        <v>39</v>
      </c>
      <c r="I240" t="s">
        <v>39</v>
      </c>
      <c r="J240" t="s">
        <v>39</v>
      </c>
      <c r="K240">
        <v>157</v>
      </c>
      <c r="L240">
        <v>171</v>
      </c>
      <c r="M240" s="4">
        <v>0.24305555555555555</v>
      </c>
      <c r="N240" s="4">
        <v>0.2076388888888889</v>
      </c>
      <c r="O240" t="s">
        <v>39</v>
      </c>
      <c r="P240" t="s">
        <v>39</v>
      </c>
      <c r="Q240">
        <v>1.0900000000000001</v>
      </c>
      <c r="R240">
        <v>0</v>
      </c>
      <c r="S240">
        <v>0</v>
      </c>
      <c r="T240">
        <v>0</v>
      </c>
      <c r="U240">
        <v>0</v>
      </c>
      <c r="V240">
        <v>0</v>
      </c>
      <c r="W240" t="s">
        <v>39</v>
      </c>
      <c r="X240" t="s">
        <v>39</v>
      </c>
      <c r="Y240" s="6">
        <v>1.6122685185185187E-3</v>
      </c>
      <c r="Z240" s="4">
        <v>0</v>
      </c>
      <c r="AA240">
        <v>0</v>
      </c>
      <c r="AB240" s="4">
        <v>0</v>
      </c>
      <c r="AC240" t="s">
        <v>40</v>
      </c>
      <c r="AD240" t="s">
        <v>230</v>
      </c>
      <c r="AE240">
        <v>1</v>
      </c>
      <c r="AF240">
        <v>0</v>
      </c>
      <c r="AG240" s="2">
        <v>1.6087962962962963E-3</v>
      </c>
      <c r="AH240" s="6">
        <v>1.6122685185185187E-3</v>
      </c>
      <c r="AI240">
        <v>11</v>
      </c>
      <c r="AJ240">
        <v>13</v>
      </c>
    </row>
    <row r="241" spans="1:36" x14ac:dyDescent="0.25">
      <c r="A241" t="s">
        <v>45</v>
      </c>
      <c r="B241" s="1">
        <v>43774.741655092592</v>
      </c>
      <c r="C241" t="s">
        <v>37</v>
      </c>
      <c r="D241" t="s">
        <v>49</v>
      </c>
      <c r="E241">
        <v>5.09</v>
      </c>
      <c r="F241">
        <v>186</v>
      </c>
      <c r="G241" s="2">
        <v>2.0868055555555556E-2</v>
      </c>
      <c r="H241" t="s">
        <v>39</v>
      </c>
      <c r="I241" t="s">
        <v>39</v>
      </c>
      <c r="J241" t="s">
        <v>39</v>
      </c>
      <c r="K241">
        <v>164</v>
      </c>
      <c r="L241">
        <v>171</v>
      </c>
      <c r="M241" s="4">
        <v>0.24583333333333335</v>
      </c>
      <c r="N241" s="4">
        <v>0.18819444444444444</v>
      </c>
      <c r="O241">
        <v>1</v>
      </c>
      <c r="P241">
        <v>1</v>
      </c>
      <c r="Q241">
        <v>1.03</v>
      </c>
      <c r="R241">
        <v>0</v>
      </c>
      <c r="S241">
        <v>0</v>
      </c>
      <c r="T241">
        <v>0</v>
      </c>
      <c r="U241">
        <v>0</v>
      </c>
      <c r="V241">
        <v>0</v>
      </c>
      <c r="W241" t="s">
        <v>39</v>
      </c>
      <c r="X241" t="s">
        <v>39</v>
      </c>
      <c r="Y241" s="3">
        <v>1.2520833333333334</v>
      </c>
      <c r="Z241" s="4">
        <v>0</v>
      </c>
      <c r="AA241">
        <v>0</v>
      </c>
      <c r="AB241" s="4">
        <v>0</v>
      </c>
      <c r="AC241" t="s">
        <v>40</v>
      </c>
      <c r="AD241" t="s">
        <v>268</v>
      </c>
      <c r="AE241">
        <v>6</v>
      </c>
      <c r="AF241">
        <v>0</v>
      </c>
      <c r="AG241" s="2">
        <v>2.0856481481481479E-2</v>
      </c>
      <c r="AH241" s="2">
        <v>2.0868055555555556E-2</v>
      </c>
      <c r="AI241">
        <v>10</v>
      </c>
      <c r="AJ241">
        <v>13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FF333-4071-4EF0-BAB3-19C51872D022}">
  <sheetPr codeName="Planilha4"/>
  <dimension ref="A1:Z89"/>
  <sheetViews>
    <sheetView tabSelected="1" topLeftCell="A23" workbookViewId="0">
      <selection activeCell="A91" sqref="A91"/>
    </sheetView>
  </sheetViews>
  <sheetFormatPr defaultRowHeight="15" x14ac:dyDescent="0.25"/>
  <sheetData>
    <row r="1" spans="1:26" x14ac:dyDescent="0.25">
      <c r="A1" s="25" t="s">
        <v>272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7"/>
    </row>
    <row r="2" spans="1:26" ht="15.75" thickBot="1" x14ac:dyDescent="0.3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30"/>
    </row>
    <row r="3" spans="1:26" ht="19.5" hidden="1" thickBot="1" x14ac:dyDescent="0.35">
      <c r="A3" s="22" t="s">
        <v>269</v>
      </c>
      <c r="B3" s="23"/>
      <c r="C3" s="23"/>
      <c r="D3" s="23"/>
      <c r="E3" s="23"/>
      <c r="F3" s="23"/>
      <c r="G3" s="23" t="s">
        <v>270</v>
      </c>
      <c r="H3" s="23"/>
      <c r="I3" s="23"/>
      <c r="J3" s="23"/>
      <c r="K3" s="23"/>
      <c r="L3" s="23"/>
      <c r="M3" s="23" t="s">
        <v>5</v>
      </c>
      <c r="N3" s="23"/>
      <c r="O3" s="23"/>
      <c r="P3" s="23"/>
      <c r="Q3" s="23"/>
      <c r="R3" s="23"/>
      <c r="S3" s="23"/>
      <c r="T3" s="23" t="s">
        <v>6</v>
      </c>
      <c r="U3" s="23"/>
      <c r="V3" s="23"/>
      <c r="W3" s="23"/>
      <c r="X3" s="23"/>
      <c r="Y3" s="23"/>
      <c r="Z3" s="24"/>
    </row>
    <row r="4" spans="1:26" ht="15" hidden="1" customHeight="1" x14ac:dyDescent="0.25">
      <c r="A4" s="12">
        <f>COUNTA('Atividades Filtradas'!A6:A233)</f>
        <v>228</v>
      </c>
      <c r="B4" s="13"/>
      <c r="C4" s="13"/>
      <c r="D4" s="13"/>
      <c r="E4" s="13"/>
      <c r="F4" s="13"/>
      <c r="G4" s="13">
        <f>SUM('Atividades Filtradas'!E6:E233)</f>
        <v>1518.1699999999998</v>
      </c>
      <c r="H4" s="13"/>
      <c r="I4" s="13"/>
      <c r="J4" s="13"/>
      <c r="K4" s="13"/>
      <c r="L4" s="13"/>
      <c r="M4" s="13">
        <f>SUM('Atividades Filtradas'!F6:F233)</f>
        <v>119390</v>
      </c>
      <c r="N4" s="13"/>
      <c r="O4" s="13"/>
      <c r="P4" s="13"/>
      <c r="Q4" s="13"/>
      <c r="R4" s="13"/>
      <c r="S4" s="13"/>
      <c r="T4" s="14">
        <f>SUM('Atividades Filtradas'!G6:G233)</f>
        <v>7.9922152777777757</v>
      </c>
      <c r="U4" s="13"/>
      <c r="V4" s="13"/>
      <c r="W4" s="13"/>
      <c r="X4" s="13"/>
      <c r="Y4" s="13"/>
      <c r="Z4" s="15"/>
    </row>
    <row r="5" spans="1:26" ht="15" hidden="1" customHeight="1" x14ac:dyDescent="0.25">
      <c r="A5" s="16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8"/>
    </row>
    <row r="6" spans="1:26" hidden="1" x14ac:dyDescent="0.25">
      <c r="A6" s="16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8"/>
    </row>
    <row r="7" spans="1:26" ht="15.75" hidden="1" thickBot="1" x14ac:dyDescent="0.3">
      <c r="A7" s="19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1"/>
    </row>
    <row r="8" spans="1:26" x14ac:dyDescent="0.25">
      <c r="A8" s="25" t="s">
        <v>273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7"/>
    </row>
    <row r="9" spans="1:26" ht="15.75" thickBot="1" x14ac:dyDescent="0.3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30"/>
    </row>
    <row r="10" spans="1:26" ht="19.5" hidden="1" thickBot="1" x14ac:dyDescent="0.35">
      <c r="A10" s="41" t="s">
        <v>270</v>
      </c>
      <c r="B10" s="42"/>
      <c r="C10" s="42"/>
      <c r="D10" s="42"/>
      <c r="E10" s="42"/>
      <c r="F10" s="42"/>
      <c r="G10" s="42" t="s">
        <v>5</v>
      </c>
      <c r="H10" s="42"/>
      <c r="I10" s="42"/>
      <c r="J10" s="42"/>
      <c r="K10" s="42"/>
      <c r="L10" s="42"/>
      <c r="M10" s="42" t="s">
        <v>6</v>
      </c>
      <c r="N10" s="42"/>
      <c r="O10" s="42"/>
      <c r="P10" s="42"/>
      <c r="Q10" s="42"/>
      <c r="R10" s="42"/>
      <c r="S10" s="42"/>
      <c r="T10" s="42" t="s">
        <v>271</v>
      </c>
      <c r="U10" s="42"/>
      <c r="V10" s="42"/>
      <c r="W10" s="42"/>
      <c r="X10" s="42"/>
      <c r="Y10" s="42"/>
      <c r="Z10" s="43"/>
    </row>
    <row r="11" spans="1:26" hidden="1" x14ac:dyDescent="0.25">
      <c r="A11" s="44">
        <f>AVERAGE('Atividades Filtradas'!E6:E245)</f>
        <v>6.4727499999999996</v>
      </c>
      <c r="B11" s="45"/>
      <c r="C11" s="45"/>
      <c r="D11" s="45"/>
      <c r="E11" s="45"/>
      <c r="F11" s="45"/>
      <c r="G11" s="45">
        <f>AVERAGE('Atividades Filtradas'!F6:F245)</f>
        <v>515.40254237288138</v>
      </c>
      <c r="H11" s="45"/>
      <c r="I11" s="45"/>
      <c r="J11" s="45"/>
      <c r="K11" s="45"/>
      <c r="L11" s="45"/>
      <c r="M11" s="46">
        <f>AVERAGE('Atividades Filtradas'!G6:G245)</f>
        <v>3.4039231288580232E-2</v>
      </c>
      <c r="N11" s="47"/>
      <c r="O11" s="47"/>
      <c r="P11" s="47"/>
      <c r="Q11" s="47"/>
      <c r="R11" s="47"/>
      <c r="S11" s="47"/>
      <c r="T11" s="45">
        <f>AVERAGE('Atividades Filtradas'!H6:H245)</f>
        <v>156.59574468085106</v>
      </c>
      <c r="U11" s="45"/>
      <c r="V11" s="45"/>
      <c r="W11" s="45"/>
      <c r="X11" s="45"/>
      <c r="Y11" s="45"/>
      <c r="Z11" s="48"/>
    </row>
    <row r="12" spans="1:26" hidden="1" x14ac:dyDescent="0.25">
      <c r="A12" s="49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1"/>
      <c r="N12" s="51"/>
      <c r="O12" s="51"/>
      <c r="P12" s="51"/>
      <c r="Q12" s="51"/>
      <c r="R12" s="51"/>
      <c r="S12" s="51"/>
      <c r="T12" s="50"/>
      <c r="U12" s="50"/>
      <c r="V12" s="50"/>
      <c r="W12" s="50"/>
      <c r="X12" s="50"/>
      <c r="Y12" s="50"/>
      <c r="Z12" s="52"/>
    </row>
    <row r="13" spans="1:26" hidden="1" x14ac:dyDescent="0.25">
      <c r="A13" s="49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1"/>
      <c r="N13" s="51"/>
      <c r="O13" s="51"/>
      <c r="P13" s="51"/>
      <c r="Q13" s="51"/>
      <c r="R13" s="51"/>
      <c r="S13" s="51"/>
      <c r="T13" s="50"/>
      <c r="U13" s="50"/>
      <c r="V13" s="50"/>
      <c r="W13" s="50"/>
      <c r="X13" s="50"/>
      <c r="Y13" s="50"/>
      <c r="Z13" s="52"/>
    </row>
    <row r="14" spans="1:26" ht="15.75" hidden="1" thickBot="1" x14ac:dyDescent="0.3">
      <c r="A14" s="53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5"/>
      <c r="N14" s="55"/>
      <c r="O14" s="55"/>
      <c r="P14" s="55"/>
      <c r="Q14" s="55"/>
      <c r="R14" s="55"/>
      <c r="S14" s="55"/>
      <c r="T14" s="54"/>
      <c r="U14" s="54"/>
      <c r="V14" s="54"/>
      <c r="W14" s="54"/>
      <c r="X14" s="54"/>
      <c r="Y14" s="54"/>
      <c r="Z14" s="56"/>
    </row>
    <row r="15" spans="1:26" x14ac:dyDescent="0.25">
      <c r="A15" s="25" t="s">
        <v>274</v>
      </c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7"/>
    </row>
    <row r="16" spans="1:26" ht="15.75" thickBot="1" x14ac:dyDescent="0.3">
      <c r="A16" s="38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40"/>
    </row>
    <row r="17" spans="1:26" ht="19.5" hidden="1" thickBot="1" x14ac:dyDescent="0.35">
      <c r="A17" s="31" t="s">
        <v>270</v>
      </c>
      <c r="B17" s="32"/>
      <c r="C17" s="32"/>
      <c r="D17" s="32"/>
      <c r="E17" s="32"/>
      <c r="F17" s="32"/>
      <c r="G17" s="32" t="s">
        <v>5</v>
      </c>
      <c r="H17" s="32"/>
      <c r="I17" s="32"/>
      <c r="J17" s="32"/>
      <c r="K17" s="32"/>
      <c r="L17" s="32"/>
      <c r="M17" s="32" t="s">
        <v>6</v>
      </c>
      <c r="N17" s="32"/>
      <c r="O17" s="32"/>
      <c r="P17" s="32"/>
      <c r="Q17" s="32"/>
      <c r="R17" s="32"/>
      <c r="S17" s="32"/>
      <c r="T17" s="32" t="s">
        <v>271</v>
      </c>
      <c r="U17" s="32"/>
      <c r="V17" s="32"/>
      <c r="W17" s="32"/>
      <c r="X17" s="32"/>
      <c r="Y17" s="32"/>
      <c r="Z17" s="33"/>
    </row>
    <row r="18" spans="1:26" hidden="1" x14ac:dyDescent="0.25">
      <c r="A18" s="57">
        <f>MAX('Atividades Filtradas'!E6:E245)</f>
        <v>22.01</v>
      </c>
      <c r="B18" s="35"/>
      <c r="C18" s="35"/>
      <c r="D18" s="35"/>
      <c r="E18" s="35"/>
      <c r="F18" s="35"/>
      <c r="G18" s="35">
        <f>MAX('Atividades Filtradas'!F6:F245)</f>
        <v>1528</v>
      </c>
      <c r="H18" s="35"/>
      <c r="I18" s="35"/>
      <c r="J18" s="35"/>
      <c r="K18" s="35"/>
      <c r="L18" s="35"/>
      <c r="M18" s="34">
        <f>MAX('Atividades Filtradas'!G6:G245)</f>
        <v>0.15461805555555555</v>
      </c>
      <c r="N18" s="35"/>
      <c r="O18" s="35"/>
      <c r="P18" s="35"/>
      <c r="Q18" s="35"/>
      <c r="R18" s="35"/>
      <c r="S18" s="35"/>
      <c r="T18" s="35">
        <f>MAX('Atividades Filtradas'!I6:I245)</f>
        <v>229</v>
      </c>
      <c r="U18" s="35"/>
      <c r="V18" s="35"/>
      <c r="W18" s="35"/>
      <c r="X18" s="35"/>
      <c r="Y18" s="35"/>
      <c r="Z18" s="58"/>
    </row>
    <row r="19" spans="1:26" hidden="1" x14ac:dyDescent="0.25">
      <c r="A19" s="59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60"/>
    </row>
    <row r="20" spans="1:26" hidden="1" x14ac:dyDescent="0.25">
      <c r="A20" s="59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60"/>
    </row>
    <row r="21" spans="1:26" ht="15.75" hidden="1" thickBot="1" x14ac:dyDescent="0.3">
      <c r="A21" s="61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62"/>
    </row>
    <row r="22" spans="1:26" x14ac:dyDescent="0.25">
      <c r="A22" s="25" t="s">
        <v>280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7"/>
    </row>
    <row r="23" spans="1:26" ht="15.75" thickBot="1" x14ac:dyDescent="0.3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30"/>
    </row>
    <row r="24" spans="1:26" hidden="1" x14ac:dyDescent="0.25">
      <c r="A24" s="64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65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65"/>
    </row>
    <row r="25" spans="1:26" hidden="1" x14ac:dyDescent="0.25">
      <c r="A25" s="66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8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8"/>
    </row>
    <row r="26" spans="1:26" hidden="1" x14ac:dyDescent="0.25">
      <c r="A26" s="66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8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8"/>
    </row>
    <row r="27" spans="1:26" hidden="1" x14ac:dyDescent="0.25">
      <c r="A27" s="66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8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8"/>
    </row>
    <row r="28" spans="1:26" hidden="1" x14ac:dyDescent="0.25">
      <c r="A28" s="66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8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8"/>
    </row>
    <row r="29" spans="1:26" hidden="1" x14ac:dyDescent="0.25">
      <c r="A29" s="66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8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8"/>
    </row>
    <row r="30" spans="1:26" hidden="1" x14ac:dyDescent="0.25">
      <c r="A30" s="66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8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8"/>
    </row>
    <row r="31" spans="1:26" hidden="1" x14ac:dyDescent="0.25">
      <c r="A31" s="66"/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8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8"/>
    </row>
    <row r="32" spans="1:26" hidden="1" x14ac:dyDescent="0.25">
      <c r="A32" s="66"/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8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8"/>
    </row>
    <row r="33" spans="1:26" hidden="1" x14ac:dyDescent="0.25">
      <c r="A33" s="66"/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8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8"/>
    </row>
    <row r="34" spans="1:26" hidden="1" x14ac:dyDescent="0.25">
      <c r="A34" s="66"/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8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8"/>
    </row>
    <row r="35" spans="1:26" hidden="1" x14ac:dyDescent="0.25">
      <c r="A35" s="66"/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8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8"/>
    </row>
    <row r="36" spans="1:26" hidden="1" x14ac:dyDescent="0.25">
      <c r="A36" s="66"/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8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8"/>
    </row>
    <row r="37" spans="1:26" hidden="1" x14ac:dyDescent="0.25">
      <c r="A37" s="66"/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8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8"/>
    </row>
    <row r="38" spans="1:26" hidden="1" x14ac:dyDescent="0.25">
      <c r="A38" s="66"/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8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8"/>
    </row>
    <row r="39" spans="1:26" hidden="1" x14ac:dyDescent="0.25">
      <c r="A39" s="66"/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8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8"/>
    </row>
    <row r="40" spans="1:26" hidden="1" x14ac:dyDescent="0.25">
      <c r="A40" s="66"/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8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8"/>
    </row>
    <row r="41" spans="1:26" hidden="1" x14ac:dyDescent="0.25">
      <c r="A41" s="66"/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8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8"/>
    </row>
    <row r="42" spans="1:26" ht="15.75" hidden="1" thickBot="1" x14ac:dyDescent="0.3">
      <c r="A42" s="66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8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8"/>
    </row>
    <row r="43" spans="1:26" hidden="1" x14ac:dyDescent="0.25">
      <c r="A43" s="64"/>
      <c r="B43" s="11"/>
      <c r="C43" s="11"/>
      <c r="D43" s="11"/>
      <c r="E43" s="11"/>
      <c r="F43" s="11"/>
      <c r="G43" s="11"/>
      <c r="H43" s="11"/>
      <c r="I43" s="65"/>
      <c r="J43" s="64"/>
      <c r="K43" s="11"/>
      <c r="L43" s="11"/>
      <c r="M43" s="11"/>
      <c r="N43" s="11"/>
      <c r="O43" s="11"/>
      <c r="P43" s="11"/>
      <c r="Q43" s="65"/>
      <c r="R43" s="11"/>
      <c r="S43" s="11"/>
      <c r="T43" s="11"/>
      <c r="U43" s="11"/>
      <c r="V43" s="11"/>
      <c r="W43" s="11"/>
      <c r="X43" s="11"/>
      <c r="Y43" s="11"/>
      <c r="Z43" s="65"/>
    </row>
    <row r="44" spans="1:26" hidden="1" x14ac:dyDescent="0.25">
      <c r="A44" s="66"/>
      <c r="B44" s="67"/>
      <c r="C44" s="67"/>
      <c r="D44" s="67"/>
      <c r="E44" s="67"/>
      <c r="F44" s="67"/>
      <c r="G44" s="67"/>
      <c r="H44" s="67"/>
      <c r="I44" s="68"/>
      <c r="J44" s="66"/>
      <c r="K44" s="67"/>
      <c r="L44" s="67"/>
      <c r="M44" s="67"/>
      <c r="N44" s="67"/>
      <c r="O44" s="67"/>
      <c r="P44" s="67"/>
      <c r="Q44" s="68"/>
      <c r="R44" s="67"/>
      <c r="S44" s="67"/>
      <c r="T44" s="67"/>
      <c r="U44" s="67"/>
      <c r="V44" s="67"/>
      <c r="W44" s="67"/>
      <c r="X44" s="67"/>
      <c r="Y44" s="67"/>
      <c r="Z44" s="68"/>
    </row>
    <row r="45" spans="1:26" hidden="1" x14ac:dyDescent="0.25">
      <c r="A45" s="66"/>
      <c r="B45" s="67"/>
      <c r="C45" s="67"/>
      <c r="D45" s="67"/>
      <c r="E45" s="67"/>
      <c r="F45" s="67"/>
      <c r="G45" s="67"/>
      <c r="H45" s="67"/>
      <c r="I45" s="68"/>
      <c r="J45" s="66"/>
      <c r="K45" s="67"/>
      <c r="L45" s="67"/>
      <c r="M45" s="67"/>
      <c r="N45" s="67"/>
      <c r="O45" s="67"/>
      <c r="P45" s="67"/>
      <c r="Q45" s="68"/>
      <c r="R45" s="67"/>
      <c r="S45" s="67"/>
      <c r="T45" s="67"/>
      <c r="U45" s="67"/>
      <c r="V45" s="67"/>
      <c r="W45" s="67"/>
      <c r="X45" s="67"/>
      <c r="Y45" s="67"/>
      <c r="Z45" s="68"/>
    </row>
    <row r="46" spans="1:26" hidden="1" x14ac:dyDescent="0.25">
      <c r="A46" s="66"/>
      <c r="B46" s="67"/>
      <c r="C46" s="67"/>
      <c r="D46" s="67"/>
      <c r="E46" s="67"/>
      <c r="F46" s="67"/>
      <c r="G46" s="67"/>
      <c r="H46" s="67"/>
      <c r="I46" s="68"/>
      <c r="J46" s="66"/>
      <c r="K46" s="67"/>
      <c r="L46" s="67"/>
      <c r="M46" s="67"/>
      <c r="N46" s="67"/>
      <c r="O46" s="67"/>
      <c r="P46" s="67"/>
      <c r="Q46" s="68"/>
      <c r="R46" s="67"/>
      <c r="S46" s="67"/>
      <c r="T46" s="67"/>
      <c r="U46" s="67"/>
      <c r="V46" s="67"/>
      <c r="W46" s="67"/>
      <c r="X46" s="67"/>
      <c r="Y46" s="67"/>
      <c r="Z46" s="68"/>
    </row>
    <row r="47" spans="1:26" hidden="1" x14ac:dyDescent="0.25">
      <c r="A47" s="66"/>
      <c r="B47" s="67"/>
      <c r="C47" s="67"/>
      <c r="D47" s="67"/>
      <c r="E47" s="67"/>
      <c r="F47" s="67"/>
      <c r="G47" s="67"/>
      <c r="H47" s="67"/>
      <c r="I47" s="68"/>
      <c r="J47" s="66"/>
      <c r="K47" s="67"/>
      <c r="L47" s="67"/>
      <c r="M47" s="67"/>
      <c r="N47" s="67"/>
      <c r="O47" s="67"/>
      <c r="P47" s="67"/>
      <c r="Q47" s="68"/>
      <c r="R47" s="67"/>
      <c r="S47" s="67"/>
      <c r="T47" s="67"/>
      <c r="U47" s="67"/>
      <c r="V47" s="67"/>
      <c r="W47" s="67"/>
      <c r="X47" s="67"/>
      <c r="Y47" s="67"/>
      <c r="Z47" s="68"/>
    </row>
    <row r="48" spans="1:26" hidden="1" x14ac:dyDescent="0.25">
      <c r="A48" s="66"/>
      <c r="B48" s="67"/>
      <c r="C48" s="67"/>
      <c r="D48" s="67"/>
      <c r="E48" s="67"/>
      <c r="F48" s="67"/>
      <c r="G48" s="67"/>
      <c r="H48" s="67"/>
      <c r="I48" s="68"/>
      <c r="J48" s="66"/>
      <c r="K48" s="67"/>
      <c r="L48" s="67"/>
      <c r="M48" s="67"/>
      <c r="N48" s="67"/>
      <c r="O48" s="67"/>
      <c r="P48" s="67"/>
      <c r="Q48" s="68"/>
      <c r="R48" s="67"/>
      <c r="S48" s="67"/>
      <c r="T48" s="67"/>
      <c r="U48" s="67"/>
      <c r="V48" s="67"/>
      <c r="W48" s="67"/>
      <c r="X48" s="67"/>
      <c r="Y48" s="67"/>
      <c r="Z48" s="68"/>
    </row>
    <row r="49" spans="1:26" hidden="1" x14ac:dyDescent="0.25">
      <c r="A49" s="66"/>
      <c r="B49" s="67"/>
      <c r="C49" s="67"/>
      <c r="D49" s="67"/>
      <c r="E49" s="67"/>
      <c r="F49" s="67"/>
      <c r="G49" s="67"/>
      <c r="H49" s="67"/>
      <c r="I49" s="68"/>
      <c r="J49" s="66"/>
      <c r="K49" s="67"/>
      <c r="L49" s="67"/>
      <c r="M49" s="67"/>
      <c r="N49" s="67"/>
      <c r="O49" s="67"/>
      <c r="P49" s="67"/>
      <c r="Q49" s="68"/>
      <c r="R49" s="67"/>
      <c r="S49" s="67"/>
      <c r="T49" s="67"/>
      <c r="U49" s="67"/>
      <c r="V49" s="67"/>
      <c r="W49" s="67"/>
      <c r="X49" s="67"/>
      <c r="Y49" s="67"/>
      <c r="Z49" s="68"/>
    </row>
    <row r="50" spans="1:26" hidden="1" x14ac:dyDescent="0.25">
      <c r="A50" s="66"/>
      <c r="B50" s="67"/>
      <c r="C50" s="67"/>
      <c r="D50" s="67"/>
      <c r="E50" s="67"/>
      <c r="F50" s="67"/>
      <c r="G50" s="67"/>
      <c r="H50" s="67"/>
      <c r="I50" s="68"/>
      <c r="J50" s="66"/>
      <c r="K50" s="67"/>
      <c r="L50" s="67"/>
      <c r="M50" s="67"/>
      <c r="N50" s="67"/>
      <c r="O50" s="67"/>
      <c r="P50" s="67"/>
      <c r="Q50" s="68"/>
      <c r="R50" s="67"/>
      <c r="S50" s="67"/>
      <c r="T50" s="67"/>
      <c r="U50" s="67"/>
      <c r="V50" s="67"/>
      <c r="W50" s="67"/>
      <c r="X50" s="67"/>
      <c r="Y50" s="67"/>
      <c r="Z50" s="68"/>
    </row>
    <row r="51" spans="1:26" hidden="1" x14ac:dyDescent="0.25">
      <c r="A51" s="66"/>
      <c r="B51" s="67"/>
      <c r="C51" s="67"/>
      <c r="D51" s="67"/>
      <c r="E51" s="67"/>
      <c r="F51" s="67"/>
      <c r="G51" s="67"/>
      <c r="H51" s="67"/>
      <c r="I51" s="68"/>
      <c r="J51" s="66"/>
      <c r="K51" s="67"/>
      <c r="L51" s="67"/>
      <c r="M51" s="67"/>
      <c r="N51" s="67"/>
      <c r="O51" s="67"/>
      <c r="P51" s="67"/>
      <c r="Q51" s="68"/>
      <c r="R51" s="67"/>
      <c r="S51" s="67"/>
      <c r="T51" s="67"/>
      <c r="U51" s="67"/>
      <c r="V51" s="67"/>
      <c r="W51" s="67"/>
      <c r="X51" s="67"/>
      <c r="Y51" s="67"/>
      <c r="Z51" s="68"/>
    </row>
    <row r="52" spans="1:26" hidden="1" x14ac:dyDescent="0.25">
      <c r="A52" s="66"/>
      <c r="B52" s="67"/>
      <c r="C52" s="67"/>
      <c r="D52" s="67"/>
      <c r="E52" s="67"/>
      <c r="F52" s="67"/>
      <c r="G52" s="67"/>
      <c r="H52" s="67"/>
      <c r="I52" s="68"/>
      <c r="J52" s="66"/>
      <c r="K52" s="67"/>
      <c r="L52" s="67"/>
      <c r="M52" s="67"/>
      <c r="N52" s="67"/>
      <c r="O52" s="67"/>
      <c r="P52" s="67"/>
      <c r="Q52" s="68"/>
      <c r="R52" s="67"/>
      <c r="S52" s="67"/>
      <c r="T52" s="67"/>
      <c r="U52" s="67"/>
      <c r="V52" s="67"/>
      <c r="W52" s="67"/>
      <c r="X52" s="67"/>
      <c r="Y52" s="67"/>
      <c r="Z52" s="68"/>
    </row>
    <row r="53" spans="1:26" hidden="1" x14ac:dyDescent="0.25">
      <c r="A53" s="66"/>
      <c r="B53" s="67"/>
      <c r="C53" s="67"/>
      <c r="D53" s="67"/>
      <c r="E53" s="67"/>
      <c r="F53" s="67"/>
      <c r="G53" s="67"/>
      <c r="H53" s="67"/>
      <c r="I53" s="68"/>
      <c r="J53" s="66"/>
      <c r="K53" s="67"/>
      <c r="L53" s="67"/>
      <c r="M53" s="67"/>
      <c r="N53" s="67"/>
      <c r="O53" s="67"/>
      <c r="P53" s="67"/>
      <c r="Q53" s="68"/>
      <c r="R53" s="67"/>
      <c r="S53" s="67"/>
      <c r="T53" s="67"/>
      <c r="U53" s="67"/>
      <c r="V53" s="67"/>
      <c r="W53" s="67"/>
      <c r="X53" s="67"/>
      <c r="Y53" s="67"/>
      <c r="Z53" s="68"/>
    </row>
    <row r="54" spans="1:26" hidden="1" x14ac:dyDescent="0.25">
      <c r="A54" s="66"/>
      <c r="B54" s="67"/>
      <c r="C54" s="67"/>
      <c r="D54" s="67"/>
      <c r="E54" s="67"/>
      <c r="F54" s="67"/>
      <c r="G54" s="67"/>
      <c r="H54" s="67"/>
      <c r="I54" s="68"/>
      <c r="J54" s="66"/>
      <c r="K54" s="67"/>
      <c r="L54" s="67"/>
      <c r="M54" s="67"/>
      <c r="N54" s="67"/>
      <c r="O54" s="67"/>
      <c r="P54" s="67"/>
      <c r="Q54" s="68"/>
      <c r="R54" s="67"/>
      <c r="S54" s="67"/>
      <c r="T54" s="67"/>
      <c r="U54" s="67"/>
      <c r="V54" s="67"/>
      <c r="W54" s="67"/>
      <c r="X54" s="67"/>
      <c r="Y54" s="67"/>
      <c r="Z54" s="68"/>
    </row>
    <row r="55" spans="1:26" ht="15.75" hidden="1" thickBot="1" x14ac:dyDescent="0.3">
      <c r="A55" s="69"/>
      <c r="B55" s="70"/>
      <c r="C55" s="70"/>
      <c r="D55" s="70"/>
      <c r="E55" s="70"/>
      <c r="F55" s="70"/>
      <c r="G55" s="70"/>
      <c r="H55" s="70"/>
      <c r="I55" s="71"/>
      <c r="J55" s="69"/>
      <c r="K55" s="70"/>
      <c r="L55" s="70"/>
      <c r="M55" s="70"/>
      <c r="N55" s="70"/>
      <c r="O55" s="70"/>
      <c r="P55" s="70"/>
      <c r="Q55" s="71"/>
      <c r="R55" s="70"/>
      <c r="S55" s="70"/>
      <c r="T55" s="70"/>
      <c r="U55" s="70"/>
      <c r="V55" s="70"/>
      <c r="W55" s="70"/>
      <c r="X55" s="70"/>
      <c r="Y55" s="70"/>
      <c r="Z55" s="71"/>
    </row>
    <row r="56" spans="1:26" x14ac:dyDescent="0.25">
      <c r="A56" s="25" t="s">
        <v>281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7"/>
    </row>
    <row r="57" spans="1:26" ht="15.75" thickBot="1" x14ac:dyDescent="0.3">
      <c r="A57" s="38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40"/>
    </row>
    <row r="58" spans="1:26" x14ac:dyDescent="0.25">
      <c r="A58" s="64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65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65"/>
    </row>
    <row r="59" spans="1:26" x14ac:dyDescent="0.25">
      <c r="A59" s="66"/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8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8"/>
    </row>
    <row r="60" spans="1:26" x14ac:dyDescent="0.25">
      <c r="A60" s="66"/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67"/>
      <c r="M60" s="68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8"/>
    </row>
    <row r="61" spans="1:26" x14ac:dyDescent="0.25">
      <c r="A61" s="66"/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8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8"/>
    </row>
    <row r="62" spans="1:26" x14ac:dyDescent="0.25">
      <c r="A62" s="66"/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8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8"/>
    </row>
    <row r="63" spans="1:26" x14ac:dyDescent="0.25">
      <c r="A63" s="66"/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8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8"/>
    </row>
    <row r="64" spans="1:26" x14ac:dyDescent="0.25">
      <c r="A64" s="66"/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8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8"/>
    </row>
    <row r="65" spans="1:26" x14ac:dyDescent="0.25">
      <c r="A65" s="66"/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8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8"/>
    </row>
    <row r="66" spans="1:26" x14ac:dyDescent="0.25">
      <c r="A66" s="66"/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8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8"/>
    </row>
    <row r="67" spans="1:26" x14ac:dyDescent="0.25">
      <c r="A67" s="66"/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8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8"/>
    </row>
    <row r="68" spans="1:26" x14ac:dyDescent="0.25">
      <c r="A68" s="66"/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8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8"/>
    </row>
    <row r="69" spans="1:26" x14ac:dyDescent="0.25">
      <c r="A69" s="66"/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8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8"/>
    </row>
    <row r="70" spans="1:26" x14ac:dyDescent="0.25">
      <c r="A70" s="66"/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67"/>
      <c r="M70" s="68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8"/>
    </row>
    <row r="71" spans="1:26" x14ac:dyDescent="0.25">
      <c r="A71" s="66"/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8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8"/>
    </row>
    <row r="72" spans="1:26" x14ac:dyDescent="0.25">
      <c r="A72" s="66"/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8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8"/>
    </row>
    <row r="73" spans="1:26" x14ac:dyDescent="0.25">
      <c r="A73" s="66"/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8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8"/>
    </row>
    <row r="74" spans="1:26" x14ac:dyDescent="0.25">
      <c r="A74" s="66"/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8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8"/>
    </row>
    <row r="75" spans="1:26" x14ac:dyDescent="0.25">
      <c r="A75" s="66"/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8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8"/>
    </row>
    <row r="76" spans="1:26" ht="15.75" thickBot="1" x14ac:dyDescent="0.3">
      <c r="A76" s="69"/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1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1"/>
    </row>
    <row r="77" spans="1:26" x14ac:dyDescent="0.25">
      <c r="A77" s="64"/>
      <c r="B77" s="11"/>
      <c r="C77" s="11"/>
      <c r="D77" s="11"/>
      <c r="E77" s="11"/>
      <c r="F77" s="11"/>
      <c r="G77" s="11"/>
      <c r="H77" s="11"/>
      <c r="I77" s="11"/>
      <c r="J77" s="64"/>
      <c r="K77" s="11"/>
      <c r="L77" s="11"/>
      <c r="M77" s="11"/>
      <c r="N77" s="11"/>
      <c r="O77" s="11"/>
      <c r="P77" s="11"/>
      <c r="Q77" s="65"/>
      <c r="R77" s="11"/>
      <c r="S77" s="11"/>
      <c r="T77" s="11"/>
      <c r="U77" s="11"/>
      <c r="V77" s="11"/>
      <c r="W77" s="11"/>
      <c r="X77" s="11"/>
      <c r="Y77" s="11"/>
      <c r="Z77" s="65"/>
    </row>
    <row r="78" spans="1:26" x14ac:dyDescent="0.25">
      <c r="A78" s="66"/>
      <c r="B78" s="67"/>
      <c r="C78" s="67"/>
      <c r="D78" s="67"/>
      <c r="E78" s="67"/>
      <c r="F78" s="67"/>
      <c r="G78" s="67"/>
      <c r="H78" s="67"/>
      <c r="I78" s="67"/>
      <c r="J78" s="66"/>
      <c r="K78" s="67"/>
      <c r="L78" s="67"/>
      <c r="M78" s="67"/>
      <c r="N78" s="67"/>
      <c r="O78" s="67"/>
      <c r="P78" s="67"/>
      <c r="Q78" s="68"/>
      <c r="R78" s="67"/>
      <c r="S78" s="67"/>
      <c r="T78" s="67"/>
      <c r="U78" s="67"/>
      <c r="V78" s="67"/>
      <c r="W78" s="67"/>
      <c r="X78" s="67"/>
      <c r="Y78" s="67"/>
      <c r="Z78" s="68"/>
    </row>
    <row r="79" spans="1:26" x14ac:dyDescent="0.25">
      <c r="A79" s="66"/>
      <c r="B79" s="67"/>
      <c r="C79" s="67"/>
      <c r="D79" s="67"/>
      <c r="E79" s="67"/>
      <c r="F79" s="67"/>
      <c r="G79" s="67"/>
      <c r="H79" s="67"/>
      <c r="I79" s="67"/>
      <c r="J79" s="66"/>
      <c r="K79" s="67"/>
      <c r="L79" s="67"/>
      <c r="M79" s="67"/>
      <c r="N79" s="67"/>
      <c r="O79" s="67"/>
      <c r="P79" s="67"/>
      <c r="Q79" s="68"/>
      <c r="R79" s="67"/>
      <c r="S79" s="67"/>
      <c r="T79" s="67"/>
      <c r="U79" s="67"/>
      <c r="V79" s="67"/>
      <c r="W79" s="67"/>
      <c r="X79" s="67"/>
      <c r="Y79" s="67"/>
      <c r="Z79" s="68"/>
    </row>
    <row r="80" spans="1:26" x14ac:dyDescent="0.25">
      <c r="A80" s="66"/>
      <c r="B80" s="67"/>
      <c r="C80" s="67"/>
      <c r="D80" s="67"/>
      <c r="E80" s="67"/>
      <c r="F80" s="67"/>
      <c r="G80" s="67"/>
      <c r="H80" s="67"/>
      <c r="I80" s="67"/>
      <c r="J80" s="66"/>
      <c r="K80" s="67"/>
      <c r="L80" s="67"/>
      <c r="M80" s="67"/>
      <c r="N80" s="67"/>
      <c r="O80" s="67"/>
      <c r="P80" s="67"/>
      <c r="Q80" s="68"/>
      <c r="R80" s="67"/>
      <c r="S80" s="67"/>
      <c r="T80" s="67"/>
      <c r="U80" s="67"/>
      <c r="V80" s="67"/>
      <c r="W80" s="67"/>
      <c r="X80" s="67"/>
      <c r="Y80" s="67"/>
      <c r="Z80" s="68"/>
    </row>
    <row r="81" spans="1:26" x14ac:dyDescent="0.25">
      <c r="A81" s="66"/>
      <c r="B81" s="67"/>
      <c r="C81" s="67"/>
      <c r="D81" s="67"/>
      <c r="E81" s="67"/>
      <c r="F81" s="67"/>
      <c r="G81" s="67"/>
      <c r="H81" s="67"/>
      <c r="I81" s="67"/>
      <c r="J81" s="66"/>
      <c r="K81" s="67"/>
      <c r="L81" s="67"/>
      <c r="M81" s="67"/>
      <c r="N81" s="67"/>
      <c r="O81" s="67"/>
      <c r="P81" s="67"/>
      <c r="Q81" s="68"/>
      <c r="R81" s="67"/>
      <c r="S81" s="67"/>
      <c r="T81" s="67"/>
      <c r="U81" s="67"/>
      <c r="V81" s="67"/>
      <c r="W81" s="67"/>
      <c r="X81" s="67"/>
      <c r="Y81" s="67"/>
      <c r="Z81" s="68"/>
    </row>
    <row r="82" spans="1:26" x14ac:dyDescent="0.25">
      <c r="A82" s="66"/>
      <c r="B82" s="67"/>
      <c r="C82" s="67"/>
      <c r="D82" s="67"/>
      <c r="E82" s="67"/>
      <c r="F82" s="67"/>
      <c r="G82" s="67"/>
      <c r="H82" s="67"/>
      <c r="I82" s="67"/>
      <c r="J82" s="66"/>
      <c r="K82" s="67"/>
      <c r="L82" s="67"/>
      <c r="M82" s="67"/>
      <c r="N82" s="67"/>
      <c r="O82" s="67"/>
      <c r="P82" s="67"/>
      <c r="Q82" s="68"/>
      <c r="R82" s="67"/>
      <c r="S82" s="67"/>
      <c r="T82" s="67"/>
      <c r="U82" s="67"/>
      <c r="V82" s="67"/>
      <c r="W82" s="67"/>
      <c r="X82" s="67"/>
      <c r="Y82" s="67"/>
      <c r="Z82" s="68"/>
    </row>
    <row r="83" spans="1:26" x14ac:dyDescent="0.25">
      <c r="A83" s="66"/>
      <c r="B83" s="67"/>
      <c r="C83" s="67"/>
      <c r="D83" s="67"/>
      <c r="E83" s="67"/>
      <c r="F83" s="67"/>
      <c r="G83" s="67"/>
      <c r="H83" s="67"/>
      <c r="I83" s="67"/>
      <c r="J83" s="66"/>
      <c r="K83" s="67"/>
      <c r="L83" s="67"/>
      <c r="M83" s="67"/>
      <c r="N83" s="67"/>
      <c r="O83" s="67"/>
      <c r="P83" s="67"/>
      <c r="Q83" s="68"/>
      <c r="R83" s="67"/>
      <c r="S83" s="67"/>
      <c r="T83" s="67"/>
      <c r="U83" s="67"/>
      <c r="V83" s="67"/>
      <c r="W83" s="67"/>
      <c r="X83" s="67"/>
      <c r="Y83" s="67"/>
      <c r="Z83" s="68"/>
    </row>
    <row r="84" spans="1:26" x14ac:dyDescent="0.25">
      <c r="A84" s="66"/>
      <c r="B84" s="67"/>
      <c r="C84" s="67"/>
      <c r="D84" s="67"/>
      <c r="E84" s="67"/>
      <c r="F84" s="67"/>
      <c r="G84" s="67"/>
      <c r="H84" s="67"/>
      <c r="I84" s="67"/>
      <c r="J84" s="66"/>
      <c r="K84" s="67"/>
      <c r="L84" s="67"/>
      <c r="M84" s="67"/>
      <c r="N84" s="67"/>
      <c r="O84" s="67"/>
      <c r="P84" s="67"/>
      <c r="Q84" s="68"/>
      <c r="R84" s="67"/>
      <c r="S84" s="67"/>
      <c r="T84" s="67"/>
      <c r="U84" s="67"/>
      <c r="V84" s="67"/>
      <c r="W84" s="67"/>
      <c r="X84" s="67"/>
      <c r="Y84" s="67"/>
      <c r="Z84" s="68"/>
    </row>
    <row r="85" spans="1:26" x14ac:dyDescent="0.25">
      <c r="A85" s="66"/>
      <c r="B85" s="67"/>
      <c r="C85" s="67"/>
      <c r="D85" s="67"/>
      <c r="E85" s="67"/>
      <c r="F85" s="67"/>
      <c r="G85" s="67"/>
      <c r="H85" s="67"/>
      <c r="I85" s="67"/>
      <c r="J85" s="66"/>
      <c r="K85" s="67"/>
      <c r="L85" s="67"/>
      <c r="M85" s="67"/>
      <c r="N85" s="67"/>
      <c r="O85" s="67"/>
      <c r="P85" s="67"/>
      <c r="Q85" s="68"/>
      <c r="R85" s="67"/>
      <c r="S85" s="67"/>
      <c r="T85" s="67"/>
      <c r="U85" s="67"/>
      <c r="V85" s="67"/>
      <c r="W85" s="67"/>
      <c r="X85" s="67"/>
      <c r="Y85" s="67"/>
      <c r="Z85" s="68"/>
    </row>
    <row r="86" spans="1:26" x14ac:dyDescent="0.25">
      <c r="A86" s="66"/>
      <c r="B86" s="67"/>
      <c r="C86" s="67"/>
      <c r="D86" s="67"/>
      <c r="E86" s="67"/>
      <c r="F86" s="67"/>
      <c r="G86" s="67"/>
      <c r="H86" s="67"/>
      <c r="I86" s="67"/>
      <c r="J86" s="66"/>
      <c r="K86" s="67"/>
      <c r="L86" s="67"/>
      <c r="M86" s="67"/>
      <c r="N86" s="67"/>
      <c r="O86" s="67"/>
      <c r="P86" s="67"/>
      <c r="Q86" s="68"/>
      <c r="R86" s="67"/>
      <c r="S86" s="67"/>
      <c r="T86" s="67"/>
      <c r="U86" s="67"/>
      <c r="V86" s="67"/>
      <c r="W86" s="67"/>
      <c r="X86" s="67"/>
      <c r="Y86" s="67"/>
      <c r="Z86" s="68"/>
    </row>
    <row r="87" spans="1:26" x14ac:dyDescent="0.25">
      <c r="A87" s="66"/>
      <c r="B87" s="67"/>
      <c r="C87" s="67"/>
      <c r="D87" s="67"/>
      <c r="E87" s="67"/>
      <c r="F87" s="67"/>
      <c r="G87" s="67"/>
      <c r="H87" s="67"/>
      <c r="I87" s="67"/>
      <c r="J87" s="66"/>
      <c r="K87" s="67"/>
      <c r="L87" s="67"/>
      <c r="M87" s="67"/>
      <c r="N87" s="67"/>
      <c r="O87" s="67"/>
      <c r="P87" s="67"/>
      <c r="Q87" s="68"/>
      <c r="R87" s="67"/>
      <c r="S87" s="67"/>
      <c r="T87" s="67"/>
      <c r="U87" s="67"/>
      <c r="V87" s="67"/>
      <c r="W87" s="67"/>
      <c r="X87" s="67"/>
      <c r="Y87" s="67"/>
      <c r="Z87" s="68"/>
    </row>
    <row r="88" spans="1:26" x14ac:dyDescent="0.25">
      <c r="A88" s="66"/>
      <c r="B88" s="67"/>
      <c r="C88" s="67"/>
      <c r="D88" s="67"/>
      <c r="E88" s="67"/>
      <c r="F88" s="67"/>
      <c r="G88" s="67"/>
      <c r="H88" s="67"/>
      <c r="I88" s="67"/>
      <c r="J88" s="66"/>
      <c r="K88" s="67"/>
      <c r="L88" s="67"/>
      <c r="M88" s="67"/>
      <c r="N88" s="67"/>
      <c r="O88" s="67"/>
      <c r="P88" s="67"/>
      <c r="Q88" s="68"/>
      <c r="R88" s="67"/>
      <c r="S88" s="67"/>
      <c r="T88" s="67"/>
      <c r="U88" s="67"/>
      <c r="V88" s="67"/>
      <c r="W88" s="67"/>
      <c r="X88" s="67"/>
      <c r="Y88" s="67"/>
      <c r="Z88" s="68"/>
    </row>
    <row r="89" spans="1:26" ht="15.75" thickBot="1" x14ac:dyDescent="0.3">
      <c r="A89" s="69"/>
      <c r="B89" s="70"/>
      <c r="C89" s="70"/>
      <c r="D89" s="70"/>
      <c r="E89" s="70"/>
      <c r="F89" s="70"/>
      <c r="G89" s="70"/>
      <c r="H89" s="70"/>
      <c r="I89" s="70"/>
      <c r="J89" s="69"/>
      <c r="K89" s="70"/>
      <c r="L89" s="70"/>
      <c r="M89" s="70"/>
      <c r="N89" s="70"/>
      <c r="O89" s="70"/>
      <c r="P89" s="70"/>
      <c r="Q89" s="71"/>
      <c r="R89" s="70"/>
      <c r="S89" s="70"/>
      <c r="T89" s="70"/>
      <c r="U89" s="70"/>
      <c r="V89" s="70"/>
      <c r="W89" s="70"/>
      <c r="X89" s="70"/>
      <c r="Y89" s="70"/>
      <c r="Z89" s="71"/>
    </row>
  </sheetData>
  <mergeCells count="39">
    <mergeCell ref="A77:I89"/>
    <mergeCell ref="J77:Q89"/>
    <mergeCell ref="R77:Z89"/>
    <mergeCell ref="A43:I55"/>
    <mergeCell ref="J43:Q55"/>
    <mergeCell ref="R43:Z55"/>
    <mergeCell ref="A56:Z57"/>
    <mergeCell ref="A58:M76"/>
    <mergeCell ref="N58:Z76"/>
    <mergeCell ref="A22:Z23"/>
    <mergeCell ref="A24:M42"/>
    <mergeCell ref="N24:Z42"/>
    <mergeCell ref="A18:F21"/>
    <mergeCell ref="G18:L21"/>
    <mergeCell ref="M18:S21"/>
    <mergeCell ref="T18:Z21"/>
    <mergeCell ref="A15:Z16"/>
    <mergeCell ref="A17:F17"/>
    <mergeCell ref="G17:L17"/>
    <mergeCell ref="M17:S17"/>
    <mergeCell ref="T17:Z17"/>
    <mergeCell ref="A8:Z9"/>
    <mergeCell ref="A10:F10"/>
    <mergeCell ref="G10:L10"/>
    <mergeCell ref="M10:S10"/>
    <mergeCell ref="T10:Z10"/>
    <mergeCell ref="A11:F14"/>
    <mergeCell ref="G11:L14"/>
    <mergeCell ref="M11:S14"/>
    <mergeCell ref="T11:Z14"/>
    <mergeCell ref="A1:Z2"/>
    <mergeCell ref="A3:F3"/>
    <mergeCell ref="G3:L3"/>
    <mergeCell ref="M3:S3"/>
    <mergeCell ref="T3:Z3"/>
    <mergeCell ref="A4:F7"/>
    <mergeCell ref="G4:L7"/>
    <mergeCell ref="M4:S7"/>
    <mergeCell ref="T4:Z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ibirPainelTotais">
                <anchor moveWithCells="1" sizeWithCells="1">
                  <from>
                    <xdr:col>0</xdr:col>
                    <xdr:colOff>123825</xdr:colOff>
                    <xdr:row>0</xdr:row>
                    <xdr:rowOff>76200</xdr:rowOff>
                  </from>
                  <to>
                    <xdr:col>0</xdr:col>
                    <xdr:colOff>409575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ibirPainelMedias">
                <anchor moveWithCells="1" sizeWithCells="1">
                  <from>
                    <xdr:col>0</xdr:col>
                    <xdr:colOff>133350</xdr:colOff>
                    <xdr:row>7</xdr:row>
                    <xdr:rowOff>57150</xdr:rowOff>
                  </from>
                  <to>
                    <xdr:col>0</xdr:col>
                    <xdr:colOff>419100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ExibirPainelMaximas">
                <anchor moveWithCells="1" sizeWithCells="1">
                  <from>
                    <xdr:col>0</xdr:col>
                    <xdr:colOff>133350</xdr:colOff>
                    <xdr:row>14</xdr:row>
                    <xdr:rowOff>57150</xdr:rowOff>
                  </from>
                  <to>
                    <xdr:col>0</xdr:col>
                    <xdr:colOff>419100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ExibirPainelGraficosAtividade">
                <anchor moveWithCells="1" sizeWithCells="1">
                  <from>
                    <xdr:col>0</xdr:col>
                    <xdr:colOff>114300</xdr:colOff>
                    <xdr:row>21</xdr:row>
                    <xdr:rowOff>66675</xdr:rowOff>
                  </from>
                  <to>
                    <xdr:col>0</xdr:col>
                    <xdr:colOff>419100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ExibirPainelGraficosAno">
                <anchor moveWithCells="1" sizeWithCells="1">
                  <from>
                    <xdr:col>0</xdr:col>
                    <xdr:colOff>114300</xdr:colOff>
                    <xdr:row>55</xdr:row>
                    <xdr:rowOff>66675</xdr:rowOff>
                  </from>
                  <to>
                    <xdr:col>0</xdr:col>
                    <xdr:colOff>409575</xdr:colOff>
                    <xdr:row>56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E1634-6DCD-4F39-AC19-5A357992EF06}">
  <sheetPr codeName="Planilha3"/>
  <dimension ref="A1:AJ245"/>
  <sheetViews>
    <sheetView workbookViewId="0">
      <selection activeCell="E2" sqref="E2"/>
    </sheetView>
  </sheetViews>
  <sheetFormatPr defaultRowHeight="15" x14ac:dyDescent="0.25"/>
  <cols>
    <col min="1" max="1" width="17.5703125" bestFit="1" customWidth="1"/>
    <col min="2" max="2" width="15.85546875" bestFit="1" customWidth="1"/>
    <col min="3" max="3" width="8.28515625" bestFit="1" customWidth="1"/>
    <col min="4" max="4" width="53.140625" bestFit="1" customWidth="1"/>
    <col min="5" max="5" width="9" bestFit="1" customWidth="1"/>
    <col min="6" max="6" width="8" bestFit="1" customWidth="1"/>
    <col min="7" max="7" width="8.140625" bestFit="1" customWidth="1"/>
    <col min="8" max="8" width="9.28515625" bestFit="1" customWidth="1"/>
    <col min="9" max="9" width="10.5703125" bestFit="1" customWidth="1"/>
    <col min="10" max="10" width="22.5703125" bestFit="1" customWidth="1"/>
    <col min="11" max="11" width="24.7109375" bestFit="1" customWidth="1"/>
    <col min="12" max="12" width="26.28515625" bestFit="1" customWidth="1"/>
    <col min="13" max="13" width="17.28515625" bestFit="1" customWidth="1"/>
    <col min="14" max="14" width="18.7109375" bestFit="1" customWidth="1"/>
    <col min="15" max="15" width="18.140625" bestFit="1" customWidth="1"/>
    <col min="16" max="16" width="17.28515625" bestFit="1" customWidth="1"/>
    <col min="17" max="17" width="30.140625" bestFit="1" customWidth="1"/>
    <col min="18" max="18" width="26.28515625" bestFit="1" customWidth="1"/>
    <col min="19" max="19" width="22.7109375" bestFit="1" customWidth="1"/>
    <col min="20" max="20" width="20.5703125" bestFit="1" customWidth="1"/>
    <col min="21" max="21" width="13.85546875" bestFit="1" customWidth="1"/>
    <col min="22" max="22" width="5.85546875" bestFit="1" customWidth="1"/>
    <col min="23" max="23" width="18.28515625" bestFit="1" customWidth="1"/>
    <col min="24" max="24" width="17.5703125" bestFit="1" customWidth="1"/>
    <col min="25" max="25" width="18.140625" bestFit="1" customWidth="1"/>
    <col min="26" max="26" width="15.7109375" bestFit="1" customWidth="1"/>
    <col min="27" max="27" width="13.28515625" bestFit="1" customWidth="1"/>
    <col min="28" max="28" width="21.42578125" bestFit="1" customWidth="1"/>
    <col min="29" max="29" width="15" bestFit="1" customWidth="1"/>
    <col min="30" max="30" width="21.85546875" bestFit="1" customWidth="1"/>
    <col min="31" max="31" width="16.85546875" bestFit="1" customWidth="1"/>
    <col min="32" max="32" width="13.5703125" bestFit="1" customWidth="1"/>
    <col min="33" max="33" width="21.5703125" bestFit="1" customWidth="1"/>
    <col min="34" max="34" width="8.140625" bestFit="1" customWidth="1"/>
    <col min="35" max="35" width="16" bestFit="1" customWidth="1"/>
    <col min="36" max="36" width="16.28515625" bestFit="1" customWidth="1"/>
  </cols>
  <sheetData>
    <row r="1" spans="1:36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7" t="s">
        <v>20</v>
      </c>
      <c r="V1" s="7" t="s">
        <v>21</v>
      </c>
      <c r="W1" s="7" t="s">
        <v>22</v>
      </c>
      <c r="X1" s="7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D1" s="7" t="s">
        <v>29</v>
      </c>
      <c r="AE1" s="7" t="s">
        <v>30</v>
      </c>
      <c r="AF1" s="7" t="s">
        <v>31</v>
      </c>
      <c r="AG1" s="7" t="s">
        <v>32</v>
      </c>
      <c r="AH1" s="7" t="s">
        <v>33</v>
      </c>
      <c r="AI1" s="7" t="s">
        <v>34</v>
      </c>
      <c r="AJ1" s="7" t="s">
        <v>35</v>
      </c>
    </row>
    <row r="2" spans="1:36" s="9" customFormat="1" ht="23.25" customHeight="1" x14ac:dyDescent="0.25">
      <c r="A2" s="63"/>
      <c r="B2" s="10"/>
    </row>
    <row r="3" spans="1:36" ht="26.25" customHeight="1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</row>
    <row r="4" spans="1:36" ht="9" customHeight="1" x14ac:dyDescent="0.25"/>
    <row r="5" spans="1:36" x14ac:dyDescent="0.25">
      <c r="A5" s="7" t="s">
        <v>0</v>
      </c>
      <c r="B5" s="7" t="s">
        <v>1</v>
      </c>
      <c r="C5" s="7" t="s">
        <v>2</v>
      </c>
      <c r="D5" s="7" t="s">
        <v>3</v>
      </c>
      <c r="E5" s="7" t="s">
        <v>4</v>
      </c>
      <c r="F5" s="7" t="s">
        <v>5</v>
      </c>
      <c r="G5" s="7" t="s">
        <v>6</v>
      </c>
      <c r="H5" s="7" t="s">
        <v>7</v>
      </c>
      <c r="I5" s="7" t="s">
        <v>8</v>
      </c>
      <c r="J5" s="7" t="s">
        <v>9</v>
      </c>
      <c r="K5" s="7" t="s">
        <v>10</v>
      </c>
      <c r="L5" s="7" t="s">
        <v>11</v>
      </c>
      <c r="M5" s="7" t="s">
        <v>12</v>
      </c>
      <c r="N5" s="7" t="s">
        <v>13</v>
      </c>
      <c r="O5" s="7" t="s">
        <v>14</v>
      </c>
      <c r="P5" s="7" t="s">
        <v>15</v>
      </c>
      <c r="Q5" s="7" t="s">
        <v>16</v>
      </c>
      <c r="R5" s="7" t="s">
        <v>17</v>
      </c>
      <c r="S5" s="7" t="s">
        <v>18</v>
      </c>
      <c r="T5" s="7" t="s">
        <v>19</v>
      </c>
      <c r="U5" s="7" t="s">
        <v>20</v>
      </c>
      <c r="V5" s="7" t="s">
        <v>21</v>
      </c>
      <c r="W5" s="7" t="s">
        <v>22</v>
      </c>
      <c r="X5" s="7" t="s">
        <v>23</v>
      </c>
      <c r="Y5" s="7" t="s">
        <v>24</v>
      </c>
      <c r="Z5" s="7" t="s">
        <v>25</v>
      </c>
      <c r="AA5" s="7" t="s">
        <v>26</v>
      </c>
      <c r="AB5" s="7" t="s">
        <v>27</v>
      </c>
      <c r="AC5" s="7" t="s">
        <v>28</v>
      </c>
      <c r="AD5" s="7" t="s">
        <v>29</v>
      </c>
      <c r="AE5" s="7" t="s">
        <v>30</v>
      </c>
      <c r="AF5" s="7" t="s">
        <v>31</v>
      </c>
      <c r="AG5" s="7" t="s">
        <v>32</v>
      </c>
      <c r="AH5" s="7" t="s">
        <v>33</v>
      </c>
      <c r="AI5" s="7" t="s">
        <v>34</v>
      </c>
      <c r="AJ5" s="7" t="s">
        <v>35</v>
      </c>
    </row>
    <row r="6" spans="1:36" x14ac:dyDescent="0.25">
      <c r="A6" t="s">
        <v>36</v>
      </c>
      <c r="B6" s="1">
        <v>44396.284513888888</v>
      </c>
      <c r="C6" t="s">
        <v>37</v>
      </c>
      <c r="D6" t="s">
        <v>38</v>
      </c>
      <c r="E6">
        <v>0</v>
      </c>
      <c r="F6">
        <v>170</v>
      </c>
      <c r="G6" s="2">
        <v>2.5138888888888891E-2</v>
      </c>
      <c r="H6">
        <v>107</v>
      </c>
      <c r="I6">
        <v>152</v>
      </c>
      <c r="J6">
        <v>1.1000000000000001</v>
      </c>
      <c r="K6" t="s">
        <v>39</v>
      </c>
      <c r="L6" t="s">
        <v>39</v>
      </c>
      <c r="M6" t="s">
        <v>39</v>
      </c>
      <c r="N6" t="s">
        <v>39</v>
      </c>
      <c r="O6" t="s">
        <v>39</v>
      </c>
      <c r="P6" t="s">
        <v>39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166</v>
      </c>
      <c r="X6">
        <v>20</v>
      </c>
      <c r="Y6" s="3">
        <v>1.5083333333333335</v>
      </c>
      <c r="Z6" s="4">
        <v>0</v>
      </c>
      <c r="AA6">
        <v>0</v>
      </c>
      <c r="AB6" s="4">
        <v>0</v>
      </c>
      <c r="AC6" t="s">
        <v>40</v>
      </c>
      <c r="AD6" t="s">
        <v>41</v>
      </c>
      <c r="AE6">
        <v>1</v>
      </c>
      <c r="AF6">
        <v>0</v>
      </c>
      <c r="AG6" s="2">
        <v>1.3090277777777779E-2</v>
      </c>
      <c r="AH6" s="2">
        <v>2.5138888888888891E-2</v>
      </c>
      <c r="AI6" t="s">
        <v>39</v>
      </c>
      <c r="AJ6" t="s">
        <v>39</v>
      </c>
    </row>
    <row r="7" spans="1:36" x14ac:dyDescent="0.25">
      <c r="A7" t="s">
        <v>42</v>
      </c>
      <c r="B7" s="1">
        <v>44395.359930555554</v>
      </c>
      <c r="C7" t="s">
        <v>37</v>
      </c>
      <c r="D7" t="s">
        <v>43</v>
      </c>
      <c r="E7">
        <v>18.04</v>
      </c>
      <c r="F7">
        <v>636</v>
      </c>
      <c r="G7" s="2">
        <v>8.5925925925925919E-2</v>
      </c>
      <c r="H7">
        <v>116</v>
      </c>
      <c r="I7">
        <v>163</v>
      </c>
      <c r="J7">
        <v>2.2000000000000002</v>
      </c>
      <c r="K7" t="s">
        <v>39</v>
      </c>
      <c r="L7" t="s">
        <v>39</v>
      </c>
      <c r="M7">
        <v>8.6999999999999993</v>
      </c>
      <c r="N7">
        <v>24.6</v>
      </c>
      <c r="O7">
        <v>142</v>
      </c>
      <c r="P7">
        <v>145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t="s">
        <v>39</v>
      </c>
      <c r="X7" t="s">
        <v>39</v>
      </c>
      <c r="Y7" s="2">
        <v>8.5925925925925919E-2</v>
      </c>
      <c r="Z7" s="4">
        <v>0</v>
      </c>
      <c r="AA7">
        <v>0</v>
      </c>
      <c r="AB7" s="4">
        <v>0</v>
      </c>
      <c r="AC7" t="s">
        <v>40</v>
      </c>
      <c r="AD7" t="s">
        <v>44</v>
      </c>
      <c r="AE7">
        <v>4</v>
      </c>
      <c r="AF7">
        <v>0</v>
      </c>
      <c r="AG7" s="2">
        <v>6.2442129629629632E-2</v>
      </c>
      <c r="AH7" s="2">
        <v>8.5925925925925919E-2</v>
      </c>
      <c r="AI7">
        <v>3</v>
      </c>
      <c r="AJ7">
        <v>41</v>
      </c>
    </row>
    <row r="8" spans="1:36" x14ac:dyDescent="0.25">
      <c r="A8" t="s">
        <v>45</v>
      </c>
      <c r="B8" s="1">
        <v>44394.30064814815</v>
      </c>
      <c r="C8" t="s">
        <v>37</v>
      </c>
      <c r="D8" t="s">
        <v>46</v>
      </c>
      <c r="E8">
        <v>6.05</v>
      </c>
      <c r="F8">
        <v>602</v>
      </c>
      <c r="G8" s="2">
        <v>3.4479166666666665E-2</v>
      </c>
      <c r="H8">
        <v>176</v>
      </c>
      <c r="I8">
        <v>218</v>
      </c>
      <c r="J8">
        <v>4.5999999999999996</v>
      </c>
      <c r="K8">
        <v>113</v>
      </c>
      <c r="L8">
        <v>243</v>
      </c>
      <c r="M8" s="4">
        <v>0.34236111111111112</v>
      </c>
      <c r="N8" s="4">
        <v>0.17222222222222225</v>
      </c>
      <c r="O8">
        <v>293</v>
      </c>
      <c r="P8">
        <v>294</v>
      </c>
      <c r="Q8">
        <v>1.01</v>
      </c>
      <c r="R8">
        <v>0</v>
      </c>
      <c r="S8">
        <v>0</v>
      </c>
      <c r="T8">
        <v>0</v>
      </c>
      <c r="U8">
        <v>0</v>
      </c>
      <c r="V8">
        <v>0</v>
      </c>
      <c r="W8" t="s">
        <v>39</v>
      </c>
      <c r="X8" t="s">
        <v>39</v>
      </c>
      <c r="Y8" s="3">
        <v>2.0687500000000001</v>
      </c>
      <c r="Z8" s="4">
        <v>0</v>
      </c>
      <c r="AA8">
        <v>0</v>
      </c>
      <c r="AB8" s="4">
        <v>0</v>
      </c>
      <c r="AC8" t="s">
        <v>40</v>
      </c>
      <c r="AD8" t="s">
        <v>47</v>
      </c>
      <c r="AE8">
        <v>8</v>
      </c>
      <c r="AF8">
        <v>0</v>
      </c>
      <c r="AG8" s="2">
        <v>2.9282407407407406E-2</v>
      </c>
      <c r="AH8" s="2">
        <v>3.4479166666666665E-2</v>
      </c>
      <c r="AI8">
        <v>84</v>
      </c>
      <c r="AJ8">
        <v>380</v>
      </c>
    </row>
    <row r="9" spans="1:36" x14ac:dyDescent="0.25">
      <c r="A9" t="s">
        <v>36</v>
      </c>
      <c r="B9" s="1">
        <v>44390.289004629631</v>
      </c>
      <c r="C9" t="s">
        <v>37</v>
      </c>
      <c r="D9" t="s">
        <v>38</v>
      </c>
      <c r="E9">
        <v>0</v>
      </c>
      <c r="F9">
        <v>219</v>
      </c>
      <c r="G9" s="2">
        <v>2.614583333333333E-2</v>
      </c>
      <c r="H9">
        <v>117</v>
      </c>
      <c r="I9">
        <v>160</v>
      </c>
      <c r="J9">
        <v>1.7</v>
      </c>
      <c r="K9" t="s">
        <v>39</v>
      </c>
      <c r="L9" t="s">
        <v>39</v>
      </c>
      <c r="M9" t="s">
        <v>39</v>
      </c>
      <c r="N9" t="s">
        <v>39</v>
      </c>
      <c r="O9" t="s">
        <v>39</v>
      </c>
      <c r="P9" t="s">
        <v>39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159</v>
      </c>
      <c r="X9">
        <v>20</v>
      </c>
      <c r="Y9" s="3">
        <v>1.5687499999999999</v>
      </c>
      <c r="Z9" s="4">
        <v>0</v>
      </c>
      <c r="AA9">
        <v>0</v>
      </c>
      <c r="AB9" s="4">
        <v>0</v>
      </c>
      <c r="AC9" t="s">
        <v>40</v>
      </c>
      <c r="AD9" t="s">
        <v>48</v>
      </c>
      <c r="AE9">
        <v>1</v>
      </c>
      <c r="AF9">
        <v>0</v>
      </c>
      <c r="AG9" s="2">
        <v>1.2962962962962963E-2</v>
      </c>
      <c r="AH9" s="2">
        <v>2.614583333333333E-2</v>
      </c>
      <c r="AI9" t="s">
        <v>39</v>
      </c>
      <c r="AJ9" t="s">
        <v>39</v>
      </c>
    </row>
    <row r="10" spans="1:36" x14ac:dyDescent="0.25">
      <c r="A10" t="s">
        <v>45</v>
      </c>
      <c r="B10" s="1">
        <v>44389.278287037036</v>
      </c>
      <c r="C10" t="s">
        <v>37</v>
      </c>
      <c r="D10" t="s">
        <v>49</v>
      </c>
      <c r="E10">
        <v>5.91</v>
      </c>
      <c r="F10">
        <v>396</v>
      </c>
      <c r="G10" s="2">
        <v>2.7789351851851853E-2</v>
      </c>
      <c r="H10">
        <v>153</v>
      </c>
      <c r="I10">
        <v>189</v>
      </c>
      <c r="J10">
        <v>3.2</v>
      </c>
      <c r="K10">
        <v>137</v>
      </c>
      <c r="L10">
        <v>181</v>
      </c>
      <c r="M10" s="4">
        <v>0.28194444444444444</v>
      </c>
      <c r="N10" s="4">
        <v>0.16111111111111112</v>
      </c>
      <c r="O10">
        <v>36</v>
      </c>
      <c r="P10">
        <v>36</v>
      </c>
      <c r="Q10">
        <v>1.06</v>
      </c>
      <c r="R10">
        <v>0</v>
      </c>
      <c r="S10">
        <v>0</v>
      </c>
      <c r="T10">
        <v>0</v>
      </c>
      <c r="U10">
        <v>0</v>
      </c>
      <c r="V10">
        <v>0</v>
      </c>
      <c r="W10" t="s">
        <v>39</v>
      </c>
      <c r="X10" t="s">
        <v>39</v>
      </c>
      <c r="Y10" s="3">
        <v>1.6673611111111111</v>
      </c>
      <c r="Z10" s="4">
        <v>0</v>
      </c>
      <c r="AA10">
        <v>0</v>
      </c>
      <c r="AB10" s="4">
        <v>0</v>
      </c>
      <c r="AC10" t="s">
        <v>40</v>
      </c>
      <c r="AD10" t="s">
        <v>50</v>
      </c>
      <c r="AE10">
        <v>8</v>
      </c>
      <c r="AF10">
        <v>0</v>
      </c>
      <c r="AG10" s="2">
        <v>2.7210648148148147E-2</v>
      </c>
      <c r="AH10" s="2">
        <v>2.8321759259259258E-2</v>
      </c>
      <c r="AI10">
        <v>11</v>
      </c>
      <c r="AJ10">
        <v>21</v>
      </c>
    </row>
    <row r="11" spans="1:36" x14ac:dyDescent="0.25">
      <c r="A11" t="s">
        <v>45</v>
      </c>
      <c r="B11" s="1">
        <v>44387.325219907405</v>
      </c>
      <c r="C11" t="s">
        <v>37</v>
      </c>
      <c r="D11" t="s">
        <v>49</v>
      </c>
      <c r="E11">
        <v>16.010000000000002</v>
      </c>
      <c r="F11" s="5">
        <v>1233</v>
      </c>
      <c r="G11" s="2">
        <v>7.256944444444445E-2</v>
      </c>
      <c r="H11">
        <v>174</v>
      </c>
      <c r="I11">
        <v>206</v>
      </c>
      <c r="J11">
        <v>5</v>
      </c>
      <c r="K11">
        <v>150</v>
      </c>
      <c r="L11">
        <v>247</v>
      </c>
      <c r="M11" s="4">
        <v>0.2722222222222222</v>
      </c>
      <c r="N11" s="4">
        <v>0.22569444444444445</v>
      </c>
      <c r="O11">
        <v>305</v>
      </c>
      <c r="P11">
        <v>307</v>
      </c>
      <c r="Q11">
        <v>1.02</v>
      </c>
      <c r="R11">
        <v>0</v>
      </c>
      <c r="S11">
        <v>0</v>
      </c>
      <c r="T11">
        <v>0</v>
      </c>
      <c r="U11">
        <v>0</v>
      </c>
      <c r="V11">
        <v>0</v>
      </c>
      <c r="W11" t="s">
        <v>39</v>
      </c>
      <c r="X11" t="s">
        <v>39</v>
      </c>
      <c r="Y11" s="2">
        <v>7.256944444444445E-2</v>
      </c>
      <c r="Z11" s="4">
        <v>0</v>
      </c>
      <c r="AA11">
        <v>0</v>
      </c>
      <c r="AB11" s="4">
        <v>0</v>
      </c>
      <c r="AC11" t="s">
        <v>40</v>
      </c>
      <c r="AD11" t="s">
        <v>51</v>
      </c>
      <c r="AE11">
        <v>17</v>
      </c>
      <c r="AF11">
        <v>0</v>
      </c>
      <c r="AG11" s="2">
        <v>7.2511574074074062E-2</v>
      </c>
      <c r="AH11" s="2">
        <v>7.256944444444445E-2</v>
      </c>
      <c r="AI11">
        <v>17</v>
      </c>
      <c r="AJ11">
        <v>125</v>
      </c>
    </row>
    <row r="12" spans="1:36" x14ac:dyDescent="0.25">
      <c r="A12" t="s">
        <v>36</v>
      </c>
      <c r="B12" s="1">
        <v>44386.292685185188</v>
      </c>
      <c r="C12" t="s">
        <v>37</v>
      </c>
      <c r="D12" t="s">
        <v>38</v>
      </c>
      <c r="E12">
        <v>0</v>
      </c>
      <c r="F12">
        <v>333</v>
      </c>
      <c r="G12" s="2">
        <v>3.7372685185185189E-2</v>
      </c>
      <c r="H12">
        <v>125</v>
      </c>
      <c r="I12">
        <v>168</v>
      </c>
      <c r="J12">
        <v>2.2000000000000002</v>
      </c>
      <c r="K12" t="s">
        <v>39</v>
      </c>
      <c r="L12" t="s">
        <v>39</v>
      </c>
      <c r="M12" t="s">
        <v>39</v>
      </c>
      <c r="N12" t="s">
        <v>39</v>
      </c>
      <c r="O12" t="s">
        <v>39</v>
      </c>
      <c r="P12" t="s">
        <v>39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265</v>
      </c>
      <c r="X12">
        <v>24</v>
      </c>
      <c r="Y12" s="3">
        <v>2.2423611111111112</v>
      </c>
      <c r="Z12" s="4">
        <v>0</v>
      </c>
      <c r="AA12">
        <v>0</v>
      </c>
      <c r="AB12" s="4">
        <v>0</v>
      </c>
      <c r="AC12" t="s">
        <v>40</v>
      </c>
      <c r="AD12" t="s">
        <v>52</v>
      </c>
      <c r="AE12">
        <v>1</v>
      </c>
      <c r="AF12">
        <v>0</v>
      </c>
      <c r="AG12" s="2">
        <v>2.0347222222222221E-2</v>
      </c>
      <c r="AH12" s="2">
        <v>3.7372685185185189E-2</v>
      </c>
      <c r="AI12" t="s">
        <v>39</v>
      </c>
      <c r="AJ12" t="s">
        <v>39</v>
      </c>
    </row>
    <row r="13" spans="1:36" x14ac:dyDescent="0.25">
      <c r="A13" t="s">
        <v>45</v>
      </c>
      <c r="B13" s="1">
        <v>44385.742731481485</v>
      </c>
      <c r="C13" t="s">
        <v>37</v>
      </c>
      <c r="D13" t="s">
        <v>53</v>
      </c>
      <c r="E13">
        <v>10.01</v>
      </c>
      <c r="F13">
        <v>744</v>
      </c>
      <c r="G13" s="2">
        <v>4.296296296296296E-2</v>
      </c>
      <c r="H13">
        <v>172</v>
      </c>
      <c r="I13">
        <v>188</v>
      </c>
      <c r="J13">
        <v>5</v>
      </c>
      <c r="K13">
        <v>160</v>
      </c>
      <c r="L13">
        <v>168</v>
      </c>
      <c r="M13" s="4">
        <v>0.25763888888888892</v>
      </c>
      <c r="N13" s="4">
        <v>0.21111111111111111</v>
      </c>
      <c r="O13">
        <v>64</v>
      </c>
      <c r="P13">
        <v>78</v>
      </c>
      <c r="Q13">
        <v>1.01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39</v>
      </c>
      <c r="X13" t="s">
        <v>39</v>
      </c>
      <c r="Y13" s="2">
        <v>4.296296296296296E-2</v>
      </c>
      <c r="Z13" s="4">
        <v>0</v>
      </c>
      <c r="AA13">
        <v>0</v>
      </c>
      <c r="AB13" s="4">
        <v>0</v>
      </c>
      <c r="AC13" t="s">
        <v>40</v>
      </c>
      <c r="AD13" t="s">
        <v>54</v>
      </c>
      <c r="AE13">
        <v>11</v>
      </c>
      <c r="AF13">
        <v>0</v>
      </c>
      <c r="AG13" s="2">
        <v>4.2858796296296298E-2</v>
      </c>
      <c r="AH13" s="2">
        <v>4.296296296296296E-2</v>
      </c>
      <c r="AI13">
        <v>9</v>
      </c>
      <c r="AJ13">
        <v>49</v>
      </c>
    </row>
    <row r="14" spans="1:36" x14ac:dyDescent="0.25">
      <c r="A14" t="s">
        <v>45</v>
      </c>
      <c r="B14" s="1">
        <v>44380.339074074072</v>
      </c>
      <c r="C14" t="s">
        <v>37</v>
      </c>
      <c r="D14" t="s">
        <v>49</v>
      </c>
      <c r="E14">
        <v>14.12</v>
      </c>
      <c r="F14" s="5">
        <v>1047</v>
      </c>
      <c r="G14" s="2">
        <v>6.2523148148148147E-2</v>
      </c>
      <c r="H14">
        <v>170</v>
      </c>
      <c r="I14">
        <v>201</v>
      </c>
      <c r="J14">
        <v>5</v>
      </c>
      <c r="K14">
        <v>153</v>
      </c>
      <c r="L14">
        <v>244</v>
      </c>
      <c r="M14" s="4">
        <v>0.26597222222222222</v>
      </c>
      <c r="N14" s="4">
        <v>0.23055555555555554</v>
      </c>
      <c r="O14">
        <v>175</v>
      </c>
      <c r="P14">
        <v>177</v>
      </c>
      <c r="Q14">
        <v>1.03</v>
      </c>
      <c r="R14">
        <v>0</v>
      </c>
      <c r="S14">
        <v>0</v>
      </c>
      <c r="T14">
        <v>0</v>
      </c>
      <c r="U14">
        <v>0</v>
      </c>
      <c r="V14">
        <v>0</v>
      </c>
      <c r="W14" t="s">
        <v>39</v>
      </c>
      <c r="X14" t="s">
        <v>39</v>
      </c>
      <c r="Y14" s="2">
        <v>6.2523148148148147E-2</v>
      </c>
      <c r="Z14" s="4">
        <v>0</v>
      </c>
      <c r="AA14">
        <v>0</v>
      </c>
      <c r="AB14" s="4">
        <v>0</v>
      </c>
      <c r="AC14" t="s">
        <v>40</v>
      </c>
      <c r="AD14" t="s">
        <v>55</v>
      </c>
      <c r="AE14">
        <v>15</v>
      </c>
      <c r="AF14">
        <v>0</v>
      </c>
      <c r="AG14" s="2">
        <v>6.2488425925925926E-2</v>
      </c>
      <c r="AH14" s="2">
        <v>6.2523148148148147E-2</v>
      </c>
      <c r="AI14">
        <v>15</v>
      </c>
      <c r="AJ14">
        <v>64</v>
      </c>
    </row>
    <row r="15" spans="1:36" x14ac:dyDescent="0.25">
      <c r="A15" t="s">
        <v>36</v>
      </c>
      <c r="B15" s="1">
        <v>44379.293217592596</v>
      </c>
      <c r="C15" t="s">
        <v>37</v>
      </c>
      <c r="D15" t="s">
        <v>38</v>
      </c>
      <c r="E15">
        <v>0</v>
      </c>
      <c r="F15">
        <v>280</v>
      </c>
      <c r="G15" s="2">
        <v>3.471064814814815E-2</v>
      </c>
      <c r="H15">
        <v>119</v>
      </c>
      <c r="I15">
        <v>168</v>
      </c>
      <c r="J15">
        <v>2.1</v>
      </c>
      <c r="K15" t="s">
        <v>39</v>
      </c>
      <c r="L15" t="s">
        <v>39</v>
      </c>
      <c r="M15" t="s">
        <v>39</v>
      </c>
      <c r="N15" t="s">
        <v>39</v>
      </c>
      <c r="O15" t="s">
        <v>39</v>
      </c>
      <c r="P15" t="s">
        <v>39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236</v>
      </c>
      <c r="X15">
        <v>24</v>
      </c>
      <c r="Y15" s="3">
        <v>2.0826388888888889</v>
      </c>
      <c r="Z15" s="4">
        <v>0</v>
      </c>
      <c r="AA15">
        <v>0</v>
      </c>
      <c r="AB15" s="4">
        <v>0</v>
      </c>
      <c r="AC15" t="s">
        <v>40</v>
      </c>
      <c r="AD15" t="s">
        <v>56</v>
      </c>
      <c r="AE15">
        <v>1</v>
      </c>
      <c r="AF15">
        <v>0</v>
      </c>
      <c r="AG15" s="2">
        <v>1.8229166666666668E-2</v>
      </c>
      <c r="AH15" s="2">
        <v>3.471064814814815E-2</v>
      </c>
      <c r="AI15" t="s">
        <v>39</v>
      </c>
      <c r="AJ15" t="s">
        <v>39</v>
      </c>
    </row>
    <row r="16" spans="1:36" x14ac:dyDescent="0.25">
      <c r="A16" t="s">
        <v>57</v>
      </c>
      <c r="B16" s="1">
        <v>44378.761817129627</v>
      </c>
      <c r="C16" t="s">
        <v>37</v>
      </c>
      <c r="D16" t="s">
        <v>58</v>
      </c>
      <c r="E16">
        <v>8.01</v>
      </c>
      <c r="F16">
        <v>610</v>
      </c>
      <c r="G16" s="2">
        <v>3.6076388888888887E-2</v>
      </c>
      <c r="H16">
        <v>165</v>
      </c>
      <c r="I16">
        <v>176</v>
      </c>
      <c r="J16">
        <v>4.3</v>
      </c>
      <c r="K16">
        <v>157</v>
      </c>
      <c r="L16">
        <v>180</v>
      </c>
      <c r="M16" s="4">
        <v>0.27013888888888887</v>
      </c>
      <c r="N16" s="4">
        <v>0.2298611111111111</v>
      </c>
      <c r="O16" t="s">
        <v>39</v>
      </c>
      <c r="P16" t="s">
        <v>39</v>
      </c>
      <c r="Q16">
        <v>0.98</v>
      </c>
      <c r="R16">
        <v>0</v>
      </c>
      <c r="S16">
        <v>0</v>
      </c>
      <c r="T16">
        <v>0</v>
      </c>
      <c r="U16">
        <v>0</v>
      </c>
      <c r="V16">
        <v>0</v>
      </c>
      <c r="W16" t="s">
        <v>39</v>
      </c>
      <c r="X16" t="s">
        <v>39</v>
      </c>
      <c r="Y16" s="3">
        <v>2.1645833333333333</v>
      </c>
      <c r="Z16" s="4">
        <v>0</v>
      </c>
      <c r="AA16">
        <v>0</v>
      </c>
      <c r="AB16" s="4">
        <v>0</v>
      </c>
      <c r="AC16" t="s">
        <v>40</v>
      </c>
      <c r="AD16" t="s">
        <v>59</v>
      </c>
      <c r="AE16">
        <v>9</v>
      </c>
      <c r="AF16">
        <v>0</v>
      </c>
      <c r="AG16" s="2">
        <v>3.577546296296296E-2</v>
      </c>
      <c r="AH16" s="2">
        <v>3.6076388888888887E-2</v>
      </c>
      <c r="AI16" t="s">
        <v>39</v>
      </c>
      <c r="AJ16" t="s">
        <v>39</v>
      </c>
    </row>
    <row r="17" spans="1:36" x14ac:dyDescent="0.25">
      <c r="A17" t="s">
        <v>36</v>
      </c>
      <c r="B17" s="1">
        <v>44377.292592592596</v>
      </c>
      <c r="C17" t="s">
        <v>37</v>
      </c>
      <c r="D17" t="s">
        <v>38</v>
      </c>
      <c r="E17">
        <v>0</v>
      </c>
      <c r="F17">
        <v>313</v>
      </c>
      <c r="G17" s="2">
        <v>3.560185185185185E-2</v>
      </c>
      <c r="H17">
        <v>124</v>
      </c>
      <c r="I17">
        <v>142</v>
      </c>
      <c r="J17">
        <v>2</v>
      </c>
      <c r="K17" t="s">
        <v>39</v>
      </c>
      <c r="L17" t="s">
        <v>39</v>
      </c>
      <c r="M17" t="s">
        <v>39</v>
      </c>
      <c r="N17" t="s">
        <v>39</v>
      </c>
      <c r="O17" t="s">
        <v>39</v>
      </c>
      <c r="P17" t="s">
        <v>39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173</v>
      </c>
      <c r="X17">
        <v>24</v>
      </c>
      <c r="Y17" s="3">
        <v>2.1361111111111111</v>
      </c>
      <c r="Z17" s="4">
        <v>0</v>
      </c>
      <c r="AA17">
        <v>0</v>
      </c>
      <c r="AB17" s="4">
        <v>0</v>
      </c>
      <c r="AC17" t="s">
        <v>40</v>
      </c>
      <c r="AD17" t="s">
        <v>60</v>
      </c>
      <c r="AE17">
        <v>1</v>
      </c>
      <c r="AF17">
        <v>0</v>
      </c>
      <c r="AG17" s="2">
        <v>1.849537037037037E-2</v>
      </c>
      <c r="AH17" s="2">
        <v>3.560185185185185E-2</v>
      </c>
      <c r="AI17" t="s">
        <v>39</v>
      </c>
      <c r="AJ17" t="s">
        <v>39</v>
      </c>
    </row>
    <row r="18" spans="1:36" x14ac:dyDescent="0.25">
      <c r="A18" t="s">
        <v>57</v>
      </c>
      <c r="B18" s="1">
        <v>44376.726226851853</v>
      </c>
      <c r="C18" t="s">
        <v>37</v>
      </c>
      <c r="D18" t="s">
        <v>61</v>
      </c>
      <c r="E18">
        <v>8.1</v>
      </c>
      <c r="F18">
        <v>615</v>
      </c>
      <c r="G18" s="2">
        <v>4.4976851851851851E-2</v>
      </c>
      <c r="H18">
        <v>151</v>
      </c>
      <c r="I18">
        <v>183</v>
      </c>
      <c r="J18">
        <v>3.5</v>
      </c>
      <c r="K18">
        <v>123</v>
      </c>
      <c r="L18">
        <v>210</v>
      </c>
      <c r="M18" s="4">
        <v>0.33333333333333331</v>
      </c>
      <c r="N18" s="4">
        <v>0.20416666666666669</v>
      </c>
      <c r="O18" t="s">
        <v>39</v>
      </c>
      <c r="P18" t="s">
        <v>39</v>
      </c>
      <c r="Q18">
        <v>0.84</v>
      </c>
      <c r="R18">
        <v>0</v>
      </c>
      <c r="S18">
        <v>0</v>
      </c>
      <c r="T18">
        <v>0</v>
      </c>
      <c r="U18">
        <v>0</v>
      </c>
      <c r="V18">
        <v>0</v>
      </c>
      <c r="W18" t="s">
        <v>39</v>
      </c>
      <c r="X18" t="s">
        <v>39</v>
      </c>
      <c r="Y18" s="2">
        <v>4.4976851851851851E-2</v>
      </c>
      <c r="Z18" s="4">
        <v>0</v>
      </c>
      <c r="AA18">
        <v>0</v>
      </c>
      <c r="AB18" s="4">
        <v>0</v>
      </c>
      <c r="AC18" t="s">
        <v>40</v>
      </c>
      <c r="AD18" t="s">
        <v>62</v>
      </c>
      <c r="AE18">
        <v>15</v>
      </c>
      <c r="AF18">
        <v>0</v>
      </c>
      <c r="AG18" s="2">
        <v>3.2789351851851854E-2</v>
      </c>
      <c r="AH18" s="2">
        <v>4.4976851851851851E-2</v>
      </c>
      <c r="AI18" t="s">
        <v>39</v>
      </c>
      <c r="AJ18" t="s">
        <v>39</v>
      </c>
    </row>
    <row r="19" spans="1:36" x14ac:dyDescent="0.25">
      <c r="A19" t="s">
        <v>36</v>
      </c>
      <c r="B19" s="1">
        <v>44375.293229166666</v>
      </c>
      <c r="C19" t="s">
        <v>37</v>
      </c>
      <c r="D19" t="s">
        <v>38</v>
      </c>
      <c r="E19">
        <v>0</v>
      </c>
      <c r="F19">
        <v>313</v>
      </c>
      <c r="G19" s="2">
        <v>3.425925925925926E-2</v>
      </c>
      <c r="H19">
        <v>124</v>
      </c>
      <c r="I19">
        <v>174</v>
      </c>
      <c r="J19">
        <v>2.4</v>
      </c>
      <c r="K19" t="s">
        <v>39</v>
      </c>
      <c r="L19" t="s">
        <v>39</v>
      </c>
      <c r="M19" t="s">
        <v>39</v>
      </c>
      <c r="N19" t="s">
        <v>39</v>
      </c>
      <c r="O19" t="s">
        <v>39</v>
      </c>
      <c r="P19" t="s">
        <v>39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266</v>
      </c>
      <c r="X19">
        <v>24</v>
      </c>
      <c r="Y19" s="3">
        <v>2.0555555555555558</v>
      </c>
      <c r="Z19" s="4">
        <v>0</v>
      </c>
      <c r="AA19">
        <v>0</v>
      </c>
      <c r="AB19" s="4">
        <v>0</v>
      </c>
      <c r="AC19" t="s">
        <v>40</v>
      </c>
      <c r="AD19" t="s">
        <v>63</v>
      </c>
      <c r="AE19">
        <v>1</v>
      </c>
      <c r="AF19">
        <v>0</v>
      </c>
      <c r="AG19" s="2">
        <v>1.744212962962963E-2</v>
      </c>
      <c r="AH19" s="2">
        <v>3.425925925925926E-2</v>
      </c>
      <c r="AI19" t="s">
        <v>39</v>
      </c>
      <c r="AJ19" t="s">
        <v>39</v>
      </c>
    </row>
    <row r="20" spans="1:36" x14ac:dyDescent="0.25">
      <c r="A20" t="s">
        <v>45</v>
      </c>
      <c r="B20" s="1">
        <v>44374.37604166667</v>
      </c>
      <c r="C20" t="s">
        <v>37</v>
      </c>
      <c r="D20" t="s">
        <v>49</v>
      </c>
      <c r="E20">
        <v>13.95</v>
      </c>
      <c r="F20" s="5">
        <v>1038</v>
      </c>
      <c r="G20" s="2">
        <v>6.2523148148148147E-2</v>
      </c>
      <c r="H20">
        <v>171</v>
      </c>
      <c r="I20">
        <v>201</v>
      </c>
      <c r="J20">
        <v>5</v>
      </c>
      <c r="K20">
        <v>150</v>
      </c>
      <c r="L20">
        <v>241</v>
      </c>
      <c r="M20" s="4">
        <v>0.26874999999999999</v>
      </c>
      <c r="N20" s="4">
        <v>0.23402777777777781</v>
      </c>
      <c r="O20">
        <v>169</v>
      </c>
      <c r="P20">
        <v>178</v>
      </c>
      <c r="Q20">
        <v>1.03</v>
      </c>
      <c r="R20">
        <v>0</v>
      </c>
      <c r="S20">
        <v>0</v>
      </c>
      <c r="T20">
        <v>0</v>
      </c>
      <c r="U20">
        <v>0</v>
      </c>
      <c r="V20">
        <v>0</v>
      </c>
      <c r="W20" t="s">
        <v>39</v>
      </c>
      <c r="X20" t="s">
        <v>39</v>
      </c>
      <c r="Y20" s="2">
        <v>6.2523148148148147E-2</v>
      </c>
      <c r="Z20" s="4">
        <v>0</v>
      </c>
      <c r="AA20">
        <v>0</v>
      </c>
      <c r="AB20" s="4">
        <v>0</v>
      </c>
      <c r="AC20" t="s">
        <v>40</v>
      </c>
      <c r="AD20" t="s">
        <v>64</v>
      </c>
      <c r="AE20">
        <v>14</v>
      </c>
      <c r="AF20">
        <v>0</v>
      </c>
      <c r="AG20" s="2">
        <v>6.2395833333333338E-2</v>
      </c>
      <c r="AH20" s="2">
        <v>6.2523148148148147E-2</v>
      </c>
      <c r="AI20">
        <v>10</v>
      </c>
      <c r="AJ20">
        <v>57</v>
      </c>
    </row>
    <row r="21" spans="1:36" x14ac:dyDescent="0.25">
      <c r="A21" t="s">
        <v>36</v>
      </c>
      <c r="B21" s="1">
        <v>44372.295474537037</v>
      </c>
      <c r="C21" t="s">
        <v>37</v>
      </c>
      <c r="D21" t="s">
        <v>38</v>
      </c>
      <c r="E21">
        <v>0</v>
      </c>
      <c r="F21">
        <v>319</v>
      </c>
      <c r="G21" s="2">
        <v>3.6562499999999998E-2</v>
      </c>
      <c r="H21">
        <v>124</v>
      </c>
      <c r="I21">
        <v>148</v>
      </c>
      <c r="J21">
        <v>2</v>
      </c>
      <c r="K21" t="s">
        <v>39</v>
      </c>
      <c r="L21" t="s">
        <v>39</v>
      </c>
      <c r="M21" t="s">
        <v>39</v>
      </c>
      <c r="N21" t="s">
        <v>39</v>
      </c>
      <c r="O21" t="s">
        <v>39</v>
      </c>
      <c r="P21" t="s">
        <v>39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157</v>
      </c>
      <c r="X21">
        <v>24</v>
      </c>
      <c r="Y21" s="3">
        <v>2.1937500000000001</v>
      </c>
      <c r="Z21" s="4">
        <v>0</v>
      </c>
      <c r="AA21">
        <v>0</v>
      </c>
      <c r="AB21" s="4">
        <v>0</v>
      </c>
      <c r="AC21" t="s">
        <v>40</v>
      </c>
      <c r="AD21" t="s">
        <v>65</v>
      </c>
      <c r="AE21">
        <v>1</v>
      </c>
      <c r="AF21">
        <v>0</v>
      </c>
      <c r="AG21" s="2">
        <v>1.7488425925925925E-2</v>
      </c>
      <c r="AH21" s="2">
        <v>3.6562499999999998E-2</v>
      </c>
      <c r="AI21" t="s">
        <v>39</v>
      </c>
      <c r="AJ21" t="s">
        <v>39</v>
      </c>
    </row>
    <row r="22" spans="1:36" x14ac:dyDescent="0.25">
      <c r="A22" t="s">
        <v>57</v>
      </c>
      <c r="B22" s="1">
        <v>44371.752430555556</v>
      </c>
      <c r="C22" t="s">
        <v>37</v>
      </c>
      <c r="D22" t="s">
        <v>66</v>
      </c>
      <c r="E22">
        <v>10.01</v>
      </c>
      <c r="F22">
        <v>704</v>
      </c>
      <c r="G22" s="2">
        <v>4.144675925925926E-2</v>
      </c>
      <c r="H22">
        <v>167</v>
      </c>
      <c r="I22">
        <v>185</v>
      </c>
      <c r="J22">
        <v>4.9000000000000004</v>
      </c>
      <c r="K22">
        <v>160</v>
      </c>
      <c r="L22">
        <v>176</v>
      </c>
      <c r="M22" s="4">
        <v>0.24861111111111112</v>
      </c>
      <c r="N22" s="4">
        <v>0.21666666666666667</v>
      </c>
      <c r="O22" t="s">
        <v>39</v>
      </c>
      <c r="P22" t="s">
        <v>39</v>
      </c>
      <c r="Q22">
        <v>1.05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39</v>
      </c>
      <c r="X22" t="s">
        <v>39</v>
      </c>
      <c r="Y22" s="3">
        <v>2.4868055555555553</v>
      </c>
      <c r="Z22" s="4">
        <v>0</v>
      </c>
      <c r="AA22">
        <v>0</v>
      </c>
      <c r="AB22" s="4">
        <v>0</v>
      </c>
      <c r="AC22" t="s">
        <v>40</v>
      </c>
      <c r="AD22" t="s">
        <v>67</v>
      </c>
      <c r="AE22">
        <v>11</v>
      </c>
      <c r="AF22">
        <v>0</v>
      </c>
      <c r="AG22" s="2">
        <v>4.1365740740740745E-2</v>
      </c>
      <c r="AH22" s="2">
        <v>4.144675925925926E-2</v>
      </c>
      <c r="AI22" t="s">
        <v>39</v>
      </c>
      <c r="AJ22" t="s">
        <v>39</v>
      </c>
    </row>
    <row r="23" spans="1:36" x14ac:dyDescent="0.25">
      <c r="A23" t="s">
        <v>45</v>
      </c>
      <c r="B23" s="1">
        <v>44369.285729166666</v>
      </c>
      <c r="C23" t="s">
        <v>37</v>
      </c>
      <c r="D23" t="s">
        <v>68</v>
      </c>
      <c r="E23">
        <v>8.01</v>
      </c>
      <c r="F23">
        <v>560</v>
      </c>
      <c r="G23" s="2">
        <v>3.3958333333333333E-2</v>
      </c>
      <c r="H23">
        <v>166</v>
      </c>
      <c r="I23">
        <v>186</v>
      </c>
      <c r="J23">
        <v>4.2</v>
      </c>
      <c r="K23">
        <v>158</v>
      </c>
      <c r="L23">
        <v>170</v>
      </c>
      <c r="M23" s="4">
        <v>0.25416666666666665</v>
      </c>
      <c r="N23" s="4">
        <v>0.19583333333333333</v>
      </c>
      <c r="O23">
        <v>24</v>
      </c>
      <c r="P23">
        <v>36</v>
      </c>
      <c r="Q23">
        <v>1.03</v>
      </c>
      <c r="R23">
        <v>0</v>
      </c>
      <c r="S23">
        <v>0</v>
      </c>
      <c r="T23">
        <v>0</v>
      </c>
      <c r="U23">
        <v>0</v>
      </c>
      <c r="V23">
        <v>0</v>
      </c>
      <c r="W23" t="s">
        <v>39</v>
      </c>
      <c r="X23" t="s">
        <v>39</v>
      </c>
      <c r="Y23" s="3">
        <v>2.0375000000000001</v>
      </c>
      <c r="Z23" s="4">
        <v>0</v>
      </c>
      <c r="AA23">
        <v>0</v>
      </c>
      <c r="AB23" s="4">
        <v>0</v>
      </c>
      <c r="AC23" t="s">
        <v>40</v>
      </c>
      <c r="AD23" t="s">
        <v>69</v>
      </c>
      <c r="AE23">
        <v>11</v>
      </c>
      <c r="AF23">
        <v>0</v>
      </c>
      <c r="AG23" s="2">
        <v>3.3912037037037039E-2</v>
      </c>
      <c r="AH23" s="2">
        <v>3.3958333333333333E-2</v>
      </c>
      <c r="AI23">
        <v>12</v>
      </c>
      <c r="AJ23">
        <v>28</v>
      </c>
    </row>
    <row r="24" spans="1:36" x14ac:dyDescent="0.25">
      <c r="A24" t="s">
        <v>36</v>
      </c>
      <c r="B24" s="1">
        <v>44368.288298611114</v>
      </c>
      <c r="C24" t="s">
        <v>37</v>
      </c>
      <c r="D24" t="s">
        <v>38</v>
      </c>
      <c r="E24">
        <v>0</v>
      </c>
      <c r="F24">
        <v>296</v>
      </c>
      <c r="G24" s="2">
        <v>3.6851851851851851E-2</v>
      </c>
      <c r="H24">
        <v>119</v>
      </c>
      <c r="I24">
        <v>164</v>
      </c>
      <c r="J24">
        <v>2.1</v>
      </c>
      <c r="K24" t="s">
        <v>39</v>
      </c>
      <c r="L24" t="s">
        <v>39</v>
      </c>
      <c r="M24" t="s">
        <v>39</v>
      </c>
      <c r="N24" t="s">
        <v>39</v>
      </c>
      <c r="O24" t="s">
        <v>39</v>
      </c>
      <c r="P24" t="s">
        <v>39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321</v>
      </c>
      <c r="X24">
        <v>27</v>
      </c>
      <c r="Y24" s="3">
        <v>2.2111111111111112</v>
      </c>
      <c r="Z24" s="4">
        <v>0</v>
      </c>
      <c r="AA24">
        <v>0</v>
      </c>
      <c r="AB24" s="4">
        <v>0</v>
      </c>
      <c r="AC24" t="s">
        <v>40</v>
      </c>
      <c r="AD24" t="s">
        <v>70</v>
      </c>
      <c r="AE24">
        <v>1</v>
      </c>
      <c r="AF24">
        <v>0</v>
      </c>
      <c r="AG24" s="2">
        <v>1.8298611111111113E-2</v>
      </c>
      <c r="AH24" s="2">
        <v>3.6851851851851851E-2</v>
      </c>
      <c r="AI24" t="s">
        <v>39</v>
      </c>
      <c r="AJ24" t="s">
        <v>39</v>
      </c>
    </row>
    <row r="25" spans="1:36" x14ac:dyDescent="0.25">
      <c r="A25" t="s">
        <v>57</v>
      </c>
      <c r="B25" s="1">
        <v>44367.389363425929</v>
      </c>
      <c r="C25" t="s">
        <v>37</v>
      </c>
      <c r="D25" t="s">
        <v>57</v>
      </c>
      <c r="E25">
        <v>6.19</v>
      </c>
      <c r="F25">
        <v>470</v>
      </c>
      <c r="G25" s="2">
        <v>3.1967592592592589E-2</v>
      </c>
      <c r="H25">
        <v>155</v>
      </c>
      <c r="I25">
        <v>186</v>
      </c>
      <c r="J25">
        <v>3.6</v>
      </c>
      <c r="K25">
        <v>142</v>
      </c>
      <c r="L25">
        <v>225</v>
      </c>
      <c r="M25" s="4">
        <v>0.30972222222222223</v>
      </c>
      <c r="N25" s="4">
        <v>0.20138888888888887</v>
      </c>
      <c r="O25" t="s">
        <v>39</v>
      </c>
      <c r="P25" t="s">
        <v>39</v>
      </c>
      <c r="Q25">
        <v>0.93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39</v>
      </c>
      <c r="X25" t="s">
        <v>39</v>
      </c>
      <c r="Y25" s="3">
        <v>1.9180555555555554</v>
      </c>
      <c r="Z25" s="4">
        <v>0</v>
      </c>
      <c r="AA25">
        <v>0</v>
      </c>
      <c r="AB25" s="4">
        <v>0</v>
      </c>
      <c r="AC25" t="s">
        <v>40</v>
      </c>
      <c r="AD25" t="s">
        <v>71</v>
      </c>
      <c r="AE25">
        <v>7</v>
      </c>
      <c r="AF25">
        <v>0</v>
      </c>
      <c r="AG25" s="2">
        <v>3.0335648148148143E-2</v>
      </c>
      <c r="AH25" s="2">
        <v>3.1967592592592589E-2</v>
      </c>
      <c r="AI25" t="s">
        <v>39</v>
      </c>
      <c r="AJ25" t="s">
        <v>39</v>
      </c>
    </row>
    <row r="26" spans="1:36" x14ac:dyDescent="0.25">
      <c r="A26" t="s">
        <v>57</v>
      </c>
      <c r="B26" s="1">
        <v>44364.748564814814</v>
      </c>
      <c r="C26" t="s">
        <v>37</v>
      </c>
      <c r="D26" t="s">
        <v>72</v>
      </c>
      <c r="E26">
        <v>8.02</v>
      </c>
      <c r="F26">
        <v>555</v>
      </c>
      <c r="G26" s="2">
        <v>3.4652777777777775E-2</v>
      </c>
      <c r="H26">
        <v>159</v>
      </c>
      <c r="I26">
        <v>172</v>
      </c>
      <c r="J26">
        <v>4.0999999999999996</v>
      </c>
      <c r="K26">
        <v>157</v>
      </c>
      <c r="L26">
        <v>161</v>
      </c>
      <c r="M26" s="4">
        <v>0.2590277777777778</v>
      </c>
      <c r="N26" s="4">
        <v>0.2076388888888889</v>
      </c>
      <c r="O26" t="s">
        <v>39</v>
      </c>
      <c r="P26" t="s">
        <v>39</v>
      </c>
      <c r="Q26">
        <v>1.03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39</v>
      </c>
      <c r="X26" t="s">
        <v>39</v>
      </c>
      <c r="Y26" s="3">
        <v>2.0791666666666666</v>
      </c>
      <c r="Z26" s="4">
        <v>0</v>
      </c>
      <c r="AA26">
        <v>0</v>
      </c>
      <c r="AB26" s="4">
        <v>0</v>
      </c>
      <c r="AC26" t="s">
        <v>40</v>
      </c>
      <c r="AD26" t="s">
        <v>73</v>
      </c>
      <c r="AE26">
        <v>9</v>
      </c>
      <c r="AF26">
        <v>0</v>
      </c>
      <c r="AG26" s="2">
        <v>3.4641203703703702E-2</v>
      </c>
      <c r="AH26" s="2">
        <v>3.4652777777777775E-2</v>
      </c>
      <c r="AI26" t="s">
        <v>39</v>
      </c>
      <c r="AJ26" t="s">
        <v>39</v>
      </c>
    </row>
    <row r="27" spans="1:36" x14ac:dyDescent="0.25">
      <c r="A27" t="s">
        <v>57</v>
      </c>
      <c r="B27" s="1">
        <v>44362.757893518516</v>
      </c>
      <c r="C27" t="s">
        <v>37</v>
      </c>
      <c r="D27" t="s">
        <v>74</v>
      </c>
      <c r="E27">
        <v>7.01</v>
      </c>
      <c r="F27">
        <v>410</v>
      </c>
      <c r="G27" s="2">
        <v>2.9560185185185189E-2</v>
      </c>
      <c r="H27">
        <v>147</v>
      </c>
      <c r="I27">
        <v>172</v>
      </c>
      <c r="J27">
        <v>3.3</v>
      </c>
      <c r="K27">
        <v>155</v>
      </c>
      <c r="L27">
        <v>161</v>
      </c>
      <c r="M27" s="4">
        <v>0.25277777777777777</v>
      </c>
      <c r="N27" s="4">
        <v>0.19305555555555554</v>
      </c>
      <c r="O27" t="s">
        <v>39</v>
      </c>
      <c r="P27" t="s">
        <v>39</v>
      </c>
      <c r="Q27">
        <v>1.06</v>
      </c>
      <c r="R27">
        <v>0</v>
      </c>
      <c r="S27">
        <v>0</v>
      </c>
      <c r="T27">
        <v>0</v>
      </c>
      <c r="U27">
        <v>0</v>
      </c>
      <c r="V27">
        <v>0</v>
      </c>
      <c r="W27" t="s">
        <v>39</v>
      </c>
      <c r="X27" t="s">
        <v>39</v>
      </c>
      <c r="Y27" s="3">
        <v>1.7736111111111112</v>
      </c>
      <c r="Z27" s="4">
        <v>0</v>
      </c>
      <c r="AA27">
        <v>0</v>
      </c>
      <c r="AB27" s="4">
        <v>0</v>
      </c>
      <c r="AC27" t="s">
        <v>40</v>
      </c>
      <c r="AD27" t="s">
        <v>75</v>
      </c>
      <c r="AE27">
        <v>24</v>
      </c>
      <c r="AF27">
        <v>0</v>
      </c>
      <c r="AG27" s="2">
        <v>2.946759259259259E-2</v>
      </c>
      <c r="AH27" s="2">
        <v>2.9560185185185189E-2</v>
      </c>
      <c r="AI27" t="s">
        <v>39</v>
      </c>
      <c r="AJ27" t="s">
        <v>39</v>
      </c>
    </row>
    <row r="28" spans="1:36" x14ac:dyDescent="0.25">
      <c r="A28" t="s">
        <v>45</v>
      </c>
      <c r="B28" s="1">
        <v>44360.365925925929</v>
      </c>
      <c r="C28" t="s">
        <v>37</v>
      </c>
      <c r="D28" t="s">
        <v>49</v>
      </c>
      <c r="E28">
        <v>18.399999999999999</v>
      </c>
      <c r="F28" s="5">
        <v>1332</v>
      </c>
      <c r="G28" s="2">
        <v>8.3344907407407409E-2</v>
      </c>
      <c r="H28">
        <v>167</v>
      </c>
      <c r="I28">
        <v>192</v>
      </c>
      <c r="J28">
        <v>5</v>
      </c>
      <c r="K28">
        <v>154</v>
      </c>
      <c r="L28">
        <v>244</v>
      </c>
      <c r="M28" s="4">
        <v>0.27152777777777776</v>
      </c>
      <c r="N28" s="4">
        <v>0.2298611111111111</v>
      </c>
      <c r="O28">
        <v>409</v>
      </c>
      <c r="P28">
        <v>377</v>
      </c>
      <c r="Q28">
        <v>1</v>
      </c>
      <c r="R28">
        <v>0</v>
      </c>
      <c r="S28">
        <v>0</v>
      </c>
      <c r="T28">
        <v>0</v>
      </c>
      <c r="U28">
        <v>0</v>
      </c>
      <c r="V28">
        <v>0</v>
      </c>
      <c r="W28" t="s">
        <v>39</v>
      </c>
      <c r="X28" t="s">
        <v>39</v>
      </c>
      <c r="Y28" s="2">
        <v>8.3344907407407409E-2</v>
      </c>
      <c r="Z28" s="4">
        <v>0</v>
      </c>
      <c r="AA28">
        <v>0</v>
      </c>
      <c r="AB28" s="4">
        <v>0</v>
      </c>
      <c r="AC28" t="s">
        <v>40</v>
      </c>
      <c r="AD28" t="s">
        <v>76</v>
      </c>
      <c r="AE28">
        <v>19</v>
      </c>
      <c r="AF28">
        <v>0</v>
      </c>
      <c r="AG28" s="2">
        <v>8.3206018518518512E-2</v>
      </c>
      <c r="AH28" s="2">
        <v>8.3344907407407409E-2</v>
      </c>
      <c r="AI28">
        <v>17</v>
      </c>
      <c r="AJ28">
        <v>160</v>
      </c>
    </row>
    <row r="29" spans="1:36" x14ac:dyDescent="0.25">
      <c r="A29" t="s">
        <v>36</v>
      </c>
      <c r="B29" s="1">
        <v>44358.28392361111</v>
      </c>
      <c r="C29" t="s">
        <v>37</v>
      </c>
      <c r="D29" t="s">
        <v>38</v>
      </c>
      <c r="E29">
        <v>0</v>
      </c>
      <c r="F29">
        <v>310</v>
      </c>
      <c r="G29" s="2">
        <v>4.3831018518518512E-2</v>
      </c>
      <c r="H29">
        <v>114</v>
      </c>
      <c r="I29">
        <v>146</v>
      </c>
      <c r="J29">
        <v>1.4</v>
      </c>
      <c r="K29" t="s">
        <v>39</v>
      </c>
      <c r="L29" t="s">
        <v>39</v>
      </c>
      <c r="M29" t="s">
        <v>39</v>
      </c>
      <c r="N29" t="s">
        <v>39</v>
      </c>
      <c r="O29" t="s">
        <v>39</v>
      </c>
      <c r="P29" t="s">
        <v>39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209</v>
      </c>
      <c r="X29">
        <v>28</v>
      </c>
      <c r="Y29" s="2">
        <v>4.3831018518518512E-2</v>
      </c>
      <c r="Z29" s="4">
        <v>0</v>
      </c>
      <c r="AA29">
        <v>0</v>
      </c>
      <c r="AB29" s="4">
        <v>0</v>
      </c>
      <c r="AC29" t="s">
        <v>40</v>
      </c>
      <c r="AD29" t="s">
        <v>77</v>
      </c>
      <c r="AE29">
        <v>1</v>
      </c>
      <c r="AF29">
        <v>0</v>
      </c>
      <c r="AG29" s="2">
        <v>1.954861111111111E-2</v>
      </c>
      <c r="AH29" s="2">
        <v>4.3831018518518512E-2</v>
      </c>
      <c r="AI29" t="s">
        <v>39</v>
      </c>
      <c r="AJ29" t="s">
        <v>39</v>
      </c>
    </row>
    <row r="30" spans="1:36" x14ac:dyDescent="0.25">
      <c r="A30" t="s">
        <v>57</v>
      </c>
      <c r="B30" s="1">
        <v>44357.773530092592</v>
      </c>
      <c r="C30" t="s">
        <v>37</v>
      </c>
      <c r="D30" t="s">
        <v>66</v>
      </c>
      <c r="E30">
        <v>10.01</v>
      </c>
      <c r="F30">
        <v>693</v>
      </c>
      <c r="G30" s="2">
        <v>4.2465277777777775E-2</v>
      </c>
      <c r="H30">
        <v>165</v>
      </c>
      <c r="I30">
        <v>179</v>
      </c>
      <c r="J30">
        <v>5</v>
      </c>
      <c r="K30">
        <v>158</v>
      </c>
      <c r="L30">
        <v>167</v>
      </c>
      <c r="M30" s="4">
        <v>0.25416666666666665</v>
      </c>
      <c r="N30" s="4">
        <v>0.19305555555555554</v>
      </c>
      <c r="O30" t="s">
        <v>39</v>
      </c>
      <c r="P30" t="s">
        <v>39</v>
      </c>
      <c r="Q30">
        <v>1.04</v>
      </c>
      <c r="R30">
        <v>0</v>
      </c>
      <c r="S30">
        <v>0</v>
      </c>
      <c r="T30">
        <v>0</v>
      </c>
      <c r="U30">
        <v>0</v>
      </c>
      <c r="V30">
        <v>0</v>
      </c>
      <c r="W30" t="s">
        <v>39</v>
      </c>
      <c r="X30" t="s">
        <v>39</v>
      </c>
      <c r="Y30" s="2">
        <v>4.2465277777777775E-2</v>
      </c>
      <c r="Z30" s="4">
        <v>0</v>
      </c>
      <c r="AA30">
        <v>0</v>
      </c>
      <c r="AB30" s="4">
        <v>0</v>
      </c>
      <c r="AC30" t="s">
        <v>40</v>
      </c>
      <c r="AD30" t="s">
        <v>78</v>
      </c>
      <c r="AE30">
        <v>11</v>
      </c>
      <c r="AF30">
        <v>0</v>
      </c>
      <c r="AG30" s="2">
        <v>4.1921296296296297E-2</v>
      </c>
      <c r="AH30" s="2">
        <v>4.2465277777777775E-2</v>
      </c>
      <c r="AI30" t="s">
        <v>39</v>
      </c>
      <c r="AJ30" t="s">
        <v>39</v>
      </c>
    </row>
    <row r="31" spans="1:36" x14ac:dyDescent="0.25">
      <c r="A31" t="s">
        <v>57</v>
      </c>
      <c r="B31" s="1">
        <v>44355.755243055559</v>
      </c>
      <c r="C31" t="s">
        <v>37</v>
      </c>
      <c r="D31" t="s">
        <v>79</v>
      </c>
      <c r="E31">
        <v>7.2</v>
      </c>
      <c r="F31">
        <v>471</v>
      </c>
      <c r="G31" s="2">
        <v>3.7523148148148146E-2</v>
      </c>
      <c r="H31">
        <v>144</v>
      </c>
      <c r="I31">
        <v>184</v>
      </c>
      <c r="J31">
        <v>3.1</v>
      </c>
      <c r="K31">
        <v>130</v>
      </c>
      <c r="L31">
        <v>170</v>
      </c>
      <c r="M31" s="4">
        <v>0.3125</v>
      </c>
      <c r="N31" s="4">
        <v>0.18472222222222223</v>
      </c>
      <c r="O31" t="s">
        <v>39</v>
      </c>
      <c r="P31" t="s">
        <v>39</v>
      </c>
      <c r="Q31">
        <v>0.93</v>
      </c>
      <c r="R31">
        <v>0</v>
      </c>
      <c r="S31">
        <v>0</v>
      </c>
      <c r="T31">
        <v>0</v>
      </c>
      <c r="U31">
        <v>0</v>
      </c>
      <c r="V31">
        <v>0</v>
      </c>
      <c r="W31" t="s">
        <v>39</v>
      </c>
      <c r="X31" t="s">
        <v>39</v>
      </c>
      <c r="Y31" s="3">
        <v>2.2513888888888887</v>
      </c>
      <c r="Z31" s="4">
        <v>0</v>
      </c>
      <c r="AA31">
        <v>0</v>
      </c>
      <c r="AB31" s="4">
        <v>0</v>
      </c>
      <c r="AC31" t="s">
        <v>40</v>
      </c>
      <c r="AD31" t="s">
        <v>75</v>
      </c>
      <c r="AE31">
        <v>17</v>
      </c>
      <c r="AF31">
        <v>0</v>
      </c>
      <c r="AG31" s="2">
        <v>2.9756944444444447E-2</v>
      </c>
      <c r="AH31" s="2">
        <v>3.7523148148148146E-2</v>
      </c>
      <c r="AI31" t="s">
        <v>39</v>
      </c>
      <c r="AJ31" t="s">
        <v>39</v>
      </c>
    </row>
    <row r="32" spans="1:36" x14ac:dyDescent="0.25">
      <c r="A32" t="s">
        <v>36</v>
      </c>
      <c r="B32" s="1">
        <v>44354.280347222222</v>
      </c>
      <c r="C32" t="s">
        <v>37</v>
      </c>
      <c r="D32" t="s">
        <v>38</v>
      </c>
      <c r="E32">
        <v>0</v>
      </c>
      <c r="F32">
        <v>262</v>
      </c>
      <c r="G32" s="2">
        <v>4.0370370370370369E-2</v>
      </c>
      <c r="H32">
        <v>110</v>
      </c>
      <c r="I32">
        <v>150</v>
      </c>
      <c r="J32">
        <v>1.5</v>
      </c>
      <c r="K32" t="s">
        <v>39</v>
      </c>
      <c r="L32" t="s">
        <v>39</v>
      </c>
      <c r="M32" t="s">
        <v>39</v>
      </c>
      <c r="N32" t="s">
        <v>39</v>
      </c>
      <c r="O32" t="s">
        <v>39</v>
      </c>
      <c r="P32" t="s">
        <v>39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332</v>
      </c>
      <c r="X32">
        <v>28</v>
      </c>
      <c r="Y32" s="3">
        <v>2.4222222222222221</v>
      </c>
      <c r="Z32" s="4">
        <v>0</v>
      </c>
      <c r="AA32">
        <v>0</v>
      </c>
      <c r="AB32" s="4">
        <v>0</v>
      </c>
      <c r="AC32" t="s">
        <v>40</v>
      </c>
      <c r="AD32" t="s">
        <v>80</v>
      </c>
      <c r="AE32">
        <v>1</v>
      </c>
      <c r="AF32">
        <v>0</v>
      </c>
      <c r="AG32" s="2">
        <v>1.9421296296296294E-2</v>
      </c>
      <c r="AH32" s="2">
        <v>4.0370370370370369E-2</v>
      </c>
      <c r="AI32" t="s">
        <v>39</v>
      </c>
      <c r="AJ32" t="s">
        <v>39</v>
      </c>
    </row>
    <row r="33" spans="1:36" x14ac:dyDescent="0.25">
      <c r="A33" t="s">
        <v>45</v>
      </c>
      <c r="B33" s="1">
        <v>44353.370069444441</v>
      </c>
      <c r="C33" t="s">
        <v>37</v>
      </c>
      <c r="D33" t="s">
        <v>49</v>
      </c>
      <c r="E33">
        <v>13.67</v>
      </c>
      <c r="F33" s="5">
        <v>1054</v>
      </c>
      <c r="G33" s="2">
        <v>6.2511574074074081E-2</v>
      </c>
      <c r="H33">
        <v>174</v>
      </c>
      <c r="I33">
        <v>205</v>
      </c>
      <c r="J33">
        <v>5</v>
      </c>
      <c r="K33">
        <v>143</v>
      </c>
      <c r="L33">
        <v>244</v>
      </c>
      <c r="M33" s="4">
        <v>0.27430555555555552</v>
      </c>
      <c r="N33" s="4">
        <v>0.17708333333333334</v>
      </c>
      <c r="O33">
        <v>327</v>
      </c>
      <c r="P33">
        <v>335</v>
      </c>
      <c r="Q33">
        <v>1.07</v>
      </c>
      <c r="R33">
        <v>0</v>
      </c>
      <c r="S33">
        <v>0</v>
      </c>
      <c r="T33">
        <v>0</v>
      </c>
      <c r="U33">
        <v>0</v>
      </c>
      <c r="V33">
        <v>0</v>
      </c>
      <c r="W33" t="s">
        <v>39</v>
      </c>
      <c r="X33" t="s">
        <v>39</v>
      </c>
      <c r="Y33" s="2">
        <v>6.2511574074074081E-2</v>
      </c>
      <c r="Z33" s="4">
        <v>0</v>
      </c>
      <c r="AA33">
        <v>0</v>
      </c>
      <c r="AB33" s="4">
        <v>0</v>
      </c>
      <c r="AC33" t="s">
        <v>40</v>
      </c>
      <c r="AD33" t="s">
        <v>81</v>
      </c>
      <c r="AE33">
        <v>14</v>
      </c>
      <c r="AF33">
        <v>0</v>
      </c>
      <c r="AG33" s="2">
        <v>6.236111111111111E-2</v>
      </c>
      <c r="AH33" s="2">
        <v>6.2511574074074081E-2</v>
      </c>
      <c r="AI33">
        <v>16</v>
      </c>
      <c r="AJ33">
        <v>123</v>
      </c>
    </row>
    <row r="34" spans="1:36" x14ac:dyDescent="0.25">
      <c r="A34" t="s">
        <v>45</v>
      </c>
      <c r="B34" s="1">
        <v>44350.309224537035</v>
      </c>
      <c r="C34" t="s">
        <v>37</v>
      </c>
      <c r="D34" t="s">
        <v>82</v>
      </c>
      <c r="E34">
        <v>8.65</v>
      </c>
      <c r="F34">
        <v>600</v>
      </c>
      <c r="G34" s="2">
        <v>3.9768518518518516E-2</v>
      </c>
      <c r="H34">
        <v>159</v>
      </c>
      <c r="I34">
        <v>183</v>
      </c>
      <c r="J34">
        <v>4.5999999999999996</v>
      </c>
      <c r="K34">
        <v>146</v>
      </c>
      <c r="L34">
        <v>249</v>
      </c>
      <c r="M34" s="4">
        <v>0.27569444444444446</v>
      </c>
      <c r="N34" s="4">
        <v>0.16180555555555556</v>
      </c>
      <c r="O34">
        <v>22</v>
      </c>
      <c r="P34">
        <v>33</v>
      </c>
      <c r="Q34">
        <v>1.03</v>
      </c>
      <c r="R34">
        <v>0</v>
      </c>
      <c r="S34">
        <v>0</v>
      </c>
      <c r="T34">
        <v>0</v>
      </c>
      <c r="U34">
        <v>0</v>
      </c>
      <c r="V34">
        <v>0</v>
      </c>
      <c r="W34" t="s">
        <v>39</v>
      </c>
      <c r="X34" t="s">
        <v>39</v>
      </c>
      <c r="Y34" s="3">
        <v>2.3861111111111111</v>
      </c>
      <c r="Z34" s="4">
        <v>0</v>
      </c>
      <c r="AA34">
        <v>0</v>
      </c>
      <c r="AB34" s="4">
        <v>0</v>
      </c>
      <c r="AC34" t="s">
        <v>40</v>
      </c>
      <c r="AD34" t="s">
        <v>83</v>
      </c>
      <c r="AE34">
        <v>25</v>
      </c>
      <c r="AF34">
        <v>0</v>
      </c>
      <c r="AG34" s="2">
        <v>3.7418981481481477E-2</v>
      </c>
      <c r="AH34" s="2">
        <v>3.9768518518518516E-2</v>
      </c>
      <c r="AI34">
        <v>7</v>
      </c>
      <c r="AJ34">
        <v>25</v>
      </c>
    </row>
    <row r="35" spans="1:36" x14ac:dyDescent="0.25">
      <c r="A35" t="s">
        <v>45</v>
      </c>
      <c r="B35" s="1">
        <v>44348.264907407407</v>
      </c>
      <c r="C35" t="s">
        <v>37</v>
      </c>
      <c r="D35" t="s">
        <v>53</v>
      </c>
      <c r="E35">
        <v>10.02</v>
      </c>
      <c r="F35">
        <v>706</v>
      </c>
      <c r="G35" s="2">
        <v>4.2997685185185187E-2</v>
      </c>
      <c r="H35">
        <v>168</v>
      </c>
      <c r="I35">
        <v>190</v>
      </c>
      <c r="J35">
        <v>5</v>
      </c>
      <c r="K35">
        <v>156</v>
      </c>
      <c r="L35">
        <v>170</v>
      </c>
      <c r="M35" s="4">
        <v>0.25763888888888892</v>
      </c>
      <c r="N35" s="4">
        <v>0.21875</v>
      </c>
      <c r="O35">
        <v>76</v>
      </c>
      <c r="P35">
        <v>76</v>
      </c>
      <c r="Q35">
        <v>1.04</v>
      </c>
      <c r="R35">
        <v>0</v>
      </c>
      <c r="S35">
        <v>0</v>
      </c>
      <c r="T35">
        <v>0</v>
      </c>
      <c r="U35">
        <v>0</v>
      </c>
      <c r="V35">
        <v>0</v>
      </c>
      <c r="W35" t="s">
        <v>39</v>
      </c>
      <c r="X35" t="s">
        <v>39</v>
      </c>
      <c r="Y35" s="2">
        <v>4.2997685185185187E-2</v>
      </c>
      <c r="Z35" s="4">
        <v>0</v>
      </c>
      <c r="AA35">
        <v>0</v>
      </c>
      <c r="AB35" s="4">
        <v>0</v>
      </c>
      <c r="AC35" t="s">
        <v>40</v>
      </c>
      <c r="AD35" t="s">
        <v>84</v>
      </c>
      <c r="AE35">
        <v>11</v>
      </c>
      <c r="AF35">
        <v>0</v>
      </c>
      <c r="AG35" s="2">
        <v>4.296296296296296E-2</v>
      </c>
      <c r="AH35" s="2">
        <v>4.2997685185185187E-2</v>
      </c>
      <c r="AI35">
        <v>12</v>
      </c>
      <c r="AJ35">
        <v>42</v>
      </c>
    </row>
    <row r="36" spans="1:36" x14ac:dyDescent="0.25">
      <c r="A36" t="s">
        <v>36</v>
      </c>
      <c r="B36" s="1">
        <v>44347.280624999999</v>
      </c>
      <c r="C36" t="s">
        <v>37</v>
      </c>
      <c r="D36" t="s">
        <v>38</v>
      </c>
      <c r="E36">
        <v>0</v>
      </c>
      <c r="F36">
        <v>242</v>
      </c>
      <c r="G36" s="2">
        <v>4.0092592592592589E-2</v>
      </c>
      <c r="H36">
        <v>110</v>
      </c>
      <c r="I36">
        <v>157</v>
      </c>
      <c r="J36">
        <v>1.6</v>
      </c>
      <c r="K36" t="s">
        <v>39</v>
      </c>
      <c r="L36" t="s">
        <v>39</v>
      </c>
      <c r="M36" t="s">
        <v>39</v>
      </c>
      <c r="N36" t="s">
        <v>39</v>
      </c>
      <c r="O36" t="s">
        <v>39</v>
      </c>
      <c r="P36" t="s">
        <v>39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368</v>
      </c>
      <c r="X36">
        <v>31</v>
      </c>
      <c r="Y36" s="3">
        <v>2.4055555555555554</v>
      </c>
      <c r="Z36" s="4">
        <v>0</v>
      </c>
      <c r="AA36">
        <v>0</v>
      </c>
      <c r="AB36" s="4">
        <v>0</v>
      </c>
      <c r="AC36" t="s">
        <v>40</v>
      </c>
      <c r="AD36" t="s">
        <v>85</v>
      </c>
      <c r="AE36">
        <v>1</v>
      </c>
      <c r="AF36">
        <v>0</v>
      </c>
      <c r="AG36" s="2">
        <v>1.8807870370370371E-2</v>
      </c>
      <c r="AH36" s="2">
        <v>4.0208333333333332E-2</v>
      </c>
      <c r="AI36" t="s">
        <v>39</v>
      </c>
      <c r="AJ36" t="s">
        <v>39</v>
      </c>
    </row>
    <row r="37" spans="1:36" x14ac:dyDescent="0.25">
      <c r="A37" t="s">
        <v>45</v>
      </c>
      <c r="B37" s="1">
        <v>44346.35423611111</v>
      </c>
      <c r="C37" t="s">
        <v>37</v>
      </c>
      <c r="D37" t="s">
        <v>49</v>
      </c>
      <c r="E37">
        <v>16.010000000000002</v>
      </c>
      <c r="F37" s="5">
        <v>1056</v>
      </c>
      <c r="G37" s="2">
        <v>7.1412037037037038E-2</v>
      </c>
      <c r="H37">
        <v>163</v>
      </c>
      <c r="I37">
        <v>185</v>
      </c>
      <c r="J37">
        <v>5</v>
      </c>
      <c r="K37">
        <v>154</v>
      </c>
      <c r="L37">
        <v>168</v>
      </c>
      <c r="M37" s="4">
        <v>0.2673611111111111</v>
      </c>
      <c r="N37" s="4">
        <v>0.22361111111111109</v>
      </c>
      <c r="O37">
        <v>273</v>
      </c>
      <c r="P37">
        <v>282</v>
      </c>
      <c r="Q37">
        <v>1.01</v>
      </c>
      <c r="R37">
        <v>0</v>
      </c>
      <c r="S37">
        <v>0</v>
      </c>
      <c r="T37">
        <v>0</v>
      </c>
      <c r="U37">
        <v>0</v>
      </c>
      <c r="V37">
        <v>0</v>
      </c>
      <c r="W37" t="s">
        <v>39</v>
      </c>
      <c r="X37" t="s">
        <v>39</v>
      </c>
      <c r="Y37" s="2">
        <v>7.1412037037037038E-2</v>
      </c>
      <c r="Z37" s="4">
        <v>0</v>
      </c>
      <c r="AA37">
        <v>0</v>
      </c>
      <c r="AB37" s="4">
        <v>0</v>
      </c>
      <c r="AC37" t="s">
        <v>40</v>
      </c>
      <c r="AD37" t="s">
        <v>86</v>
      </c>
      <c r="AE37">
        <v>17</v>
      </c>
      <c r="AF37">
        <v>0</v>
      </c>
      <c r="AG37" s="2">
        <v>7.1365740740740743E-2</v>
      </c>
      <c r="AH37" s="2">
        <v>7.1412037037037038E-2</v>
      </c>
      <c r="AI37">
        <v>17</v>
      </c>
      <c r="AJ37">
        <v>114</v>
      </c>
    </row>
    <row r="38" spans="1:36" x14ac:dyDescent="0.25">
      <c r="A38" t="s">
        <v>36</v>
      </c>
      <c r="B38" s="1">
        <v>44344.282372685186</v>
      </c>
      <c r="C38" t="s">
        <v>37</v>
      </c>
      <c r="D38" t="s">
        <v>38</v>
      </c>
      <c r="E38">
        <v>0</v>
      </c>
      <c r="F38">
        <v>251</v>
      </c>
      <c r="G38" s="2">
        <v>4.1782407407407407E-2</v>
      </c>
      <c r="H38">
        <v>113</v>
      </c>
      <c r="I38">
        <v>137</v>
      </c>
      <c r="J38">
        <v>1.3</v>
      </c>
      <c r="K38" t="s">
        <v>39</v>
      </c>
      <c r="L38" t="s">
        <v>39</v>
      </c>
      <c r="M38" t="s">
        <v>39</v>
      </c>
      <c r="N38" t="s">
        <v>39</v>
      </c>
      <c r="O38" t="s">
        <v>39</v>
      </c>
      <c r="P38" t="s">
        <v>39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299</v>
      </c>
      <c r="X38">
        <v>45</v>
      </c>
      <c r="Y38" s="2">
        <v>4.1782407407407407E-2</v>
      </c>
      <c r="Z38" s="4">
        <v>0</v>
      </c>
      <c r="AA38">
        <v>0</v>
      </c>
      <c r="AB38" s="4">
        <v>0</v>
      </c>
      <c r="AC38" t="s">
        <v>40</v>
      </c>
      <c r="AD38" t="s">
        <v>87</v>
      </c>
      <c r="AE38">
        <v>1</v>
      </c>
      <c r="AF38">
        <v>0</v>
      </c>
      <c r="AG38" s="2">
        <v>1.7858796296296296E-2</v>
      </c>
      <c r="AH38" s="2">
        <v>4.1782407407407407E-2</v>
      </c>
      <c r="AI38" t="s">
        <v>39</v>
      </c>
      <c r="AJ38" t="s">
        <v>39</v>
      </c>
    </row>
    <row r="39" spans="1:36" x14ac:dyDescent="0.25">
      <c r="A39" t="s">
        <v>45</v>
      </c>
      <c r="B39" s="1">
        <v>44343.266504629632</v>
      </c>
      <c r="C39" t="s">
        <v>37</v>
      </c>
      <c r="D39" t="s">
        <v>49</v>
      </c>
      <c r="E39">
        <v>10</v>
      </c>
      <c r="F39">
        <v>841</v>
      </c>
      <c r="G39" s="2">
        <v>4.3969907407407409E-2</v>
      </c>
      <c r="H39">
        <v>165</v>
      </c>
      <c r="I39">
        <v>183</v>
      </c>
      <c r="J39" t="s">
        <v>39</v>
      </c>
      <c r="K39" t="s">
        <v>39</v>
      </c>
      <c r="L39" t="s">
        <v>39</v>
      </c>
      <c r="M39" s="4">
        <v>0.2638888888888889</v>
      </c>
      <c r="N39" s="4">
        <v>0.125</v>
      </c>
      <c r="O39">
        <v>85</v>
      </c>
      <c r="P39">
        <v>89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 t="s">
        <v>39</v>
      </c>
      <c r="X39" t="s">
        <v>39</v>
      </c>
      <c r="Y39" s="2">
        <v>4.3969907407407409E-2</v>
      </c>
      <c r="Z39" s="4">
        <v>0</v>
      </c>
      <c r="AA39">
        <v>0</v>
      </c>
      <c r="AB39" s="4">
        <v>0</v>
      </c>
      <c r="AC39" t="s">
        <v>40</v>
      </c>
      <c r="AD39" t="s">
        <v>88</v>
      </c>
      <c r="AE39">
        <v>11</v>
      </c>
      <c r="AF39">
        <v>0</v>
      </c>
      <c r="AG39" s="2">
        <v>4.3263888888888886E-2</v>
      </c>
      <c r="AH39" s="2">
        <v>4.3969907407407409E-2</v>
      </c>
      <c r="AI39">
        <v>14</v>
      </c>
      <c r="AJ39">
        <v>40</v>
      </c>
    </row>
    <row r="40" spans="1:36" x14ac:dyDescent="0.25">
      <c r="A40" t="s">
        <v>45</v>
      </c>
      <c r="B40" s="1">
        <v>44341.740810185183</v>
      </c>
      <c r="C40" t="s">
        <v>37</v>
      </c>
      <c r="D40" t="s">
        <v>49</v>
      </c>
      <c r="E40">
        <v>9.2100000000000009</v>
      </c>
      <c r="F40">
        <v>742</v>
      </c>
      <c r="G40" s="2">
        <v>4.1631944444444451E-2</v>
      </c>
      <c r="H40">
        <v>159</v>
      </c>
      <c r="I40">
        <v>182</v>
      </c>
      <c r="J40" t="s">
        <v>39</v>
      </c>
      <c r="K40" t="s">
        <v>39</v>
      </c>
      <c r="L40" t="s">
        <v>39</v>
      </c>
      <c r="M40" s="4">
        <v>0.27152777777777776</v>
      </c>
      <c r="N40" s="4">
        <v>3.6111111111111115E-2</v>
      </c>
      <c r="O40">
        <v>32</v>
      </c>
      <c r="P40">
        <v>32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 t="s">
        <v>39</v>
      </c>
      <c r="X40" t="s">
        <v>39</v>
      </c>
      <c r="Y40" s="3">
        <v>2.4979166666666668</v>
      </c>
      <c r="Z40" s="4">
        <v>0</v>
      </c>
      <c r="AA40">
        <v>0</v>
      </c>
      <c r="AB40" s="4">
        <v>0</v>
      </c>
      <c r="AC40" t="s">
        <v>40</v>
      </c>
      <c r="AD40" t="s">
        <v>89</v>
      </c>
      <c r="AE40">
        <v>14</v>
      </c>
      <c r="AF40">
        <v>0</v>
      </c>
      <c r="AG40" s="2">
        <v>4.1180555555555554E-2</v>
      </c>
      <c r="AH40" s="2">
        <v>4.1631944444444451E-2</v>
      </c>
      <c r="AI40">
        <v>10</v>
      </c>
      <c r="AJ40">
        <v>25</v>
      </c>
    </row>
    <row r="41" spans="1:36" x14ac:dyDescent="0.25">
      <c r="A41" t="s">
        <v>45</v>
      </c>
      <c r="B41" s="1">
        <v>44336.26771990741</v>
      </c>
      <c r="C41" t="s">
        <v>37</v>
      </c>
      <c r="D41" t="s">
        <v>49</v>
      </c>
      <c r="E41">
        <v>10.08</v>
      </c>
      <c r="F41">
        <v>826</v>
      </c>
      <c r="G41" s="2">
        <v>4.2256944444444444E-2</v>
      </c>
      <c r="H41">
        <v>167</v>
      </c>
      <c r="I41">
        <v>184</v>
      </c>
      <c r="J41" t="s">
        <v>39</v>
      </c>
      <c r="K41" t="s">
        <v>39</v>
      </c>
      <c r="L41" t="s">
        <v>39</v>
      </c>
      <c r="M41" s="4">
        <v>0.25138888888888888</v>
      </c>
      <c r="N41" s="4">
        <v>0.18541666666666667</v>
      </c>
      <c r="O41">
        <v>37</v>
      </c>
      <c r="P41">
        <v>50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 t="s">
        <v>39</v>
      </c>
      <c r="X41" t="s">
        <v>39</v>
      </c>
      <c r="Y41" s="2">
        <v>4.2256944444444444E-2</v>
      </c>
      <c r="Z41" s="4">
        <v>0</v>
      </c>
      <c r="AA41">
        <v>0</v>
      </c>
      <c r="AB41" s="4">
        <v>0</v>
      </c>
      <c r="AC41" t="s">
        <v>40</v>
      </c>
      <c r="AD41" t="s">
        <v>90</v>
      </c>
      <c r="AE41">
        <v>9</v>
      </c>
      <c r="AF41">
        <v>0</v>
      </c>
      <c r="AG41" s="2">
        <v>4.223379629629629E-2</v>
      </c>
      <c r="AH41" s="2">
        <v>4.2256944444444444E-2</v>
      </c>
      <c r="AI41">
        <v>9</v>
      </c>
      <c r="AJ41">
        <v>26</v>
      </c>
    </row>
    <row r="42" spans="1:36" x14ac:dyDescent="0.25">
      <c r="A42" t="s">
        <v>45</v>
      </c>
      <c r="B42" s="1">
        <v>44331.321018518516</v>
      </c>
      <c r="C42" t="s">
        <v>37</v>
      </c>
      <c r="D42" t="s">
        <v>49</v>
      </c>
      <c r="E42">
        <v>11.24</v>
      </c>
      <c r="F42">
        <v>953</v>
      </c>
      <c r="G42" s="2">
        <v>5.0092592592592598E-2</v>
      </c>
      <c r="H42">
        <v>164</v>
      </c>
      <c r="I42">
        <v>179</v>
      </c>
      <c r="J42" t="s">
        <v>39</v>
      </c>
      <c r="K42" t="s">
        <v>39</v>
      </c>
      <c r="L42" t="s">
        <v>39</v>
      </c>
      <c r="M42" s="4">
        <v>0.2673611111111111</v>
      </c>
      <c r="N42" s="4">
        <v>7.2916666666666671E-2</v>
      </c>
      <c r="O42">
        <v>125</v>
      </c>
      <c r="P42">
        <v>131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 t="s">
        <v>39</v>
      </c>
      <c r="X42" t="s">
        <v>39</v>
      </c>
      <c r="Y42" s="2">
        <v>5.0092592592592598E-2</v>
      </c>
      <c r="Z42" s="4">
        <v>0</v>
      </c>
      <c r="AA42">
        <v>0</v>
      </c>
      <c r="AB42" s="4">
        <v>0</v>
      </c>
      <c r="AC42" t="s">
        <v>40</v>
      </c>
      <c r="AD42" t="s">
        <v>91</v>
      </c>
      <c r="AE42">
        <v>12</v>
      </c>
      <c r="AF42">
        <v>0</v>
      </c>
      <c r="AG42" s="2">
        <v>5.004629629629629E-2</v>
      </c>
      <c r="AH42" s="2">
        <v>5.0092592592592598E-2</v>
      </c>
      <c r="AI42">
        <v>15</v>
      </c>
      <c r="AJ42">
        <v>59</v>
      </c>
    </row>
    <row r="43" spans="1:36" x14ac:dyDescent="0.25">
      <c r="A43" t="s">
        <v>45</v>
      </c>
      <c r="B43" s="1">
        <v>44329.731273148151</v>
      </c>
      <c r="C43" t="s">
        <v>37</v>
      </c>
      <c r="D43" t="s">
        <v>49</v>
      </c>
      <c r="E43">
        <v>9.01</v>
      </c>
      <c r="F43">
        <v>701</v>
      </c>
      <c r="G43" s="2">
        <v>3.7870370370370367E-2</v>
      </c>
      <c r="H43">
        <v>162</v>
      </c>
      <c r="I43">
        <v>187</v>
      </c>
      <c r="J43" t="s">
        <v>39</v>
      </c>
      <c r="K43" t="s">
        <v>39</v>
      </c>
      <c r="L43" t="s">
        <v>39</v>
      </c>
      <c r="M43" s="4">
        <v>0.25208333333333333</v>
      </c>
      <c r="N43" s="4">
        <v>0.16458333333333333</v>
      </c>
      <c r="O43">
        <v>29</v>
      </c>
      <c r="P43">
        <v>43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 t="s">
        <v>39</v>
      </c>
      <c r="X43" t="s">
        <v>39</v>
      </c>
      <c r="Y43" s="3">
        <v>2.2722222222222221</v>
      </c>
      <c r="Z43" s="4">
        <v>0</v>
      </c>
      <c r="AA43">
        <v>0</v>
      </c>
      <c r="AB43" s="4">
        <v>0</v>
      </c>
      <c r="AC43" t="s">
        <v>40</v>
      </c>
      <c r="AD43" t="s">
        <v>92</v>
      </c>
      <c r="AE43">
        <v>10</v>
      </c>
      <c r="AF43">
        <v>0</v>
      </c>
      <c r="AG43" s="2">
        <v>3.78587962962963E-2</v>
      </c>
      <c r="AH43" s="2">
        <v>3.7870370370370367E-2</v>
      </c>
      <c r="AI43">
        <v>12</v>
      </c>
      <c r="AJ43">
        <v>28</v>
      </c>
    </row>
    <row r="44" spans="1:36" x14ac:dyDescent="0.25">
      <c r="A44" t="s">
        <v>45</v>
      </c>
      <c r="B44" s="1">
        <v>44324.31622685185</v>
      </c>
      <c r="C44" t="s">
        <v>37</v>
      </c>
      <c r="D44" t="s">
        <v>49</v>
      </c>
      <c r="E44">
        <v>16.149999999999999</v>
      </c>
      <c r="F44" s="5">
        <v>1374</v>
      </c>
      <c r="G44" s="2">
        <v>6.9456018518518514E-2</v>
      </c>
      <c r="H44">
        <v>168</v>
      </c>
      <c r="I44">
        <v>181</v>
      </c>
      <c r="J44" t="s">
        <v>39</v>
      </c>
      <c r="K44" t="s">
        <v>39</v>
      </c>
      <c r="L44" t="s">
        <v>39</v>
      </c>
      <c r="M44" s="4">
        <v>0.25763888888888892</v>
      </c>
      <c r="N44" s="4">
        <v>4.1666666666666664E-2</v>
      </c>
      <c r="O44">
        <v>255</v>
      </c>
      <c r="P44">
        <v>270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 t="s">
        <v>39</v>
      </c>
      <c r="X44" t="s">
        <v>39</v>
      </c>
      <c r="Y44" s="2">
        <v>6.9456018518518514E-2</v>
      </c>
      <c r="Z44" s="4">
        <v>0</v>
      </c>
      <c r="AA44">
        <v>0</v>
      </c>
      <c r="AB44" s="4">
        <v>0</v>
      </c>
      <c r="AC44" t="s">
        <v>40</v>
      </c>
      <c r="AD44" t="s">
        <v>93</v>
      </c>
      <c r="AE44">
        <v>17</v>
      </c>
      <c r="AF44">
        <v>0</v>
      </c>
      <c r="AG44" s="2">
        <v>6.9386574074074073E-2</v>
      </c>
      <c r="AH44" s="2">
        <v>6.9456018518518514E-2</v>
      </c>
      <c r="AI44">
        <v>20</v>
      </c>
      <c r="AJ44">
        <v>117</v>
      </c>
    </row>
    <row r="45" spans="1:36" x14ac:dyDescent="0.25">
      <c r="A45" t="s">
        <v>45</v>
      </c>
      <c r="B45" s="1">
        <v>44322.283773148149</v>
      </c>
      <c r="C45" t="s">
        <v>37</v>
      </c>
      <c r="D45" t="s">
        <v>49</v>
      </c>
      <c r="E45">
        <v>7</v>
      </c>
      <c r="F45">
        <v>573</v>
      </c>
      <c r="G45" s="2">
        <v>3.0081018518518521E-2</v>
      </c>
      <c r="H45">
        <v>164</v>
      </c>
      <c r="I45">
        <v>176</v>
      </c>
      <c r="J45" t="s">
        <v>39</v>
      </c>
      <c r="K45" t="s">
        <v>39</v>
      </c>
      <c r="L45" t="s">
        <v>39</v>
      </c>
      <c r="M45" s="4">
        <v>0.25763888888888892</v>
      </c>
      <c r="N45" s="4">
        <v>0.23541666666666669</v>
      </c>
      <c r="O45">
        <v>35</v>
      </c>
      <c r="P45">
        <v>36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 t="s">
        <v>39</v>
      </c>
      <c r="X45" t="s">
        <v>39</v>
      </c>
      <c r="Y45" s="3">
        <v>1.8048611111111112</v>
      </c>
      <c r="Z45" s="4">
        <v>0</v>
      </c>
      <c r="AA45">
        <v>0</v>
      </c>
      <c r="AB45" s="4">
        <v>0</v>
      </c>
      <c r="AC45" t="s">
        <v>40</v>
      </c>
      <c r="AD45" t="s">
        <v>94</v>
      </c>
      <c r="AE45">
        <v>8</v>
      </c>
      <c r="AF45">
        <v>0</v>
      </c>
      <c r="AG45" s="2">
        <v>3.005787037037037E-2</v>
      </c>
      <c r="AH45" s="2">
        <v>3.0081018518518521E-2</v>
      </c>
      <c r="AI45">
        <v>12</v>
      </c>
      <c r="AJ45">
        <v>29</v>
      </c>
    </row>
    <row r="46" spans="1:36" x14ac:dyDescent="0.25">
      <c r="A46" t="s">
        <v>45</v>
      </c>
      <c r="B46" s="1">
        <v>44320.740694444445</v>
      </c>
      <c r="C46" t="s">
        <v>37</v>
      </c>
      <c r="D46" t="s">
        <v>49</v>
      </c>
      <c r="E46">
        <v>10</v>
      </c>
      <c r="F46">
        <v>863</v>
      </c>
      <c r="G46" s="2">
        <v>4.3055555555555562E-2</v>
      </c>
      <c r="H46">
        <v>169</v>
      </c>
      <c r="I46">
        <v>185</v>
      </c>
      <c r="J46" t="s">
        <v>39</v>
      </c>
      <c r="K46" t="s">
        <v>39</v>
      </c>
      <c r="L46" t="s">
        <v>39</v>
      </c>
      <c r="M46" s="4">
        <v>0.25833333333333336</v>
      </c>
      <c r="N46" s="4">
        <v>0.21944444444444444</v>
      </c>
      <c r="O46">
        <v>64</v>
      </c>
      <c r="P46">
        <v>64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 t="s">
        <v>39</v>
      </c>
      <c r="X46" t="s">
        <v>39</v>
      </c>
      <c r="Y46" s="2">
        <v>4.3055555555555562E-2</v>
      </c>
      <c r="Z46" s="4">
        <v>0</v>
      </c>
      <c r="AA46">
        <v>0</v>
      </c>
      <c r="AB46" s="4">
        <v>0</v>
      </c>
      <c r="AC46" t="s">
        <v>40</v>
      </c>
      <c r="AD46" t="s">
        <v>95</v>
      </c>
      <c r="AE46">
        <v>10</v>
      </c>
      <c r="AF46">
        <v>0</v>
      </c>
      <c r="AG46" s="2">
        <v>4.3020833333333335E-2</v>
      </c>
      <c r="AH46" s="2">
        <v>4.3055555555555562E-2</v>
      </c>
      <c r="AI46">
        <v>10</v>
      </c>
      <c r="AJ46">
        <v>34</v>
      </c>
    </row>
    <row r="47" spans="1:36" x14ac:dyDescent="0.25">
      <c r="A47" t="s">
        <v>45</v>
      </c>
      <c r="B47" s="1">
        <v>44315.751134259262</v>
      </c>
      <c r="C47" t="s">
        <v>37</v>
      </c>
      <c r="D47" t="s">
        <v>49</v>
      </c>
      <c r="E47">
        <v>10</v>
      </c>
      <c r="F47">
        <v>826</v>
      </c>
      <c r="G47" s="2">
        <v>4.3217592592592592E-2</v>
      </c>
      <c r="H47">
        <v>165</v>
      </c>
      <c r="I47">
        <v>181</v>
      </c>
      <c r="J47" t="s">
        <v>39</v>
      </c>
      <c r="K47" t="s">
        <v>39</v>
      </c>
      <c r="L47" t="s">
        <v>39</v>
      </c>
      <c r="M47" s="4">
        <v>0.2590277777777778</v>
      </c>
      <c r="N47" s="4">
        <v>0.20902777777777778</v>
      </c>
      <c r="O47">
        <v>57</v>
      </c>
      <c r="P47">
        <v>51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 t="s">
        <v>39</v>
      </c>
      <c r="X47" t="s">
        <v>39</v>
      </c>
      <c r="Y47" s="2">
        <v>4.3217592592592592E-2</v>
      </c>
      <c r="Z47" s="4">
        <v>0</v>
      </c>
      <c r="AA47">
        <v>0</v>
      </c>
      <c r="AB47" s="4">
        <v>0</v>
      </c>
      <c r="AC47" t="s">
        <v>40</v>
      </c>
      <c r="AD47" t="s">
        <v>96</v>
      </c>
      <c r="AE47">
        <v>11</v>
      </c>
      <c r="AF47">
        <v>0</v>
      </c>
      <c r="AG47" s="2">
        <v>4.3194444444444445E-2</v>
      </c>
      <c r="AH47" s="2">
        <v>4.3217592592592592E-2</v>
      </c>
      <c r="AI47">
        <v>10</v>
      </c>
      <c r="AJ47">
        <v>34</v>
      </c>
    </row>
    <row r="48" spans="1:36" x14ac:dyDescent="0.25">
      <c r="A48" t="s">
        <v>45</v>
      </c>
      <c r="B48" s="1">
        <v>44313.282685185186</v>
      </c>
      <c r="C48" t="s">
        <v>37</v>
      </c>
      <c r="D48" t="s">
        <v>49</v>
      </c>
      <c r="E48">
        <v>8</v>
      </c>
      <c r="F48">
        <v>649</v>
      </c>
      <c r="G48" s="2">
        <v>3.4930555555555555E-2</v>
      </c>
      <c r="H48">
        <v>163</v>
      </c>
      <c r="I48">
        <v>181</v>
      </c>
      <c r="J48" t="s">
        <v>39</v>
      </c>
      <c r="K48" t="s">
        <v>39</v>
      </c>
      <c r="L48" t="s">
        <v>39</v>
      </c>
      <c r="M48" s="4">
        <v>0.26180555555555557</v>
      </c>
      <c r="N48" s="4">
        <v>0.19513888888888889</v>
      </c>
      <c r="O48">
        <v>23</v>
      </c>
      <c r="P48">
        <v>18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 t="s">
        <v>39</v>
      </c>
      <c r="X48" t="s">
        <v>39</v>
      </c>
      <c r="Y48" s="3">
        <v>2.0958333333333332</v>
      </c>
      <c r="Z48" s="4">
        <v>0</v>
      </c>
      <c r="AA48">
        <v>0</v>
      </c>
      <c r="AB48" s="4">
        <v>0</v>
      </c>
      <c r="AC48" t="s">
        <v>40</v>
      </c>
      <c r="AD48" t="s">
        <v>97</v>
      </c>
      <c r="AE48">
        <v>14</v>
      </c>
      <c r="AF48">
        <v>0</v>
      </c>
      <c r="AG48" s="2">
        <v>3.0949074074074077E-2</v>
      </c>
      <c r="AH48" s="2">
        <v>3.4930555555555555E-2</v>
      </c>
      <c r="AI48">
        <v>12</v>
      </c>
      <c r="AJ48">
        <v>22</v>
      </c>
    </row>
    <row r="49" spans="1:36" x14ac:dyDescent="0.25">
      <c r="A49" t="s">
        <v>45</v>
      </c>
      <c r="B49" s="1">
        <v>44310.314004629632</v>
      </c>
      <c r="C49" t="s">
        <v>37</v>
      </c>
      <c r="D49" t="s">
        <v>49</v>
      </c>
      <c r="E49">
        <v>15.01</v>
      </c>
      <c r="F49" s="5">
        <v>1358</v>
      </c>
      <c r="G49" s="2">
        <v>6.5856481481481488E-2</v>
      </c>
      <c r="H49">
        <v>172</v>
      </c>
      <c r="I49">
        <v>187</v>
      </c>
      <c r="J49" t="s">
        <v>39</v>
      </c>
      <c r="K49" t="s">
        <v>39</v>
      </c>
      <c r="L49" t="s">
        <v>39</v>
      </c>
      <c r="M49" s="4">
        <v>0.26319444444444445</v>
      </c>
      <c r="N49" s="4">
        <v>0.14444444444444446</v>
      </c>
      <c r="O49">
        <v>205</v>
      </c>
      <c r="P49">
        <v>198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 t="s">
        <v>39</v>
      </c>
      <c r="X49" t="s">
        <v>39</v>
      </c>
      <c r="Y49" s="2">
        <v>6.5856481481481488E-2</v>
      </c>
      <c r="Z49" s="4">
        <v>0</v>
      </c>
      <c r="AA49">
        <v>0</v>
      </c>
      <c r="AB49" s="4">
        <v>0</v>
      </c>
      <c r="AC49" t="s">
        <v>40</v>
      </c>
      <c r="AD49" t="s">
        <v>98</v>
      </c>
      <c r="AE49">
        <v>16</v>
      </c>
      <c r="AF49">
        <v>0</v>
      </c>
      <c r="AG49" s="2">
        <v>6.582175925925926E-2</v>
      </c>
      <c r="AH49" s="2">
        <v>6.5856481481481488E-2</v>
      </c>
      <c r="AI49">
        <v>14</v>
      </c>
      <c r="AJ49">
        <v>60</v>
      </c>
    </row>
    <row r="50" spans="1:36" x14ac:dyDescent="0.25">
      <c r="A50" t="s">
        <v>45</v>
      </c>
      <c r="B50" s="1">
        <v>44306.274861111109</v>
      </c>
      <c r="C50" t="s">
        <v>37</v>
      </c>
      <c r="D50" t="s">
        <v>49</v>
      </c>
      <c r="E50">
        <v>8.01</v>
      </c>
      <c r="F50">
        <v>649</v>
      </c>
      <c r="G50" s="2">
        <v>3.3969907407407407E-2</v>
      </c>
      <c r="H50">
        <v>165</v>
      </c>
      <c r="I50">
        <v>229</v>
      </c>
      <c r="J50" t="s">
        <v>39</v>
      </c>
      <c r="K50" t="s">
        <v>39</v>
      </c>
      <c r="L50" t="s">
        <v>39</v>
      </c>
      <c r="M50" s="4">
        <v>0.25416666666666665</v>
      </c>
      <c r="N50" s="4">
        <v>0.10069444444444443</v>
      </c>
      <c r="O50">
        <v>92</v>
      </c>
      <c r="P50">
        <v>92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 t="s">
        <v>39</v>
      </c>
      <c r="X50" t="s">
        <v>39</v>
      </c>
      <c r="Y50" s="3">
        <v>2.0381944444444442</v>
      </c>
      <c r="Z50" s="4">
        <v>0</v>
      </c>
      <c r="AA50">
        <v>0</v>
      </c>
      <c r="AB50" s="4">
        <v>0</v>
      </c>
      <c r="AC50" t="s">
        <v>40</v>
      </c>
      <c r="AD50" t="s">
        <v>99</v>
      </c>
      <c r="AE50">
        <v>9</v>
      </c>
      <c r="AF50">
        <v>0</v>
      </c>
      <c r="AG50" s="2">
        <v>3.3935185185185186E-2</v>
      </c>
      <c r="AH50" s="2">
        <v>3.3969907407407407E-2</v>
      </c>
      <c r="AI50">
        <v>10</v>
      </c>
      <c r="AJ50">
        <v>37</v>
      </c>
    </row>
    <row r="51" spans="1:36" x14ac:dyDescent="0.25">
      <c r="A51" t="s">
        <v>45</v>
      </c>
      <c r="B51" s="1">
        <v>44303.302731481483</v>
      </c>
      <c r="C51" t="s">
        <v>37</v>
      </c>
      <c r="D51" t="s">
        <v>49</v>
      </c>
      <c r="E51">
        <v>10.01</v>
      </c>
      <c r="F51">
        <v>877</v>
      </c>
      <c r="G51" s="2">
        <v>4.0752314814814811E-2</v>
      </c>
      <c r="H51">
        <v>176</v>
      </c>
      <c r="I51">
        <v>184</v>
      </c>
      <c r="J51" t="s">
        <v>39</v>
      </c>
      <c r="K51" t="s">
        <v>39</v>
      </c>
      <c r="L51" t="s">
        <v>39</v>
      </c>
      <c r="M51" s="4">
        <v>0.24444444444444446</v>
      </c>
      <c r="N51" s="4">
        <v>0.1673611111111111</v>
      </c>
      <c r="O51">
        <v>32</v>
      </c>
      <c r="P51">
        <v>39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 t="s">
        <v>39</v>
      </c>
      <c r="X51" t="s">
        <v>39</v>
      </c>
      <c r="Y51" s="3">
        <v>2.4451388888888888</v>
      </c>
      <c r="Z51" s="4">
        <v>0</v>
      </c>
      <c r="AA51">
        <v>0</v>
      </c>
      <c r="AB51" s="4">
        <v>0</v>
      </c>
      <c r="AC51" t="s">
        <v>40</v>
      </c>
      <c r="AD51" t="s">
        <v>100</v>
      </c>
      <c r="AE51">
        <v>11</v>
      </c>
      <c r="AF51">
        <v>0</v>
      </c>
      <c r="AG51" s="2">
        <v>4.0729166666666664E-2</v>
      </c>
      <c r="AH51" s="2">
        <v>4.0752314814814811E-2</v>
      </c>
      <c r="AI51">
        <v>10</v>
      </c>
      <c r="AJ51">
        <v>26</v>
      </c>
    </row>
    <row r="52" spans="1:36" x14ac:dyDescent="0.25">
      <c r="A52" t="s">
        <v>45</v>
      </c>
      <c r="B52" s="1">
        <v>44299.799016203702</v>
      </c>
      <c r="C52" t="s">
        <v>37</v>
      </c>
      <c r="D52" t="s">
        <v>49</v>
      </c>
      <c r="E52">
        <v>5.03</v>
      </c>
      <c r="F52">
        <v>414</v>
      </c>
      <c r="G52" s="2">
        <v>2.4259259259259258E-2</v>
      </c>
      <c r="H52">
        <v>156</v>
      </c>
      <c r="I52">
        <v>180</v>
      </c>
      <c r="J52" t="s">
        <v>39</v>
      </c>
      <c r="K52" t="s">
        <v>39</v>
      </c>
      <c r="L52" t="s">
        <v>39</v>
      </c>
      <c r="M52" s="4">
        <v>0.28888888888888892</v>
      </c>
      <c r="N52" s="4">
        <v>0.16666666666666666</v>
      </c>
      <c r="O52">
        <v>103</v>
      </c>
      <c r="P52">
        <v>102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 t="s">
        <v>39</v>
      </c>
      <c r="X52" t="s">
        <v>39</v>
      </c>
      <c r="Y52" s="3">
        <v>1.4555555555555555</v>
      </c>
      <c r="Z52" s="4">
        <v>0</v>
      </c>
      <c r="AA52">
        <v>0</v>
      </c>
      <c r="AB52" s="4">
        <v>0</v>
      </c>
      <c r="AC52" t="s">
        <v>40</v>
      </c>
      <c r="AD52" t="s">
        <v>101</v>
      </c>
      <c r="AE52">
        <v>8</v>
      </c>
      <c r="AF52">
        <v>0</v>
      </c>
      <c r="AG52" s="2">
        <v>2.0254629629629629E-2</v>
      </c>
      <c r="AH52" s="2">
        <v>2.4259259259259258E-2</v>
      </c>
      <c r="AI52">
        <v>11</v>
      </c>
      <c r="AJ52">
        <v>25</v>
      </c>
    </row>
    <row r="53" spans="1:36" x14ac:dyDescent="0.25">
      <c r="A53" t="s">
        <v>45</v>
      </c>
      <c r="B53" s="1">
        <v>44299.762013888889</v>
      </c>
      <c r="C53" t="s">
        <v>37</v>
      </c>
      <c r="D53" t="s">
        <v>45</v>
      </c>
      <c r="E53">
        <v>0.01</v>
      </c>
      <c r="F53" t="s">
        <v>39</v>
      </c>
      <c r="G53" s="6">
        <v>6.9444444444444444E-5</v>
      </c>
      <c r="H53">
        <v>66</v>
      </c>
      <c r="I53">
        <v>70</v>
      </c>
      <c r="J53">
        <v>1</v>
      </c>
      <c r="K53">
        <v>60</v>
      </c>
      <c r="L53">
        <v>120</v>
      </c>
      <c r="M53" s="4">
        <v>0.55069444444444449</v>
      </c>
      <c r="N53" s="4">
        <v>0.31111111111111112</v>
      </c>
      <c r="O53" t="s">
        <v>39</v>
      </c>
      <c r="P53" t="s">
        <v>39</v>
      </c>
      <c r="Q53">
        <v>1.26</v>
      </c>
      <c r="R53">
        <v>0</v>
      </c>
      <c r="S53">
        <v>0</v>
      </c>
      <c r="T53">
        <v>0</v>
      </c>
      <c r="U53">
        <v>0</v>
      </c>
      <c r="V53">
        <v>0</v>
      </c>
      <c r="W53" t="s">
        <v>39</v>
      </c>
      <c r="X53" t="s">
        <v>39</v>
      </c>
      <c r="Y53" s="6">
        <v>6.9444444444444444E-5</v>
      </c>
      <c r="Z53" s="4">
        <v>0</v>
      </c>
      <c r="AA53">
        <v>0</v>
      </c>
      <c r="AB53" s="4">
        <v>0</v>
      </c>
      <c r="AC53" t="s">
        <v>40</v>
      </c>
      <c r="AD53" t="s">
        <v>102</v>
      </c>
      <c r="AE53">
        <v>2</v>
      </c>
      <c r="AF53">
        <v>0</v>
      </c>
      <c r="AG53" s="2">
        <v>3.4722222222222222E-5</v>
      </c>
      <c r="AH53" s="6">
        <v>2.175925925925926E-4</v>
      </c>
      <c r="AI53" t="s">
        <v>39</v>
      </c>
      <c r="AJ53" t="s">
        <v>39</v>
      </c>
    </row>
    <row r="54" spans="1:36" x14ac:dyDescent="0.25">
      <c r="A54" t="s">
        <v>45</v>
      </c>
      <c r="B54" s="1">
        <v>44296.305555555555</v>
      </c>
      <c r="C54" t="s">
        <v>37</v>
      </c>
      <c r="D54" t="s">
        <v>103</v>
      </c>
      <c r="E54">
        <v>7.01</v>
      </c>
      <c r="F54">
        <v>471</v>
      </c>
      <c r="G54" s="2">
        <v>2.6631944444444444E-2</v>
      </c>
      <c r="H54">
        <v>179</v>
      </c>
      <c r="I54">
        <v>190</v>
      </c>
      <c r="J54">
        <v>4.5999999999999996</v>
      </c>
      <c r="K54">
        <v>166</v>
      </c>
      <c r="L54">
        <v>174</v>
      </c>
      <c r="M54" s="4">
        <v>0.22777777777777777</v>
      </c>
      <c r="N54" s="4">
        <v>0.21666666666666667</v>
      </c>
      <c r="O54">
        <v>3</v>
      </c>
      <c r="P54">
        <v>17</v>
      </c>
      <c r="Q54">
        <v>1.1000000000000001</v>
      </c>
      <c r="R54">
        <v>0</v>
      </c>
      <c r="S54">
        <v>0</v>
      </c>
      <c r="T54">
        <v>0</v>
      </c>
      <c r="U54">
        <v>0</v>
      </c>
      <c r="V54">
        <v>0</v>
      </c>
      <c r="W54" t="s">
        <v>39</v>
      </c>
      <c r="X54" t="s">
        <v>39</v>
      </c>
      <c r="Y54" s="3">
        <v>1.5979166666666667</v>
      </c>
      <c r="Z54" s="4">
        <v>0</v>
      </c>
      <c r="AA54">
        <v>0</v>
      </c>
      <c r="AB54" s="4">
        <v>0</v>
      </c>
      <c r="AC54" t="s">
        <v>40</v>
      </c>
      <c r="AD54" t="s">
        <v>104</v>
      </c>
      <c r="AE54">
        <v>2</v>
      </c>
      <c r="AF54">
        <v>0</v>
      </c>
      <c r="AG54" s="2">
        <v>2.6631944444444444E-2</v>
      </c>
      <c r="AH54" s="2">
        <v>2.6631944444444444E-2</v>
      </c>
      <c r="AI54">
        <v>12</v>
      </c>
      <c r="AJ54">
        <v>28</v>
      </c>
    </row>
    <row r="55" spans="1:36" x14ac:dyDescent="0.25">
      <c r="A55" t="s">
        <v>45</v>
      </c>
      <c r="B55" s="1">
        <v>44294.735520833332</v>
      </c>
      <c r="C55" t="s">
        <v>37</v>
      </c>
      <c r="D55" t="s">
        <v>45</v>
      </c>
      <c r="E55">
        <v>10.029999999999999</v>
      </c>
      <c r="F55">
        <v>663</v>
      </c>
      <c r="G55" s="2">
        <v>3.9895833333333332E-2</v>
      </c>
      <c r="H55">
        <v>174</v>
      </c>
      <c r="I55">
        <v>188</v>
      </c>
      <c r="J55">
        <v>5</v>
      </c>
      <c r="K55">
        <v>160</v>
      </c>
      <c r="L55">
        <v>168</v>
      </c>
      <c r="M55" s="4">
        <v>0.2388888888888889</v>
      </c>
      <c r="N55" s="4">
        <v>0.20069444444444443</v>
      </c>
      <c r="O55" t="s">
        <v>39</v>
      </c>
      <c r="P55" t="s">
        <v>39</v>
      </c>
      <c r="Q55">
        <v>1.0900000000000001</v>
      </c>
      <c r="R55">
        <v>0</v>
      </c>
      <c r="S55">
        <v>0</v>
      </c>
      <c r="T55">
        <v>0</v>
      </c>
      <c r="U55">
        <v>0</v>
      </c>
      <c r="V55">
        <v>0</v>
      </c>
      <c r="W55" t="s">
        <v>39</v>
      </c>
      <c r="X55" t="s">
        <v>39</v>
      </c>
      <c r="Y55" s="3">
        <v>2.3937500000000003</v>
      </c>
      <c r="Z55" s="4">
        <v>0</v>
      </c>
      <c r="AA55">
        <v>0</v>
      </c>
      <c r="AB55" s="4">
        <v>0</v>
      </c>
      <c r="AC55" t="s">
        <v>40</v>
      </c>
      <c r="AD55" t="s">
        <v>105</v>
      </c>
      <c r="AE55">
        <v>11</v>
      </c>
      <c r="AF55">
        <v>0</v>
      </c>
      <c r="AG55" s="2">
        <v>3.9884259259259258E-2</v>
      </c>
      <c r="AH55" s="2">
        <v>3.9895833333333332E-2</v>
      </c>
      <c r="AI55" t="s">
        <v>39</v>
      </c>
      <c r="AJ55" t="s">
        <v>39</v>
      </c>
    </row>
    <row r="56" spans="1:36" x14ac:dyDescent="0.25">
      <c r="A56" t="s">
        <v>45</v>
      </c>
      <c r="B56" s="1">
        <v>44292.743807870371</v>
      </c>
      <c r="C56" t="s">
        <v>37</v>
      </c>
      <c r="D56" t="s">
        <v>106</v>
      </c>
      <c r="E56">
        <v>11.35</v>
      </c>
      <c r="F56">
        <v>774</v>
      </c>
      <c r="G56" s="2">
        <v>4.8900462962962965E-2</v>
      </c>
      <c r="H56">
        <v>168</v>
      </c>
      <c r="I56">
        <v>187</v>
      </c>
      <c r="J56">
        <v>5</v>
      </c>
      <c r="K56">
        <v>154</v>
      </c>
      <c r="L56">
        <v>175</v>
      </c>
      <c r="M56" s="4">
        <v>0.25833333333333336</v>
      </c>
      <c r="N56" s="4">
        <v>0.10416666666666667</v>
      </c>
      <c r="O56">
        <v>13</v>
      </c>
      <c r="P56">
        <v>20</v>
      </c>
      <c r="Q56">
        <v>1.03</v>
      </c>
      <c r="R56">
        <v>0</v>
      </c>
      <c r="S56">
        <v>0</v>
      </c>
      <c r="T56">
        <v>0</v>
      </c>
      <c r="U56">
        <v>0</v>
      </c>
      <c r="V56">
        <v>0</v>
      </c>
      <c r="W56" t="s">
        <v>39</v>
      </c>
      <c r="X56" t="s">
        <v>39</v>
      </c>
      <c r="Y56" s="2">
        <v>4.8900462962962965E-2</v>
      </c>
      <c r="Z56" s="4">
        <v>0</v>
      </c>
      <c r="AA56">
        <v>0</v>
      </c>
      <c r="AB56" s="4">
        <v>0</v>
      </c>
      <c r="AC56" t="s">
        <v>40</v>
      </c>
      <c r="AD56" t="s">
        <v>107</v>
      </c>
      <c r="AE56">
        <v>33</v>
      </c>
      <c r="AF56">
        <v>0</v>
      </c>
      <c r="AG56" s="2">
        <v>4.87037037037037E-2</v>
      </c>
      <c r="AH56" s="2">
        <v>4.8900462962962965E-2</v>
      </c>
      <c r="AI56">
        <v>9</v>
      </c>
      <c r="AJ56">
        <v>26</v>
      </c>
    </row>
    <row r="57" spans="1:36" x14ac:dyDescent="0.25">
      <c r="A57" t="s">
        <v>45</v>
      </c>
      <c r="B57" s="1">
        <v>44288.291875000003</v>
      </c>
      <c r="C57" t="s">
        <v>37</v>
      </c>
      <c r="D57" t="s">
        <v>108</v>
      </c>
      <c r="E57">
        <v>11.18</v>
      </c>
      <c r="F57">
        <v>687</v>
      </c>
      <c r="G57" s="2">
        <v>4.760416666666667E-2</v>
      </c>
      <c r="H57">
        <v>165</v>
      </c>
      <c r="I57">
        <v>186</v>
      </c>
      <c r="J57">
        <v>4.0999999999999996</v>
      </c>
      <c r="K57">
        <v>150</v>
      </c>
      <c r="L57">
        <v>171</v>
      </c>
      <c r="M57" s="4">
        <v>0.25555555555555559</v>
      </c>
      <c r="N57" s="4">
        <v>0.19166666666666665</v>
      </c>
      <c r="O57">
        <v>35</v>
      </c>
      <c r="P57">
        <v>37</v>
      </c>
      <c r="Q57">
        <v>1.08</v>
      </c>
      <c r="R57">
        <v>0</v>
      </c>
      <c r="S57">
        <v>0</v>
      </c>
      <c r="T57">
        <v>0</v>
      </c>
      <c r="U57">
        <v>0</v>
      </c>
      <c r="V57">
        <v>0</v>
      </c>
      <c r="W57" t="s">
        <v>39</v>
      </c>
      <c r="X57" t="s">
        <v>39</v>
      </c>
      <c r="Y57" s="2">
        <v>4.760416666666667E-2</v>
      </c>
      <c r="Z57" s="4">
        <v>0</v>
      </c>
      <c r="AA57">
        <v>0</v>
      </c>
      <c r="AB57" s="4">
        <v>0</v>
      </c>
      <c r="AC57" t="s">
        <v>40</v>
      </c>
      <c r="AD57" t="s">
        <v>109</v>
      </c>
      <c r="AE57">
        <v>10</v>
      </c>
      <c r="AF57">
        <v>0</v>
      </c>
      <c r="AG57" s="2">
        <v>4.7592592592592596E-2</v>
      </c>
      <c r="AH57" s="2">
        <v>4.7812500000000001E-2</v>
      </c>
      <c r="AI57">
        <v>9</v>
      </c>
      <c r="AJ57">
        <v>25</v>
      </c>
    </row>
    <row r="58" spans="1:36" x14ac:dyDescent="0.25">
      <c r="A58" t="s">
        <v>45</v>
      </c>
      <c r="B58" s="1">
        <v>44285.736817129633</v>
      </c>
      <c r="C58" t="s">
        <v>37</v>
      </c>
      <c r="D58" t="s">
        <v>110</v>
      </c>
      <c r="E58">
        <v>8.3000000000000007</v>
      </c>
      <c r="F58">
        <v>484</v>
      </c>
      <c r="G58" s="2">
        <v>3.9629629629629633E-2</v>
      </c>
      <c r="H58">
        <v>157</v>
      </c>
      <c r="I58">
        <v>229</v>
      </c>
      <c r="J58" t="s">
        <v>39</v>
      </c>
      <c r="K58">
        <v>142</v>
      </c>
      <c r="L58">
        <v>177</v>
      </c>
      <c r="M58" s="4">
        <v>0.28611111111111115</v>
      </c>
      <c r="N58" s="4">
        <v>0.15763888888888888</v>
      </c>
      <c r="O58">
        <v>35</v>
      </c>
      <c r="P58">
        <v>37</v>
      </c>
      <c r="Q58">
        <v>1</v>
      </c>
      <c r="R58">
        <v>0</v>
      </c>
      <c r="S58">
        <v>0</v>
      </c>
      <c r="T58">
        <v>0</v>
      </c>
      <c r="U58">
        <v>0</v>
      </c>
      <c r="V58">
        <v>0</v>
      </c>
      <c r="W58" t="s">
        <v>39</v>
      </c>
      <c r="X58" t="s">
        <v>39</v>
      </c>
      <c r="Y58" s="3">
        <v>2.3777777777777778</v>
      </c>
      <c r="Z58" s="4">
        <v>0</v>
      </c>
      <c r="AA58">
        <v>0</v>
      </c>
      <c r="AB58" s="4">
        <v>0</v>
      </c>
      <c r="AC58" t="s">
        <v>40</v>
      </c>
      <c r="AD58" t="s">
        <v>111</v>
      </c>
      <c r="AE58">
        <v>27</v>
      </c>
      <c r="AF58">
        <v>0</v>
      </c>
      <c r="AG58" s="2">
        <v>3.9409722222222221E-2</v>
      </c>
      <c r="AH58" s="2">
        <v>3.9629629629629633E-2</v>
      </c>
      <c r="AI58">
        <v>9</v>
      </c>
      <c r="AJ58">
        <v>26</v>
      </c>
    </row>
    <row r="59" spans="1:36" x14ac:dyDescent="0.25">
      <c r="A59" t="s">
        <v>45</v>
      </c>
      <c r="B59" s="1">
        <v>44282.300810185188</v>
      </c>
      <c r="C59" t="s">
        <v>37</v>
      </c>
      <c r="D59" t="s">
        <v>49</v>
      </c>
      <c r="E59">
        <v>12.34</v>
      </c>
      <c r="F59">
        <v>904</v>
      </c>
      <c r="G59" s="2">
        <v>5.5578703703703707E-2</v>
      </c>
      <c r="H59">
        <v>173</v>
      </c>
      <c r="I59">
        <v>188</v>
      </c>
      <c r="J59">
        <v>5</v>
      </c>
      <c r="K59">
        <v>152</v>
      </c>
      <c r="L59">
        <v>169</v>
      </c>
      <c r="M59" s="4">
        <v>0.27013888888888887</v>
      </c>
      <c r="N59" s="4">
        <v>0.22430555555555556</v>
      </c>
      <c r="O59">
        <v>156</v>
      </c>
      <c r="P59">
        <v>165</v>
      </c>
      <c r="Q59">
        <v>1.01</v>
      </c>
      <c r="R59">
        <v>0</v>
      </c>
      <c r="S59">
        <v>0</v>
      </c>
      <c r="T59">
        <v>0</v>
      </c>
      <c r="U59">
        <v>0</v>
      </c>
      <c r="V59">
        <v>0</v>
      </c>
      <c r="W59" t="s">
        <v>39</v>
      </c>
      <c r="X59" t="s">
        <v>39</v>
      </c>
      <c r="Y59" s="2">
        <v>5.5578703703703707E-2</v>
      </c>
      <c r="Z59" s="4">
        <v>0</v>
      </c>
      <c r="AA59">
        <v>0</v>
      </c>
      <c r="AB59" s="4">
        <v>0</v>
      </c>
      <c r="AC59" t="s">
        <v>40</v>
      </c>
      <c r="AD59" t="s">
        <v>112</v>
      </c>
      <c r="AE59">
        <v>13</v>
      </c>
      <c r="AF59">
        <v>0</v>
      </c>
      <c r="AG59" s="2">
        <v>5.5555555555555552E-2</v>
      </c>
      <c r="AH59" s="2">
        <v>5.5578703703703707E-2</v>
      </c>
      <c r="AI59">
        <v>16</v>
      </c>
      <c r="AJ59">
        <v>109</v>
      </c>
    </row>
    <row r="60" spans="1:36" x14ac:dyDescent="0.25">
      <c r="A60" t="s">
        <v>45</v>
      </c>
      <c r="B60" s="1">
        <v>44278.737187500003</v>
      </c>
      <c r="C60" t="s">
        <v>37</v>
      </c>
      <c r="D60" t="s">
        <v>113</v>
      </c>
      <c r="E60">
        <v>6.01</v>
      </c>
      <c r="F60">
        <v>396</v>
      </c>
      <c r="G60" s="2">
        <v>2.5821759259259256E-2</v>
      </c>
      <c r="H60">
        <v>164</v>
      </c>
      <c r="I60">
        <v>187</v>
      </c>
      <c r="J60">
        <v>3.8</v>
      </c>
      <c r="K60">
        <v>159</v>
      </c>
      <c r="L60">
        <v>171</v>
      </c>
      <c r="M60" s="4">
        <v>0.25763888888888892</v>
      </c>
      <c r="N60" s="4">
        <v>0.20208333333333331</v>
      </c>
      <c r="O60" t="s">
        <v>39</v>
      </c>
      <c r="P60">
        <v>13</v>
      </c>
      <c r="Q60">
        <v>1.01</v>
      </c>
      <c r="R60">
        <v>0</v>
      </c>
      <c r="S60">
        <v>0</v>
      </c>
      <c r="T60">
        <v>0</v>
      </c>
      <c r="U60">
        <v>0</v>
      </c>
      <c r="V60">
        <v>0</v>
      </c>
      <c r="W60" t="s">
        <v>39</v>
      </c>
      <c r="X60" t="s">
        <v>39</v>
      </c>
      <c r="Y60" s="3">
        <v>1.5493055555555555</v>
      </c>
      <c r="Z60" s="4">
        <v>0</v>
      </c>
      <c r="AA60">
        <v>0</v>
      </c>
      <c r="AB60" s="4">
        <v>0</v>
      </c>
      <c r="AC60" t="s">
        <v>40</v>
      </c>
      <c r="AD60" t="s">
        <v>114</v>
      </c>
      <c r="AE60">
        <v>4</v>
      </c>
      <c r="AF60">
        <v>0</v>
      </c>
      <c r="AG60" s="2">
        <v>2.5821759259259256E-2</v>
      </c>
      <c r="AH60" s="2">
        <v>2.5821759259259256E-2</v>
      </c>
      <c r="AI60">
        <v>9</v>
      </c>
      <c r="AJ60">
        <v>25</v>
      </c>
    </row>
    <row r="61" spans="1:36" x14ac:dyDescent="0.25">
      <c r="A61" t="s">
        <v>45</v>
      </c>
      <c r="B61" s="1">
        <v>44276.335613425923</v>
      </c>
      <c r="C61" t="s">
        <v>37</v>
      </c>
      <c r="D61" t="s">
        <v>49</v>
      </c>
      <c r="E61">
        <v>9.42</v>
      </c>
      <c r="F61">
        <v>693</v>
      </c>
      <c r="G61" s="2">
        <v>4.1678240740740745E-2</v>
      </c>
      <c r="H61">
        <v>175</v>
      </c>
      <c r="I61">
        <v>188</v>
      </c>
      <c r="J61">
        <v>5</v>
      </c>
      <c r="K61">
        <v>156</v>
      </c>
      <c r="L61">
        <v>172</v>
      </c>
      <c r="M61" s="4">
        <v>0.26527777777777778</v>
      </c>
      <c r="N61" s="4">
        <v>0.18541666666666667</v>
      </c>
      <c r="O61">
        <v>29</v>
      </c>
      <c r="P61">
        <v>34</v>
      </c>
      <c r="Q61">
        <v>1.01</v>
      </c>
      <c r="R61">
        <v>0</v>
      </c>
      <c r="S61">
        <v>0</v>
      </c>
      <c r="T61">
        <v>0</v>
      </c>
      <c r="U61">
        <v>0</v>
      </c>
      <c r="V61">
        <v>0</v>
      </c>
      <c r="W61" t="s">
        <v>39</v>
      </c>
      <c r="X61" t="s">
        <v>39</v>
      </c>
      <c r="Y61" s="2">
        <v>4.1678240740740745E-2</v>
      </c>
      <c r="Z61" s="4">
        <v>0</v>
      </c>
      <c r="AA61">
        <v>0</v>
      </c>
      <c r="AB61" s="4">
        <v>0</v>
      </c>
      <c r="AC61" t="s">
        <v>40</v>
      </c>
      <c r="AD61" t="s">
        <v>115</v>
      </c>
      <c r="AE61">
        <v>10</v>
      </c>
      <c r="AF61">
        <v>0</v>
      </c>
      <c r="AG61" s="2">
        <v>4.1655092592592598E-2</v>
      </c>
      <c r="AH61" s="2">
        <v>4.1678240740740745E-2</v>
      </c>
      <c r="AI61">
        <v>9</v>
      </c>
      <c r="AJ61">
        <v>26</v>
      </c>
    </row>
    <row r="62" spans="1:36" x14ac:dyDescent="0.25">
      <c r="A62" t="s">
        <v>45</v>
      </c>
      <c r="B62" s="1">
        <v>44273.260821759257</v>
      </c>
      <c r="C62" t="s">
        <v>37</v>
      </c>
      <c r="D62" t="s">
        <v>116</v>
      </c>
      <c r="E62">
        <v>9.41</v>
      </c>
      <c r="F62">
        <v>673</v>
      </c>
      <c r="G62" s="2">
        <v>4.3483796296296291E-2</v>
      </c>
      <c r="H62">
        <v>168</v>
      </c>
      <c r="I62">
        <v>192</v>
      </c>
      <c r="J62">
        <v>4.5</v>
      </c>
      <c r="K62">
        <v>151</v>
      </c>
      <c r="L62">
        <v>171</v>
      </c>
      <c r="M62" s="4">
        <v>0.27708333333333335</v>
      </c>
      <c r="N62" s="4">
        <v>0.17569444444444446</v>
      </c>
      <c r="O62">
        <v>12</v>
      </c>
      <c r="P62">
        <v>14</v>
      </c>
      <c r="Q62">
        <v>0.99</v>
      </c>
      <c r="R62">
        <v>0</v>
      </c>
      <c r="S62">
        <v>0</v>
      </c>
      <c r="T62">
        <v>0</v>
      </c>
      <c r="U62">
        <v>0</v>
      </c>
      <c r="V62">
        <v>0</v>
      </c>
      <c r="W62" t="s">
        <v>39</v>
      </c>
      <c r="X62" t="s">
        <v>39</v>
      </c>
      <c r="Y62" s="2">
        <v>4.3483796296296291E-2</v>
      </c>
      <c r="Z62" s="4">
        <v>0</v>
      </c>
      <c r="AA62">
        <v>0</v>
      </c>
      <c r="AB62" s="4">
        <v>0</v>
      </c>
      <c r="AC62" t="s">
        <v>40</v>
      </c>
      <c r="AD62" t="s">
        <v>117</v>
      </c>
      <c r="AE62">
        <v>15</v>
      </c>
      <c r="AF62">
        <v>0</v>
      </c>
      <c r="AG62" s="2">
        <v>4.3275462962962967E-2</v>
      </c>
      <c r="AH62" s="2">
        <v>4.3483796296296291E-2</v>
      </c>
      <c r="AI62">
        <v>12</v>
      </c>
      <c r="AJ62">
        <v>30</v>
      </c>
    </row>
    <row r="63" spans="1:36" x14ac:dyDescent="0.25">
      <c r="A63" t="s">
        <v>45</v>
      </c>
      <c r="B63" s="1">
        <v>44271.254363425927</v>
      </c>
      <c r="C63" t="s">
        <v>37</v>
      </c>
      <c r="D63" t="s">
        <v>49</v>
      </c>
      <c r="E63">
        <v>10.02</v>
      </c>
      <c r="F63">
        <v>723</v>
      </c>
      <c r="G63" s="2">
        <v>4.7083333333333331E-2</v>
      </c>
      <c r="H63">
        <v>164</v>
      </c>
      <c r="I63">
        <v>185</v>
      </c>
      <c r="J63">
        <v>4.2</v>
      </c>
      <c r="K63">
        <v>148</v>
      </c>
      <c r="L63">
        <v>166</v>
      </c>
      <c r="M63" s="4">
        <v>0.28194444444444444</v>
      </c>
      <c r="N63" s="4">
        <v>0.23263888888888887</v>
      </c>
      <c r="O63">
        <v>115</v>
      </c>
      <c r="P63">
        <v>121</v>
      </c>
      <c r="Q63">
        <v>1</v>
      </c>
      <c r="R63">
        <v>0</v>
      </c>
      <c r="S63">
        <v>0</v>
      </c>
      <c r="T63">
        <v>0</v>
      </c>
      <c r="U63">
        <v>0</v>
      </c>
      <c r="V63">
        <v>0</v>
      </c>
      <c r="W63" t="s">
        <v>39</v>
      </c>
      <c r="X63" t="s">
        <v>39</v>
      </c>
      <c r="Y63" s="2">
        <v>4.7083333333333331E-2</v>
      </c>
      <c r="Z63" s="4">
        <v>0</v>
      </c>
      <c r="AA63">
        <v>0</v>
      </c>
      <c r="AB63" s="4">
        <v>0</v>
      </c>
      <c r="AC63" t="s">
        <v>40</v>
      </c>
      <c r="AD63" t="s">
        <v>118</v>
      </c>
      <c r="AE63">
        <v>11</v>
      </c>
      <c r="AF63">
        <v>0</v>
      </c>
      <c r="AG63" s="2">
        <v>4.7060185185185184E-2</v>
      </c>
      <c r="AH63" s="2">
        <v>4.7083333333333331E-2</v>
      </c>
      <c r="AI63">
        <v>17</v>
      </c>
      <c r="AJ63">
        <v>51</v>
      </c>
    </row>
    <row r="64" spans="1:36" x14ac:dyDescent="0.25">
      <c r="A64" t="s">
        <v>45</v>
      </c>
      <c r="B64" s="1">
        <v>44262.329270833332</v>
      </c>
      <c r="C64" t="s">
        <v>37</v>
      </c>
      <c r="D64" t="s">
        <v>49</v>
      </c>
      <c r="E64">
        <v>15.39</v>
      </c>
      <c r="F64" s="5">
        <v>1115</v>
      </c>
      <c r="G64" s="2">
        <v>7.0416666666666669E-2</v>
      </c>
      <c r="H64">
        <v>168</v>
      </c>
      <c r="I64">
        <v>184</v>
      </c>
      <c r="J64">
        <v>4.5999999999999996</v>
      </c>
      <c r="K64">
        <v>146</v>
      </c>
      <c r="L64">
        <v>170</v>
      </c>
      <c r="M64" s="4">
        <v>0.27430555555555552</v>
      </c>
      <c r="N64" s="4">
        <v>0.22152777777777777</v>
      </c>
      <c r="O64">
        <v>289</v>
      </c>
      <c r="P64">
        <v>268</v>
      </c>
      <c r="Q64">
        <v>1.03</v>
      </c>
      <c r="R64">
        <v>0</v>
      </c>
      <c r="S64">
        <v>0</v>
      </c>
      <c r="T64">
        <v>0</v>
      </c>
      <c r="U64">
        <v>0</v>
      </c>
      <c r="V64">
        <v>0</v>
      </c>
      <c r="W64" t="s">
        <v>39</v>
      </c>
      <c r="X64" t="s">
        <v>39</v>
      </c>
      <c r="Y64" s="2">
        <v>7.0416666666666669E-2</v>
      </c>
      <c r="Z64" s="4">
        <v>0</v>
      </c>
      <c r="AA64">
        <v>0</v>
      </c>
      <c r="AB64" s="4">
        <v>0</v>
      </c>
      <c r="AC64" t="s">
        <v>40</v>
      </c>
      <c r="AD64" t="s">
        <v>119</v>
      </c>
      <c r="AE64">
        <v>16</v>
      </c>
      <c r="AF64">
        <v>0</v>
      </c>
      <c r="AG64" s="2">
        <v>7.0300925925925919E-2</v>
      </c>
      <c r="AH64" s="2">
        <v>7.0416666666666669E-2</v>
      </c>
      <c r="AI64">
        <v>17</v>
      </c>
      <c r="AJ64">
        <v>126</v>
      </c>
    </row>
    <row r="65" spans="1:36" x14ac:dyDescent="0.25">
      <c r="A65" t="s">
        <v>45</v>
      </c>
      <c r="B65" s="1">
        <v>44259.271307870367</v>
      </c>
      <c r="C65" t="s">
        <v>37</v>
      </c>
      <c r="D65" t="s">
        <v>49</v>
      </c>
      <c r="E65">
        <v>8.01</v>
      </c>
      <c r="F65">
        <v>547</v>
      </c>
      <c r="G65" s="2">
        <v>3.4189814814814819E-2</v>
      </c>
      <c r="H65">
        <v>166</v>
      </c>
      <c r="I65">
        <v>181</v>
      </c>
      <c r="J65">
        <v>4.0999999999999996</v>
      </c>
      <c r="K65">
        <v>161</v>
      </c>
      <c r="L65">
        <v>168</v>
      </c>
      <c r="M65" s="4">
        <v>0.25625000000000003</v>
      </c>
      <c r="N65" s="4">
        <v>0.22291666666666665</v>
      </c>
      <c r="O65">
        <v>96</v>
      </c>
      <c r="P65">
        <v>98</v>
      </c>
      <c r="Q65">
        <v>1.01</v>
      </c>
      <c r="R65">
        <v>0</v>
      </c>
      <c r="S65">
        <v>0</v>
      </c>
      <c r="T65">
        <v>0</v>
      </c>
      <c r="U65">
        <v>0</v>
      </c>
      <c r="V65">
        <v>0</v>
      </c>
      <c r="W65" t="s">
        <v>39</v>
      </c>
      <c r="X65" t="s">
        <v>39</v>
      </c>
      <c r="Y65" s="3">
        <v>2.0513888888888889</v>
      </c>
      <c r="Z65" s="4">
        <v>0</v>
      </c>
      <c r="AA65">
        <v>0</v>
      </c>
      <c r="AB65" s="4">
        <v>0</v>
      </c>
      <c r="AC65" t="s">
        <v>40</v>
      </c>
      <c r="AD65" t="s">
        <v>120</v>
      </c>
      <c r="AE65">
        <v>9</v>
      </c>
      <c r="AF65">
        <v>0</v>
      </c>
      <c r="AG65" s="2">
        <v>3.4166666666666672E-2</v>
      </c>
      <c r="AH65" s="2">
        <v>3.4189814814814819E-2</v>
      </c>
      <c r="AI65">
        <v>17</v>
      </c>
      <c r="AJ65">
        <v>52</v>
      </c>
    </row>
    <row r="66" spans="1:36" x14ac:dyDescent="0.25">
      <c r="A66" t="s">
        <v>45</v>
      </c>
      <c r="B66" s="1">
        <v>44257.271458333336</v>
      </c>
      <c r="C66" t="s">
        <v>37</v>
      </c>
      <c r="D66" t="s">
        <v>121</v>
      </c>
      <c r="E66">
        <v>7.77</v>
      </c>
      <c r="F66">
        <v>528</v>
      </c>
      <c r="G66" s="2">
        <v>5.0486111111111114E-2</v>
      </c>
      <c r="H66">
        <v>145</v>
      </c>
      <c r="I66">
        <v>182</v>
      </c>
      <c r="J66">
        <v>3.2</v>
      </c>
      <c r="K66">
        <v>135</v>
      </c>
      <c r="L66">
        <v>177</v>
      </c>
      <c r="M66" s="4">
        <v>0.39027777777777778</v>
      </c>
      <c r="N66" s="4">
        <v>0.10486111111111111</v>
      </c>
      <c r="O66">
        <v>256</v>
      </c>
      <c r="P66">
        <v>265</v>
      </c>
      <c r="Q66">
        <v>0.79</v>
      </c>
      <c r="R66">
        <v>0</v>
      </c>
      <c r="S66">
        <v>0</v>
      </c>
      <c r="T66">
        <v>0</v>
      </c>
      <c r="U66">
        <v>0</v>
      </c>
      <c r="V66">
        <v>0</v>
      </c>
      <c r="W66" t="s">
        <v>39</v>
      </c>
      <c r="X66" t="s">
        <v>39</v>
      </c>
      <c r="Y66" s="2">
        <v>5.0486111111111114E-2</v>
      </c>
      <c r="Z66" s="4">
        <v>0</v>
      </c>
      <c r="AA66">
        <v>0</v>
      </c>
      <c r="AB66" s="4">
        <v>0</v>
      </c>
      <c r="AC66" t="s">
        <v>40</v>
      </c>
      <c r="AD66" t="s">
        <v>69</v>
      </c>
      <c r="AE66">
        <v>23</v>
      </c>
      <c r="AF66">
        <v>0</v>
      </c>
      <c r="AG66" s="2">
        <v>4.9328703703703701E-2</v>
      </c>
      <c r="AH66" s="2">
        <v>5.0486111111111114E-2</v>
      </c>
      <c r="AI66">
        <v>10</v>
      </c>
      <c r="AJ66">
        <v>42</v>
      </c>
    </row>
    <row r="67" spans="1:36" x14ac:dyDescent="0.25">
      <c r="A67" t="s">
        <v>45</v>
      </c>
      <c r="B67" s="1">
        <v>44252.272997685184</v>
      </c>
      <c r="C67" t="s">
        <v>37</v>
      </c>
      <c r="D67" t="s">
        <v>122</v>
      </c>
      <c r="E67">
        <v>11.15</v>
      </c>
      <c r="F67">
        <v>704</v>
      </c>
      <c r="G67" s="2">
        <v>4.8009259259259258E-2</v>
      </c>
      <c r="H67">
        <v>167</v>
      </c>
      <c r="I67">
        <v>188</v>
      </c>
      <c r="J67">
        <v>4.5</v>
      </c>
      <c r="K67">
        <v>155</v>
      </c>
      <c r="L67">
        <v>173</v>
      </c>
      <c r="M67" s="4">
        <v>0.25833333333333336</v>
      </c>
      <c r="N67" s="4">
        <v>0.10416666666666667</v>
      </c>
      <c r="O67">
        <v>25</v>
      </c>
      <c r="P67">
        <v>32</v>
      </c>
      <c r="Q67">
        <v>1.03</v>
      </c>
      <c r="R67">
        <v>0</v>
      </c>
      <c r="S67">
        <v>0</v>
      </c>
      <c r="T67">
        <v>0</v>
      </c>
      <c r="U67">
        <v>0</v>
      </c>
      <c r="V67">
        <v>0</v>
      </c>
      <c r="W67" t="s">
        <v>39</v>
      </c>
      <c r="X67" t="s">
        <v>39</v>
      </c>
      <c r="Y67" s="2">
        <v>4.8009259259259258E-2</v>
      </c>
      <c r="Z67" s="4">
        <v>0</v>
      </c>
      <c r="AA67">
        <v>0</v>
      </c>
      <c r="AB67" s="4">
        <v>0</v>
      </c>
      <c r="AC67" t="s">
        <v>40</v>
      </c>
      <c r="AD67" t="s">
        <v>123</v>
      </c>
      <c r="AE67">
        <v>5</v>
      </c>
      <c r="AF67">
        <v>0</v>
      </c>
      <c r="AG67" s="2">
        <v>4.7939814814814817E-2</v>
      </c>
      <c r="AH67" s="2">
        <v>4.8009259259259258E-2</v>
      </c>
      <c r="AI67">
        <v>10</v>
      </c>
      <c r="AJ67">
        <v>26</v>
      </c>
    </row>
    <row r="68" spans="1:36" x14ac:dyDescent="0.25">
      <c r="A68" t="s">
        <v>45</v>
      </c>
      <c r="B68" s="1">
        <v>44250.268437500003</v>
      </c>
      <c r="C68" t="s">
        <v>37</v>
      </c>
      <c r="D68" t="s">
        <v>124</v>
      </c>
      <c r="E68">
        <v>9.27</v>
      </c>
      <c r="F68">
        <v>548</v>
      </c>
      <c r="G68" s="2">
        <v>4.2743055555555555E-2</v>
      </c>
      <c r="H68">
        <v>163</v>
      </c>
      <c r="I68">
        <v>188</v>
      </c>
      <c r="J68">
        <v>4.3</v>
      </c>
      <c r="K68">
        <v>144</v>
      </c>
      <c r="L68">
        <v>171</v>
      </c>
      <c r="M68" s="4">
        <v>0.27638888888888885</v>
      </c>
      <c r="N68" s="4">
        <v>0.19722222222222222</v>
      </c>
      <c r="O68">
        <v>10</v>
      </c>
      <c r="P68">
        <v>14</v>
      </c>
      <c r="Q68">
        <v>1.02</v>
      </c>
      <c r="R68">
        <v>0</v>
      </c>
      <c r="S68">
        <v>0</v>
      </c>
      <c r="T68">
        <v>0</v>
      </c>
      <c r="U68">
        <v>0</v>
      </c>
      <c r="V68">
        <v>0</v>
      </c>
      <c r="W68" t="s">
        <v>39</v>
      </c>
      <c r="X68" t="s">
        <v>39</v>
      </c>
      <c r="Y68" s="2">
        <v>4.2743055555555555E-2</v>
      </c>
      <c r="Z68" s="4">
        <v>0</v>
      </c>
      <c r="AA68">
        <v>0</v>
      </c>
      <c r="AB68" s="4">
        <v>0</v>
      </c>
      <c r="AC68" t="s">
        <v>40</v>
      </c>
      <c r="AD68" t="s">
        <v>109</v>
      </c>
      <c r="AE68">
        <v>8</v>
      </c>
      <c r="AF68">
        <v>0</v>
      </c>
      <c r="AG68" s="2">
        <v>4.2731481481481481E-2</v>
      </c>
      <c r="AH68" s="2">
        <v>4.2743055555555555E-2</v>
      </c>
      <c r="AI68">
        <v>12</v>
      </c>
      <c r="AJ68">
        <v>29</v>
      </c>
    </row>
    <row r="69" spans="1:36" x14ac:dyDescent="0.25">
      <c r="A69" t="s">
        <v>45</v>
      </c>
      <c r="B69" s="1">
        <v>44248.275648148148</v>
      </c>
      <c r="C69" t="s">
        <v>37</v>
      </c>
      <c r="D69" t="s">
        <v>125</v>
      </c>
      <c r="E69">
        <v>9.32</v>
      </c>
      <c r="F69">
        <v>349</v>
      </c>
      <c r="G69" s="2">
        <v>0.15461805555555555</v>
      </c>
      <c r="H69" t="s">
        <v>39</v>
      </c>
      <c r="I69" t="s">
        <v>39</v>
      </c>
      <c r="J69" t="s">
        <v>39</v>
      </c>
      <c r="K69">
        <v>54</v>
      </c>
      <c r="L69">
        <v>244</v>
      </c>
      <c r="M69" s="4">
        <v>0.99513888888888891</v>
      </c>
      <c r="N69" s="4">
        <v>0.11527777777777777</v>
      </c>
      <c r="O69">
        <v>658</v>
      </c>
      <c r="P69">
        <v>666</v>
      </c>
      <c r="Q69">
        <v>0.82</v>
      </c>
      <c r="R69">
        <v>0</v>
      </c>
      <c r="S69">
        <v>0</v>
      </c>
      <c r="T69">
        <v>0</v>
      </c>
      <c r="U69">
        <v>0</v>
      </c>
      <c r="V69">
        <v>0</v>
      </c>
      <c r="W69" t="s">
        <v>39</v>
      </c>
      <c r="X69" t="s">
        <v>39</v>
      </c>
      <c r="Y69" s="2">
        <v>0.15461805555555555</v>
      </c>
      <c r="Z69" s="4">
        <v>0</v>
      </c>
      <c r="AA69">
        <v>0</v>
      </c>
      <c r="AB69" s="4">
        <v>0</v>
      </c>
      <c r="AC69" t="s">
        <v>40</v>
      </c>
      <c r="AD69" t="s">
        <v>126</v>
      </c>
      <c r="AE69">
        <v>10</v>
      </c>
      <c r="AF69">
        <v>0</v>
      </c>
      <c r="AG69" s="2">
        <v>8.0520833333333333E-2</v>
      </c>
      <c r="AH69" s="2">
        <v>0.15461805555555555</v>
      </c>
      <c r="AI69">
        <v>218</v>
      </c>
      <c r="AJ69">
        <v>805</v>
      </c>
    </row>
    <row r="70" spans="1:36" x14ac:dyDescent="0.25">
      <c r="A70" t="s">
        <v>45</v>
      </c>
      <c r="B70" s="1">
        <v>44247.301423611112</v>
      </c>
      <c r="C70" t="s">
        <v>37</v>
      </c>
      <c r="D70" t="s">
        <v>49</v>
      </c>
      <c r="E70">
        <v>14.01</v>
      </c>
      <c r="F70" s="5">
        <v>1011</v>
      </c>
      <c r="G70" s="2">
        <v>6.4988425925925922E-2</v>
      </c>
      <c r="H70">
        <v>169</v>
      </c>
      <c r="I70">
        <v>186</v>
      </c>
      <c r="J70">
        <v>5</v>
      </c>
      <c r="K70">
        <v>147</v>
      </c>
      <c r="L70">
        <v>180</v>
      </c>
      <c r="M70" s="4">
        <v>0.27847222222222223</v>
      </c>
      <c r="N70" s="4">
        <v>0.19722222222222222</v>
      </c>
      <c r="O70">
        <v>224</v>
      </c>
      <c r="P70">
        <v>233</v>
      </c>
      <c r="Q70">
        <v>1.02</v>
      </c>
      <c r="R70">
        <v>0</v>
      </c>
      <c r="S70">
        <v>0</v>
      </c>
      <c r="T70">
        <v>0</v>
      </c>
      <c r="U70">
        <v>0</v>
      </c>
      <c r="V70">
        <v>0</v>
      </c>
      <c r="W70" t="s">
        <v>39</v>
      </c>
      <c r="X70" t="s">
        <v>39</v>
      </c>
      <c r="Y70" s="2">
        <v>6.4988425925925922E-2</v>
      </c>
      <c r="Z70" s="4">
        <v>0</v>
      </c>
      <c r="AA70">
        <v>0</v>
      </c>
      <c r="AB70" s="4">
        <v>0</v>
      </c>
      <c r="AC70" t="s">
        <v>40</v>
      </c>
      <c r="AD70" t="s">
        <v>127</v>
      </c>
      <c r="AE70">
        <v>15</v>
      </c>
      <c r="AF70">
        <v>0</v>
      </c>
      <c r="AG70" s="2">
        <v>6.4965277777777775E-2</v>
      </c>
      <c r="AH70" s="2">
        <v>6.4988425925925922E-2</v>
      </c>
      <c r="AI70">
        <v>16</v>
      </c>
      <c r="AJ70">
        <v>111</v>
      </c>
    </row>
    <row r="71" spans="1:36" x14ac:dyDescent="0.25">
      <c r="A71" t="s">
        <v>45</v>
      </c>
      <c r="B71" s="1">
        <v>44245.275729166664</v>
      </c>
      <c r="C71" t="s">
        <v>37</v>
      </c>
      <c r="D71" t="s">
        <v>103</v>
      </c>
      <c r="E71">
        <v>10.01</v>
      </c>
      <c r="F71">
        <v>683</v>
      </c>
      <c r="G71" s="2">
        <v>4.2291666666666665E-2</v>
      </c>
      <c r="H71">
        <v>172</v>
      </c>
      <c r="I71">
        <v>186</v>
      </c>
      <c r="J71">
        <v>5</v>
      </c>
      <c r="K71">
        <v>155</v>
      </c>
      <c r="L71">
        <v>171</v>
      </c>
      <c r="M71" s="4">
        <v>0.25347222222222221</v>
      </c>
      <c r="N71" s="4">
        <v>8.4027777777777771E-2</v>
      </c>
      <c r="O71">
        <v>158</v>
      </c>
      <c r="P71">
        <v>161</v>
      </c>
      <c r="Q71">
        <v>1.06</v>
      </c>
      <c r="R71">
        <v>0</v>
      </c>
      <c r="S71">
        <v>0</v>
      </c>
      <c r="T71">
        <v>0</v>
      </c>
      <c r="U71">
        <v>0</v>
      </c>
      <c r="V71">
        <v>0</v>
      </c>
      <c r="W71" t="s">
        <v>39</v>
      </c>
      <c r="X71" t="s">
        <v>39</v>
      </c>
      <c r="Y71" s="2">
        <v>4.2291666666666665E-2</v>
      </c>
      <c r="Z71" s="4">
        <v>0</v>
      </c>
      <c r="AA71">
        <v>0</v>
      </c>
      <c r="AB71" s="4">
        <v>0</v>
      </c>
      <c r="AC71" t="s">
        <v>40</v>
      </c>
      <c r="AD71" t="s">
        <v>128</v>
      </c>
      <c r="AE71">
        <v>2</v>
      </c>
      <c r="AF71">
        <v>0</v>
      </c>
      <c r="AG71" s="2">
        <v>4.207175925925926E-2</v>
      </c>
      <c r="AH71" s="2">
        <v>4.2291666666666665E-2</v>
      </c>
      <c r="AI71">
        <v>-35</v>
      </c>
      <c r="AJ71">
        <v>56</v>
      </c>
    </row>
    <row r="72" spans="1:36" x14ac:dyDescent="0.25">
      <c r="A72" t="s">
        <v>45</v>
      </c>
      <c r="B72" s="1">
        <v>44243.750717592593</v>
      </c>
      <c r="C72" t="s">
        <v>37</v>
      </c>
      <c r="D72" t="s">
        <v>129</v>
      </c>
      <c r="E72">
        <v>9.44</v>
      </c>
      <c r="F72">
        <v>593</v>
      </c>
      <c r="G72" s="2">
        <v>4.8333333333333332E-2</v>
      </c>
      <c r="H72">
        <v>157</v>
      </c>
      <c r="I72">
        <v>187</v>
      </c>
      <c r="J72">
        <v>3.8</v>
      </c>
      <c r="K72">
        <v>137</v>
      </c>
      <c r="L72">
        <v>168</v>
      </c>
      <c r="M72" s="4">
        <v>0.30694444444444441</v>
      </c>
      <c r="N72" s="4">
        <v>0.18541666666666667</v>
      </c>
      <c r="O72">
        <v>22</v>
      </c>
      <c r="P72">
        <v>24</v>
      </c>
      <c r="Q72">
        <v>0.97</v>
      </c>
      <c r="R72">
        <v>0</v>
      </c>
      <c r="S72">
        <v>0</v>
      </c>
      <c r="T72">
        <v>0</v>
      </c>
      <c r="U72">
        <v>0</v>
      </c>
      <c r="V72">
        <v>0</v>
      </c>
      <c r="W72" t="s">
        <v>39</v>
      </c>
      <c r="X72" t="s">
        <v>39</v>
      </c>
      <c r="Y72" s="2">
        <v>4.8333333333333332E-2</v>
      </c>
      <c r="Z72" s="4">
        <v>0</v>
      </c>
      <c r="AA72">
        <v>0</v>
      </c>
      <c r="AB72" s="4">
        <v>0</v>
      </c>
      <c r="AC72" t="s">
        <v>40</v>
      </c>
      <c r="AD72" t="s">
        <v>109</v>
      </c>
      <c r="AE72">
        <v>11</v>
      </c>
      <c r="AF72">
        <v>0</v>
      </c>
      <c r="AG72" s="2">
        <v>4.6793981481481478E-2</v>
      </c>
      <c r="AH72" s="2">
        <v>4.8333333333333332E-2</v>
      </c>
      <c r="AI72">
        <v>9</v>
      </c>
      <c r="AJ72">
        <v>26</v>
      </c>
    </row>
    <row r="73" spans="1:36" x14ac:dyDescent="0.25">
      <c r="A73" t="s">
        <v>45</v>
      </c>
      <c r="B73" s="1">
        <v>44241.346319444441</v>
      </c>
      <c r="C73" t="s">
        <v>37</v>
      </c>
      <c r="D73" t="s">
        <v>49</v>
      </c>
      <c r="E73">
        <v>12.52</v>
      </c>
      <c r="F73">
        <v>960</v>
      </c>
      <c r="G73" s="2">
        <v>6.0613425925925925E-2</v>
      </c>
      <c r="H73">
        <v>174</v>
      </c>
      <c r="I73">
        <v>188</v>
      </c>
      <c r="J73">
        <v>5</v>
      </c>
      <c r="K73">
        <v>143</v>
      </c>
      <c r="L73">
        <v>170</v>
      </c>
      <c r="M73" s="4">
        <v>0.2902777777777778</v>
      </c>
      <c r="N73" s="4">
        <v>0.22569444444444445</v>
      </c>
      <c r="O73">
        <v>259</v>
      </c>
      <c r="P73">
        <v>240</v>
      </c>
      <c r="Q73">
        <v>1</v>
      </c>
      <c r="R73">
        <v>0</v>
      </c>
      <c r="S73">
        <v>0</v>
      </c>
      <c r="T73">
        <v>0</v>
      </c>
      <c r="U73">
        <v>0</v>
      </c>
      <c r="V73">
        <v>0</v>
      </c>
      <c r="W73" t="s">
        <v>39</v>
      </c>
      <c r="X73" t="s">
        <v>39</v>
      </c>
      <c r="Y73" s="2">
        <v>6.0613425925925925E-2</v>
      </c>
      <c r="Z73" s="4">
        <v>0</v>
      </c>
      <c r="AA73">
        <v>0</v>
      </c>
      <c r="AB73" s="4">
        <v>0</v>
      </c>
      <c r="AC73" t="s">
        <v>40</v>
      </c>
      <c r="AD73" t="s">
        <v>130</v>
      </c>
      <c r="AE73">
        <v>13</v>
      </c>
      <c r="AF73">
        <v>0</v>
      </c>
      <c r="AG73" s="2">
        <v>5.8993055555555556E-2</v>
      </c>
      <c r="AH73" s="2">
        <v>6.0613425925925925E-2</v>
      </c>
      <c r="AI73">
        <v>18</v>
      </c>
      <c r="AJ73">
        <v>127</v>
      </c>
    </row>
    <row r="74" spans="1:36" x14ac:dyDescent="0.25">
      <c r="A74" t="s">
        <v>45</v>
      </c>
      <c r="B74" s="1">
        <v>44238.277002314811</v>
      </c>
      <c r="C74" t="s">
        <v>37</v>
      </c>
      <c r="D74" t="s">
        <v>103</v>
      </c>
      <c r="E74">
        <v>8.6300000000000008</v>
      </c>
      <c r="F74">
        <v>583</v>
      </c>
      <c r="G74" s="2">
        <v>3.7824074074074072E-2</v>
      </c>
      <c r="H74">
        <v>172</v>
      </c>
      <c r="I74">
        <v>188</v>
      </c>
      <c r="J74">
        <v>4.7</v>
      </c>
      <c r="K74">
        <v>154</v>
      </c>
      <c r="L74">
        <v>172</v>
      </c>
      <c r="M74" s="4">
        <v>0.26319444444444445</v>
      </c>
      <c r="N74" s="4">
        <v>0.16180555555555556</v>
      </c>
      <c r="O74">
        <v>67</v>
      </c>
      <c r="P74">
        <v>74</v>
      </c>
      <c r="Q74">
        <v>1.02</v>
      </c>
      <c r="R74">
        <v>0</v>
      </c>
      <c r="S74">
        <v>0</v>
      </c>
      <c r="T74">
        <v>0</v>
      </c>
      <c r="U74">
        <v>0</v>
      </c>
      <c r="V74">
        <v>0</v>
      </c>
      <c r="W74" t="s">
        <v>39</v>
      </c>
      <c r="X74" t="s">
        <v>39</v>
      </c>
      <c r="Y74" s="3">
        <v>2.2694444444444444</v>
      </c>
      <c r="Z74" s="4">
        <v>0</v>
      </c>
      <c r="AA74">
        <v>0</v>
      </c>
      <c r="AB74" s="4">
        <v>0</v>
      </c>
      <c r="AC74" t="s">
        <v>40</v>
      </c>
      <c r="AD74" t="s">
        <v>131</v>
      </c>
      <c r="AE74">
        <v>2</v>
      </c>
      <c r="AF74">
        <v>0</v>
      </c>
      <c r="AG74" s="2">
        <v>3.7731481481481484E-2</v>
      </c>
      <c r="AH74" s="2">
        <v>3.7824074074074072E-2</v>
      </c>
      <c r="AI74">
        <v>9</v>
      </c>
      <c r="AJ74">
        <v>49</v>
      </c>
    </row>
    <row r="75" spans="1:36" x14ac:dyDescent="0.25">
      <c r="A75" t="s">
        <v>45</v>
      </c>
      <c r="B75" s="1">
        <v>44236.270370370374</v>
      </c>
      <c r="C75" t="s">
        <v>37</v>
      </c>
      <c r="D75" t="s">
        <v>82</v>
      </c>
      <c r="E75">
        <v>8.3000000000000007</v>
      </c>
      <c r="F75">
        <v>562</v>
      </c>
      <c r="G75" s="2">
        <v>3.9004629629629632E-2</v>
      </c>
      <c r="H75">
        <v>163</v>
      </c>
      <c r="I75">
        <v>183</v>
      </c>
      <c r="J75">
        <v>4.0999999999999996</v>
      </c>
      <c r="K75">
        <v>139</v>
      </c>
      <c r="L75">
        <v>173</v>
      </c>
      <c r="M75" s="4">
        <v>0.28194444444444444</v>
      </c>
      <c r="N75" s="4">
        <v>0.1361111111111111</v>
      </c>
      <c r="O75">
        <v>10</v>
      </c>
      <c r="P75">
        <v>20</v>
      </c>
      <c r="Q75">
        <v>1.07</v>
      </c>
      <c r="R75">
        <v>0</v>
      </c>
      <c r="S75">
        <v>0</v>
      </c>
      <c r="T75">
        <v>0</v>
      </c>
      <c r="U75">
        <v>0</v>
      </c>
      <c r="V75">
        <v>0</v>
      </c>
      <c r="W75" t="s">
        <v>39</v>
      </c>
      <c r="X75" t="s">
        <v>39</v>
      </c>
      <c r="Y75" s="3">
        <v>2.3402777777777777</v>
      </c>
      <c r="Z75" s="4">
        <v>0</v>
      </c>
      <c r="AA75">
        <v>0</v>
      </c>
      <c r="AB75" s="4">
        <v>0</v>
      </c>
      <c r="AC75" t="s">
        <v>40</v>
      </c>
      <c r="AD75" t="s">
        <v>132</v>
      </c>
      <c r="AE75">
        <v>23</v>
      </c>
      <c r="AF75">
        <v>0</v>
      </c>
      <c r="AG75" s="2">
        <v>3.2893518518518523E-2</v>
      </c>
      <c r="AH75" s="2">
        <v>3.9004629629629632E-2</v>
      </c>
      <c r="AI75">
        <v>9</v>
      </c>
      <c r="AJ75">
        <v>26</v>
      </c>
    </row>
    <row r="76" spans="1:36" x14ac:dyDescent="0.25">
      <c r="A76" t="s">
        <v>45</v>
      </c>
      <c r="B76" s="1">
        <v>44233.305879629632</v>
      </c>
      <c r="C76" t="s">
        <v>37</v>
      </c>
      <c r="D76" t="s">
        <v>103</v>
      </c>
      <c r="E76">
        <v>10.01</v>
      </c>
      <c r="F76">
        <v>697</v>
      </c>
      <c r="G76" s="2">
        <v>4.6099537037037036E-2</v>
      </c>
      <c r="H76">
        <v>168</v>
      </c>
      <c r="I76">
        <v>181</v>
      </c>
      <c r="J76">
        <v>4.5</v>
      </c>
      <c r="K76">
        <v>146</v>
      </c>
      <c r="L76">
        <v>171</v>
      </c>
      <c r="M76" s="4">
        <v>0.27638888888888885</v>
      </c>
      <c r="N76" s="4">
        <v>0.13263888888888889</v>
      </c>
      <c r="O76">
        <v>126</v>
      </c>
      <c r="P76">
        <v>126</v>
      </c>
      <c r="Q76">
        <v>1.04</v>
      </c>
      <c r="R76">
        <v>0</v>
      </c>
      <c r="S76">
        <v>0</v>
      </c>
      <c r="T76">
        <v>0</v>
      </c>
      <c r="U76">
        <v>0</v>
      </c>
      <c r="V76">
        <v>0</v>
      </c>
      <c r="W76" t="s">
        <v>39</v>
      </c>
      <c r="X76" t="s">
        <v>39</v>
      </c>
      <c r="Y76" s="2">
        <v>4.6099537037037036E-2</v>
      </c>
      <c r="Z76" s="4">
        <v>0</v>
      </c>
      <c r="AA76">
        <v>0</v>
      </c>
      <c r="AB76" s="4">
        <v>0</v>
      </c>
      <c r="AC76" t="s">
        <v>40</v>
      </c>
      <c r="AD76" t="s">
        <v>133</v>
      </c>
      <c r="AE76">
        <v>2</v>
      </c>
      <c r="AF76">
        <v>0</v>
      </c>
      <c r="AG76" s="2">
        <v>4.6099537037037036E-2</v>
      </c>
      <c r="AH76" s="2">
        <v>4.6099537037037036E-2</v>
      </c>
      <c r="AI76">
        <v>17</v>
      </c>
      <c r="AJ76">
        <v>50</v>
      </c>
    </row>
    <row r="77" spans="1:36" x14ac:dyDescent="0.25">
      <c r="A77" t="s">
        <v>45</v>
      </c>
      <c r="B77" s="1">
        <v>44229.274236111109</v>
      </c>
      <c r="C77" t="s">
        <v>37</v>
      </c>
      <c r="D77" t="s">
        <v>103</v>
      </c>
      <c r="E77">
        <v>7</v>
      </c>
      <c r="F77">
        <v>445</v>
      </c>
      <c r="G77" s="2">
        <v>3.0902777777777779E-2</v>
      </c>
      <c r="H77">
        <v>163</v>
      </c>
      <c r="I77">
        <v>180</v>
      </c>
      <c r="J77">
        <v>3.9</v>
      </c>
      <c r="K77">
        <v>155</v>
      </c>
      <c r="L77">
        <v>170</v>
      </c>
      <c r="M77" s="4">
        <v>0.26458333333333334</v>
      </c>
      <c r="N77" s="4">
        <v>7.1527777777777787E-2</v>
      </c>
      <c r="O77">
        <v>53</v>
      </c>
      <c r="P77">
        <v>64</v>
      </c>
      <c r="Q77">
        <v>1.02</v>
      </c>
      <c r="R77">
        <v>0</v>
      </c>
      <c r="S77">
        <v>0</v>
      </c>
      <c r="T77">
        <v>0</v>
      </c>
      <c r="U77">
        <v>0</v>
      </c>
      <c r="V77">
        <v>0</v>
      </c>
      <c r="W77" t="s">
        <v>39</v>
      </c>
      <c r="X77" t="s">
        <v>39</v>
      </c>
      <c r="Y77" s="3">
        <v>1.8541666666666667</v>
      </c>
      <c r="Z77" s="4">
        <v>0</v>
      </c>
      <c r="AA77">
        <v>0</v>
      </c>
      <c r="AB77" s="4">
        <v>0</v>
      </c>
      <c r="AC77" t="s">
        <v>40</v>
      </c>
      <c r="AD77" t="s">
        <v>134</v>
      </c>
      <c r="AE77">
        <v>2</v>
      </c>
      <c r="AF77">
        <v>0</v>
      </c>
      <c r="AG77" s="2">
        <v>3.0902777777777779E-2</v>
      </c>
      <c r="AH77" s="2">
        <v>3.0902777777777779E-2</v>
      </c>
      <c r="AI77">
        <v>9</v>
      </c>
      <c r="AJ77">
        <v>49</v>
      </c>
    </row>
    <row r="78" spans="1:36" x14ac:dyDescent="0.25">
      <c r="A78" t="s">
        <v>45</v>
      </c>
      <c r="B78" s="1">
        <v>44226.29855324074</v>
      </c>
      <c r="C78" t="s">
        <v>37</v>
      </c>
      <c r="D78" t="s">
        <v>135</v>
      </c>
      <c r="E78">
        <v>16.73</v>
      </c>
      <c r="F78" s="5">
        <v>1528</v>
      </c>
      <c r="G78" s="2">
        <v>0.11364583333333333</v>
      </c>
      <c r="H78">
        <v>168</v>
      </c>
      <c r="I78">
        <v>201</v>
      </c>
      <c r="J78">
        <v>5</v>
      </c>
      <c r="K78">
        <v>102</v>
      </c>
      <c r="L78">
        <v>173</v>
      </c>
      <c r="M78" s="4">
        <v>0.40763888888888888</v>
      </c>
      <c r="N78" s="4">
        <v>0.19513888888888889</v>
      </c>
      <c r="O78">
        <v>870</v>
      </c>
      <c r="P78">
        <v>691</v>
      </c>
      <c r="Q78">
        <v>0.97</v>
      </c>
      <c r="R78">
        <v>0</v>
      </c>
      <c r="S78">
        <v>0</v>
      </c>
      <c r="T78">
        <v>0</v>
      </c>
      <c r="U78">
        <v>0</v>
      </c>
      <c r="V78">
        <v>0</v>
      </c>
      <c r="W78" t="s">
        <v>39</v>
      </c>
      <c r="X78" t="s">
        <v>39</v>
      </c>
      <c r="Y78" s="2">
        <v>0.11364583333333333</v>
      </c>
      <c r="Z78" s="4">
        <v>0</v>
      </c>
      <c r="AA78">
        <v>0</v>
      </c>
      <c r="AB78" s="4">
        <v>0</v>
      </c>
      <c r="AC78" t="s">
        <v>40</v>
      </c>
      <c r="AD78" t="s">
        <v>136</v>
      </c>
      <c r="AE78">
        <v>17</v>
      </c>
      <c r="AF78">
        <v>0</v>
      </c>
      <c r="AG78" s="2">
        <v>9.7627314814814806E-2</v>
      </c>
      <c r="AH78" s="2">
        <v>0.11428240740740742</v>
      </c>
      <c r="AI78">
        <v>115</v>
      </c>
      <c r="AJ78">
        <v>802</v>
      </c>
    </row>
    <row r="79" spans="1:36" x14ac:dyDescent="0.25">
      <c r="A79" t="s">
        <v>45</v>
      </c>
      <c r="B79" s="1">
        <v>44224.273321759261</v>
      </c>
      <c r="C79" t="s">
        <v>37</v>
      </c>
      <c r="D79" t="s">
        <v>103</v>
      </c>
      <c r="E79">
        <v>8.64</v>
      </c>
      <c r="F79">
        <v>588</v>
      </c>
      <c r="G79" s="2">
        <v>4.1365740740740745E-2</v>
      </c>
      <c r="H79">
        <v>168</v>
      </c>
      <c r="I79">
        <v>185</v>
      </c>
      <c r="J79">
        <v>5</v>
      </c>
      <c r="K79">
        <v>149</v>
      </c>
      <c r="L79">
        <v>171</v>
      </c>
      <c r="M79" s="4">
        <v>0.28750000000000003</v>
      </c>
      <c r="N79" s="4">
        <v>0.14652777777777778</v>
      </c>
      <c r="O79">
        <v>62</v>
      </c>
      <c r="P79">
        <v>69</v>
      </c>
      <c r="Q79">
        <v>0.97</v>
      </c>
      <c r="R79">
        <v>0</v>
      </c>
      <c r="S79">
        <v>0</v>
      </c>
      <c r="T79">
        <v>0</v>
      </c>
      <c r="U79">
        <v>0</v>
      </c>
      <c r="V79">
        <v>0</v>
      </c>
      <c r="W79" t="s">
        <v>39</v>
      </c>
      <c r="X79" t="s">
        <v>39</v>
      </c>
      <c r="Y79" s="3">
        <v>2.4819444444444447</v>
      </c>
      <c r="Z79" s="4">
        <v>0</v>
      </c>
      <c r="AA79">
        <v>0</v>
      </c>
      <c r="AB79" s="4">
        <v>0</v>
      </c>
      <c r="AC79" t="s">
        <v>40</v>
      </c>
      <c r="AD79" t="s">
        <v>137</v>
      </c>
      <c r="AE79">
        <v>2</v>
      </c>
      <c r="AF79">
        <v>0</v>
      </c>
      <c r="AG79" s="2">
        <v>4.0729166666666664E-2</v>
      </c>
      <c r="AH79" s="2">
        <v>4.1365740740740745E-2</v>
      </c>
      <c r="AI79">
        <v>9</v>
      </c>
      <c r="AJ79">
        <v>49</v>
      </c>
    </row>
    <row r="80" spans="1:36" x14ac:dyDescent="0.25">
      <c r="A80" t="s">
        <v>45</v>
      </c>
      <c r="B80" s="1">
        <v>44222.273287037038</v>
      </c>
      <c r="C80" t="s">
        <v>37</v>
      </c>
      <c r="D80" t="s">
        <v>138</v>
      </c>
      <c r="E80">
        <v>8.36</v>
      </c>
      <c r="F80">
        <v>523</v>
      </c>
      <c r="G80" s="2">
        <v>4.2650462962962959E-2</v>
      </c>
      <c r="H80">
        <v>164</v>
      </c>
      <c r="I80">
        <v>190</v>
      </c>
      <c r="J80">
        <v>5</v>
      </c>
      <c r="K80">
        <v>140</v>
      </c>
      <c r="L80">
        <v>173</v>
      </c>
      <c r="M80" s="4">
        <v>0.30624999999999997</v>
      </c>
      <c r="N80" s="4">
        <v>0.16180555555555556</v>
      </c>
      <c r="O80">
        <v>18</v>
      </c>
      <c r="P80">
        <v>23</v>
      </c>
      <c r="Q80">
        <v>1.04</v>
      </c>
      <c r="R80">
        <v>0</v>
      </c>
      <c r="S80">
        <v>0</v>
      </c>
      <c r="T80">
        <v>0</v>
      </c>
      <c r="U80">
        <v>0</v>
      </c>
      <c r="V80">
        <v>0</v>
      </c>
      <c r="W80" t="s">
        <v>39</v>
      </c>
      <c r="X80" t="s">
        <v>39</v>
      </c>
      <c r="Y80" s="2">
        <v>4.2650462962962959E-2</v>
      </c>
      <c r="Z80" s="4">
        <v>0</v>
      </c>
      <c r="AA80">
        <v>0</v>
      </c>
      <c r="AB80" s="4">
        <v>0</v>
      </c>
      <c r="AC80" t="s">
        <v>40</v>
      </c>
      <c r="AD80" t="s">
        <v>139</v>
      </c>
      <c r="AE80">
        <v>15</v>
      </c>
      <c r="AF80">
        <v>0</v>
      </c>
      <c r="AG80" s="2">
        <v>4.0625000000000001E-2</v>
      </c>
      <c r="AH80" s="2">
        <v>4.2650462962962959E-2</v>
      </c>
      <c r="AI80">
        <v>9</v>
      </c>
      <c r="AJ80">
        <v>26</v>
      </c>
    </row>
    <row r="81" spans="1:36" x14ac:dyDescent="0.25">
      <c r="A81" t="s">
        <v>45</v>
      </c>
      <c r="B81" s="1">
        <v>44219.303483796299</v>
      </c>
      <c r="C81" t="s">
        <v>37</v>
      </c>
      <c r="D81" t="s">
        <v>140</v>
      </c>
      <c r="E81">
        <v>7.89</v>
      </c>
      <c r="F81">
        <v>531</v>
      </c>
      <c r="G81" s="2">
        <v>4.65625E-2</v>
      </c>
      <c r="H81">
        <v>161</v>
      </c>
      <c r="I81">
        <v>191</v>
      </c>
      <c r="J81">
        <v>4.8</v>
      </c>
      <c r="K81">
        <v>125</v>
      </c>
      <c r="L81">
        <v>170</v>
      </c>
      <c r="M81" s="4">
        <v>0.35416666666666669</v>
      </c>
      <c r="N81" s="4">
        <v>0.18263888888888891</v>
      </c>
      <c r="O81">
        <v>129</v>
      </c>
      <c r="P81">
        <v>125</v>
      </c>
      <c r="Q81">
        <v>0.94</v>
      </c>
      <c r="R81">
        <v>0</v>
      </c>
      <c r="S81">
        <v>0</v>
      </c>
      <c r="T81">
        <v>0</v>
      </c>
      <c r="U81">
        <v>0</v>
      </c>
      <c r="V81">
        <v>0</v>
      </c>
      <c r="W81" t="s">
        <v>39</v>
      </c>
      <c r="X81" t="s">
        <v>39</v>
      </c>
      <c r="Y81" s="2">
        <v>4.65625E-2</v>
      </c>
      <c r="Z81" s="4">
        <v>0</v>
      </c>
      <c r="AA81">
        <v>0</v>
      </c>
      <c r="AB81" s="4">
        <v>0</v>
      </c>
      <c r="AC81" t="s">
        <v>40</v>
      </c>
      <c r="AD81" t="s">
        <v>139</v>
      </c>
      <c r="AE81">
        <v>15</v>
      </c>
      <c r="AF81">
        <v>0</v>
      </c>
      <c r="AG81" s="2">
        <v>4.3738425925925924E-2</v>
      </c>
      <c r="AH81" s="2">
        <v>4.65625E-2</v>
      </c>
      <c r="AI81">
        <v>9</v>
      </c>
      <c r="AJ81">
        <v>138</v>
      </c>
    </row>
    <row r="82" spans="1:36" x14ac:dyDescent="0.25">
      <c r="A82" t="s">
        <v>45</v>
      </c>
      <c r="B82" s="1">
        <v>44215.273611111108</v>
      </c>
      <c r="C82" t="s">
        <v>37</v>
      </c>
      <c r="D82" t="s">
        <v>141</v>
      </c>
      <c r="E82">
        <v>6.52</v>
      </c>
      <c r="F82">
        <v>353</v>
      </c>
      <c r="G82" s="2">
        <v>3.7141203703703704E-2</v>
      </c>
      <c r="H82">
        <v>147</v>
      </c>
      <c r="I82">
        <v>192</v>
      </c>
      <c r="J82">
        <v>3.9</v>
      </c>
      <c r="K82">
        <v>130</v>
      </c>
      <c r="L82">
        <v>186</v>
      </c>
      <c r="M82" s="4">
        <v>0.34166666666666662</v>
      </c>
      <c r="N82" s="4">
        <v>0.1125</v>
      </c>
      <c r="O82">
        <v>14</v>
      </c>
      <c r="P82">
        <v>16</v>
      </c>
      <c r="Q82">
        <v>0.9</v>
      </c>
      <c r="R82">
        <v>0</v>
      </c>
      <c r="S82">
        <v>0</v>
      </c>
      <c r="T82">
        <v>0</v>
      </c>
      <c r="U82">
        <v>0</v>
      </c>
      <c r="V82">
        <v>0</v>
      </c>
      <c r="W82" t="s">
        <v>39</v>
      </c>
      <c r="X82" t="s">
        <v>39</v>
      </c>
      <c r="Y82" s="3">
        <v>2.2284722222222224</v>
      </c>
      <c r="Z82" s="4">
        <v>0</v>
      </c>
      <c r="AA82">
        <v>0</v>
      </c>
      <c r="AB82" s="4">
        <v>0</v>
      </c>
      <c r="AC82" t="s">
        <v>40</v>
      </c>
      <c r="AD82" t="s">
        <v>139</v>
      </c>
      <c r="AE82">
        <v>15</v>
      </c>
      <c r="AF82">
        <v>0</v>
      </c>
      <c r="AG82" s="2">
        <v>3.5439814814814813E-2</v>
      </c>
      <c r="AH82" s="2">
        <v>3.7141203703703704E-2</v>
      </c>
      <c r="AI82">
        <v>9</v>
      </c>
      <c r="AJ82">
        <v>26</v>
      </c>
    </row>
    <row r="83" spans="1:36" x14ac:dyDescent="0.25">
      <c r="A83" t="s">
        <v>45</v>
      </c>
      <c r="B83" s="1">
        <v>44212.298796296294</v>
      </c>
      <c r="C83" t="s">
        <v>37</v>
      </c>
      <c r="D83" t="s">
        <v>49</v>
      </c>
      <c r="E83">
        <v>5.91</v>
      </c>
      <c r="F83">
        <v>383</v>
      </c>
      <c r="G83" s="2">
        <v>2.6365740740740742E-2</v>
      </c>
      <c r="H83">
        <v>169</v>
      </c>
      <c r="I83">
        <v>184</v>
      </c>
      <c r="J83">
        <v>4.8</v>
      </c>
      <c r="K83">
        <v>150</v>
      </c>
      <c r="L83">
        <v>168</v>
      </c>
      <c r="M83" s="4">
        <v>0.26805555555555555</v>
      </c>
      <c r="N83" s="4">
        <v>0.19930555555555554</v>
      </c>
      <c r="O83">
        <v>67</v>
      </c>
      <c r="P83">
        <v>57</v>
      </c>
      <c r="Q83">
        <v>1.04</v>
      </c>
      <c r="R83">
        <v>0</v>
      </c>
      <c r="S83">
        <v>0</v>
      </c>
      <c r="T83">
        <v>0</v>
      </c>
      <c r="U83">
        <v>0</v>
      </c>
      <c r="V83">
        <v>0</v>
      </c>
      <c r="W83" t="s">
        <v>39</v>
      </c>
      <c r="X83" t="s">
        <v>39</v>
      </c>
      <c r="Y83" s="3">
        <v>1.5819444444444446</v>
      </c>
      <c r="Z83" s="4">
        <v>0</v>
      </c>
      <c r="AA83">
        <v>0</v>
      </c>
      <c r="AB83" s="4">
        <v>0</v>
      </c>
      <c r="AC83" t="s">
        <v>40</v>
      </c>
      <c r="AD83" t="s">
        <v>142</v>
      </c>
      <c r="AE83">
        <v>6</v>
      </c>
      <c r="AF83">
        <v>0</v>
      </c>
      <c r="AG83" s="2">
        <v>2.6354166666666668E-2</v>
      </c>
      <c r="AH83" s="2">
        <v>2.6365740740740742E-2</v>
      </c>
      <c r="AI83">
        <v>22</v>
      </c>
      <c r="AJ83">
        <v>60</v>
      </c>
    </row>
    <row r="84" spans="1:36" x14ac:dyDescent="0.25">
      <c r="A84" t="s">
        <v>45</v>
      </c>
      <c r="B84" s="1">
        <v>44210.275879629633</v>
      </c>
      <c r="C84" t="s">
        <v>37</v>
      </c>
      <c r="D84" t="s">
        <v>49</v>
      </c>
      <c r="E84">
        <v>8.01</v>
      </c>
      <c r="F84">
        <v>521</v>
      </c>
      <c r="G84" s="2">
        <v>3.5555555555555556E-2</v>
      </c>
      <c r="H84">
        <v>172</v>
      </c>
      <c r="I84">
        <v>186</v>
      </c>
      <c r="J84">
        <v>5</v>
      </c>
      <c r="K84">
        <v>149</v>
      </c>
      <c r="L84">
        <v>170</v>
      </c>
      <c r="M84" s="4">
        <v>0.26597222222222222</v>
      </c>
      <c r="N84" s="4">
        <v>0.22708333333333333</v>
      </c>
      <c r="O84">
        <v>44</v>
      </c>
      <c r="P84">
        <v>55</v>
      </c>
      <c r="Q84">
        <v>1.05</v>
      </c>
      <c r="R84">
        <v>0</v>
      </c>
      <c r="S84">
        <v>0</v>
      </c>
      <c r="T84">
        <v>0</v>
      </c>
      <c r="U84">
        <v>0</v>
      </c>
      <c r="V84">
        <v>0</v>
      </c>
      <c r="W84" t="s">
        <v>39</v>
      </c>
      <c r="X84" t="s">
        <v>39</v>
      </c>
      <c r="Y84" s="3">
        <v>2.1333333333333333</v>
      </c>
      <c r="Z84" s="4">
        <v>0</v>
      </c>
      <c r="AA84">
        <v>0</v>
      </c>
      <c r="AB84" s="4">
        <v>0</v>
      </c>
      <c r="AC84" t="s">
        <v>40</v>
      </c>
      <c r="AD84" t="s">
        <v>143</v>
      </c>
      <c r="AE84">
        <v>9</v>
      </c>
      <c r="AF84">
        <v>0</v>
      </c>
      <c r="AG84" s="2">
        <v>3.5370370370370365E-2</v>
      </c>
      <c r="AH84" s="2">
        <v>3.5555555555555556E-2</v>
      </c>
      <c r="AI84">
        <v>9</v>
      </c>
      <c r="AJ84">
        <v>49</v>
      </c>
    </row>
    <row r="85" spans="1:36" x14ac:dyDescent="0.25">
      <c r="A85" t="s">
        <v>45</v>
      </c>
      <c r="B85" s="1">
        <v>44208.297372685185</v>
      </c>
      <c r="C85" t="s">
        <v>37</v>
      </c>
      <c r="D85" t="s">
        <v>49</v>
      </c>
      <c r="E85">
        <v>8.01</v>
      </c>
      <c r="F85">
        <v>550</v>
      </c>
      <c r="G85" s="2">
        <v>3.5694444444444445E-2</v>
      </c>
      <c r="H85">
        <v>177</v>
      </c>
      <c r="I85">
        <v>195</v>
      </c>
      <c r="J85">
        <v>5</v>
      </c>
      <c r="K85">
        <v>147</v>
      </c>
      <c r="L85">
        <v>170</v>
      </c>
      <c r="M85" s="4">
        <v>0.2673611111111111</v>
      </c>
      <c r="N85" s="4">
        <v>0.21666666666666667</v>
      </c>
      <c r="O85">
        <v>76</v>
      </c>
      <c r="P85">
        <v>83</v>
      </c>
      <c r="Q85">
        <v>1.06</v>
      </c>
      <c r="R85">
        <v>0</v>
      </c>
      <c r="S85">
        <v>0</v>
      </c>
      <c r="T85">
        <v>0</v>
      </c>
      <c r="U85">
        <v>0</v>
      </c>
      <c r="V85">
        <v>0</v>
      </c>
      <c r="W85" t="s">
        <v>39</v>
      </c>
      <c r="X85" t="s">
        <v>39</v>
      </c>
      <c r="Y85" s="3">
        <v>2.1416666666666666</v>
      </c>
      <c r="Z85" s="4">
        <v>0</v>
      </c>
      <c r="AA85">
        <v>0</v>
      </c>
      <c r="AB85" s="4">
        <v>0</v>
      </c>
      <c r="AC85" t="s">
        <v>40</v>
      </c>
      <c r="AD85" t="s">
        <v>144</v>
      </c>
      <c r="AE85">
        <v>9</v>
      </c>
      <c r="AF85">
        <v>0</v>
      </c>
      <c r="AG85" s="2">
        <v>3.5671296296296298E-2</v>
      </c>
      <c r="AH85" s="2">
        <v>3.5694444444444445E-2</v>
      </c>
      <c r="AI85">
        <v>17</v>
      </c>
      <c r="AJ85">
        <v>51</v>
      </c>
    </row>
    <row r="86" spans="1:36" x14ac:dyDescent="0.25">
      <c r="A86" t="s">
        <v>45</v>
      </c>
      <c r="B86" s="1">
        <v>44196.420983796299</v>
      </c>
      <c r="C86" t="s">
        <v>37</v>
      </c>
      <c r="D86" t="s">
        <v>45</v>
      </c>
      <c r="E86">
        <v>8.01</v>
      </c>
      <c r="F86">
        <v>601</v>
      </c>
      <c r="G86" s="2">
        <v>3.3680555555555554E-2</v>
      </c>
      <c r="H86" t="s">
        <v>39</v>
      </c>
      <c r="I86" t="s">
        <v>39</v>
      </c>
      <c r="J86" t="s">
        <v>39</v>
      </c>
      <c r="K86">
        <v>156</v>
      </c>
      <c r="L86">
        <v>164</v>
      </c>
      <c r="M86" s="4">
        <v>0.25208333333333333</v>
      </c>
      <c r="N86" s="4">
        <v>0.2076388888888889</v>
      </c>
      <c r="O86" t="s">
        <v>39</v>
      </c>
      <c r="P86" t="s">
        <v>39</v>
      </c>
      <c r="Q86">
        <v>1.06</v>
      </c>
      <c r="R86">
        <v>0</v>
      </c>
      <c r="S86">
        <v>0</v>
      </c>
      <c r="T86">
        <v>0</v>
      </c>
      <c r="U86">
        <v>0</v>
      </c>
      <c r="V86">
        <v>0</v>
      </c>
      <c r="W86" t="s">
        <v>39</v>
      </c>
      <c r="X86" t="s">
        <v>39</v>
      </c>
      <c r="Y86" s="3">
        <v>2.0208333333333335</v>
      </c>
      <c r="Z86" s="4">
        <v>0</v>
      </c>
      <c r="AA86">
        <v>0</v>
      </c>
      <c r="AB86" s="4">
        <v>0</v>
      </c>
      <c r="AC86" t="s">
        <v>40</v>
      </c>
      <c r="AD86" t="s">
        <v>145</v>
      </c>
      <c r="AE86">
        <v>9</v>
      </c>
      <c r="AF86">
        <v>0</v>
      </c>
      <c r="AG86" s="2">
        <v>3.3657407407407407E-2</v>
      </c>
      <c r="AH86" s="2">
        <v>3.3680555555555554E-2</v>
      </c>
      <c r="AI86" t="s">
        <v>39</v>
      </c>
      <c r="AJ86" t="s">
        <v>39</v>
      </c>
    </row>
    <row r="87" spans="1:36" x14ac:dyDescent="0.25">
      <c r="A87" t="s">
        <v>45</v>
      </c>
      <c r="B87" s="1">
        <v>44191.28707175926</v>
      </c>
      <c r="C87" t="s">
        <v>37</v>
      </c>
      <c r="D87" t="s">
        <v>45</v>
      </c>
      <c r="E87">
        <v>12.01</v>
      </c>
      <c r="F87">
        <v>900</v>
      </c>
      <c r="G87" s="2">
        <v>5.1527777777777777E-2</v>
      </c>
      <c r="H87" t="s">
        <v>39</v>
      </c>
      <c r="I87" t="s">
        <v>39</v>
      </c>
      <c r="J87" t="s">
        <v>39</v>
      </c>
      <c r="K87">
        <v>153</v>
      </c>
      <c r="L87">
        <v>164</v>
      </c>
      <c r="M87" s="4">
        <v>0.25763888888888892</v>
      </c>
      <c r="N87" s="4">
        <v>0.21041666666666667</v>
      </c>
      <c r="O87" t="s">
        <v>39</v>
      </c>
      <c r="P87" t="s">
        <v>39</v>
      </c>
      <c r="Q87">
        <v>1.06</v>
      </c>
      <c r="R87">
        <v>0</v>
      </c>
      <c r="S87">
        <v>0</v>
      </c>
      <c r="T87">
        <v>0</v>
      </c>
      <c r="U87">
        <v>0</v>
      </c>
      <c r="V87">
        <v>0</v>
      </c>
      <c r="W87" t="s">
        <v>39</v>
      </c>
      <c r="X87" t="s">
        <v>39</v>
      </c>
      <c r="Y87" s="2">
        <v>5.1527777777777777E-2</v>
      </c>
      <c r="Z87" s="4">
        <v>0</v>
      </c>
      <c r="AA87">
        <v>0</v>
      </c>
      <c r="AB87" s="4">
        <v>0</v>
      </c>
      <c r="AC87" t="s">
        <v>40</v>
      </c>
      <c r="AD87" t="s">
        <v>146</v>
      </c>
      <c r="AE87">
        <v>13</v>
      </c>
      <c r="AF87">
        <v>0</v>
      </c>
      <c r="AG87" s="2">
        <v>5.1504629629629629E-2</v>
      </c>
      <c r="AH87" s="2">
        <v>5.1527777777777777E-2</v>
      </c>
      <c r="AI87" t="s">
        <v>39</v>
      </c>
      <c r="AJ87" t="s">
        <v>39</v>
      </c>
    </row>
    <row r="88" spans="1:36" x14ac:dyDescent="0.25">
      <c r="A88" t="s">
        <v>45</v>
      </c>
      <c r="B88" s="1">
        <v>44187.276122685187</v>
      </c>
      <c r="C88" t="s">
        <v>37</v>
      </c>
      <c r="D88" t="s">
        <v>82</v>
      </c>
      <c r="E88">
        <v>8.4499999999999993</v>
      </c>
      <c r="F88">
        <v>585</v>
      </c>
      <c r="G88" s="2">
        <v>4.6689814814814816E-2</v>
      </c>
      <c r="H88" t="s">
        <v>39</v>
      </c>
      <c r="I88" t="s">
        <v>39</v>
      </c>
      <c r="J88" t="s">
        <v>39</v>
      </c>
      <c r="K88">
        <v>126</v>
      </c>
      <c r="L88">
        <v>181</v>
      </c>
      <c r="M88" s="4">
        <v>0.33124999999999999</v>
      </c>
      <c r="N88" s="4">
        <v>0.15347222222222223</v>
      </c>
      <c r="O88">
        <v>13</v>
      </c>
      <c r="P88">
        <v>17</v>
      </c>
      <c r="Q88">
        <v>0.98</v>
      </c>
      <c r="R88">
        <v>0</v>
      </c>
      <c r="S88">
        <v>0</v>
      </c>
      <c r="T88">
        <v>0</v>
      </c>
      <c r="U88">
        <v>0</v>
      </c>
      <c r="V88">
        <v>0</v>
      </c>
      <c r="W88" t="s">
        <v>39</v>
      </c>
      <c r="X88" t="s">
        <v>39</v>
      </c>
      <c r="Y88" s="2">
        <v>4.6689814814814816E-2</v>
      </c>
      <c r="Z88" s="4">
        <v>0</v>
      </c>
      <c r="AA88">
        <v>0</v>
      </c>
      <c r="AB88" s="4">
        <v>0</v>
      </c>
      <c r="AC88" t="s">
        <v>40</v>
      </c>
      <c r="AD88" t="s">
        <v>147</v>
      </c>
      <c r="AE88">
        <v>23</v>
      </c>
      <c r="AF88">
        <v>0</v>
      </c>
      <c r="AG88" s="2">
        <v>4.0856481481481487E-2</v>
      </c>
      <c r="AH88" s="2">
        <v>4.6689814814814816E-2</v>
      </c>
      <c r="AI88">
        <v>12</v>
      </c>
      <c r="AJ88">
        <v>29</v>
      </c>
    </row>
    <row r="89" spans="1:36" x14ac:dyDescent="0.25">
      <c r="A89" t="s">
        <v>45</v>
      </c>
      <c r="B89" s="1">
        <v>44185.867199074077</v>
      </c>
      <c r="C89" t="s">
        <v>37</v>
      </c>
      <c r="D89" t="s">
        <v>45</v>
      </c>
      <c r="E89">
        <v>3.01</v>
      </c>
      <c r="F89">
        <v>156</v>
      </c>
      <c r="G89" s="2">
        <v>2.4074074074074071E-2</v>
      </c>
      <c r="H89" t="s">
        <v>39</v>
      </c>
      <c r="I89" t="s">
        <v>39</v>
      </c>
      <c r="J89" t="s">
        <v>39</v>
      </c>
      <c r="K89">
        <v>112</v>
      </c>
      <c r="L89">
        <v>130</v>
      </c>
      <c r="M89" s="4">
        <v>0.47986111111111113</v>
      </c>
      <c r="N89" s="4">
        <v>0.39583333333333331</v>
      </c>
      <c r="O89" t="s">
        <v>39</v>
      </c>
      <c r="P89" t="s">
        <v>39</v>
      </c>
      <c r="Q89">
        <v>0.78</v>
      </c>
      <c r="R89">
        <v>0</v>
      </c>
      <c r="S89">
        <v>0</v>
      </c>
      <c r="T89">
        <v>0</v>
      </c>
      <c r="U89">
        <v>0</v>
      </c>
      <c r="V89">
        <v>0</v>
      </c>
      <c r="W89" t="s">
        <v>39</v>
      </c>
      <c r="X89" t="s">
        <v>39</v>
      </c>
      <c r="Y89" s="3">
        <v>1.4444444444444444</v>
      </c>
      <c r="Z89" s="4">
        <v>0</v>
      </c>
      <c r="AA89">
        <v>0</v>
      </c>
      <c r="AB89" s="4">
        <v>0</v>
      </c>
      <c r="AC89" t="s">
        <v>40</v>
      </c>
      <c r="AD89" t="s">
        <v>148</v>
      </c>
      <c r="AE89">
        <v>4</v>
      </c>
      <c r="AF89">
        <v>0</v>
      </c>
      <c r="AG89" s="2">
        <v>2.4074074074074071E-2</v>
      </c>
      <c r="AH89" s="2">
        <v>2.4074074074074071E-2</v>
      </c>
      <c r="AI89" t="s">
        <v>39</v>
      </c>
      <c r="AJ89" t="s">
        <v>39</v>
      </c>
    </row>
    <row r="90" spans="1:36" x14ac:dyDescent="0.25">
      <c r="A90" t="s">
        <v>45</v>
      </c>
      <c r="B90" s="1">
        <v>44182.276307870372</v>
      </c>
      <c r="C90" t="s">
        <v>37</v>
      </c>
      <c r="D90" t="s">
        <v>149</v>
      </c>
      <c r="E90">
        <v>7.42</v>
      </c>
      <c r="F90">
        <v>515</v>
      </c>
      <c r="G90" s="2">
        <v>3.6793981481481483E-2</v>
      </c>
      <c r="H90" t="s">
        <v>39</v>
      </c>
      <c r="I90" t="s">
        <v>39</v>
      </c>
      <c r="J90" t="s">
        <v>39</v>
      </c>
      <c r="K90">
        <v>138</v>
      </c>
      <c r="L90">
        <v>240</v>
      </c>
      <c r="M90" s="4">
        <v>0.29722222222222222</v>
      </c>
      <c r="N90" s="4">
        <v>0.15555555555555556</v>
      </c>
      <c r="O90">
        <v>15</v>
      </c>
      <c r="P90">
        <v>17</v>
      </c>
      <c r="Q90">
        <v>0.98</v>
      </c>
      <c r="R90">
        <v>0</v>
      </c>
      <c r="S90">
        <v>0</v>
      </c>
      <c r="T90">
        <v>0</v>
      </c>
      <c r="U90">
        <v>0</v>
      </c>
      <c r="V90">
        <v>0</v>
      </c>
      <c r="W90" t="s">
        <v>39</v>
      </c>
      <c r="X90" t="s">
        <v>39</v>
      </c>
      <c r="Y90" s="3">
        <v>2.2076388888888889</v>
      </c>
      <c r="Z90" s="4">
        <v>0</v>
      </c>
      <c r="AA90">
        <v>0</v>
      </c>
      <c r="AB90" s="4">
        <v>0</v>
      </c>
      <c r="AC90" t="s">
        <v>40</v>
      </c>
      <c r="AD90" t="s">
        <v>150</v>
      </c>
      <c r="AE90">
        <v>18</v>
      </c>
      <c r="AF90">
        <v>0</v>
      </c>
      <c r="AG90" s="2">
        <v>3.6747685185185182E-2</v>
      </c>
      <c r="AH90" s="2">
        <v>3.6793981481481483E-2</v>
      </c>
      <c r="AI90">
        <v>12</v>
      </c>
      <c r="AJ90">
        <v>29</v>
      </c>
    </row>
    <row r="91" spans="1:36" x14ac:dyDescent="0.25">
      <c r="A91" t="s">
        <v>45</v>
      </c>
      <c r="B91" s="1">
        <v>44180.269803240742</v>
      </c>
      <c r="C91" t="s">
        <v>37</v>
      </c>
      <c r="D91" t="s">
        <v>45</v>
      </c>
      <c r="E91">
        <v>8</v>
      </c>
      <c r="F91">
        <v>565</v>
      </c>
      <c r="G91" s="2">
        <v>4.0428240740740744E-2</v>
      </c>
      <c r="H91" t="s">
        <v>39</v>
      </c>
      <c r="I91" t="s">
        <v>39</v>
      </c>
      <c r="J91" t="s">
        <v>39</v>
      </c>
      <c r="K91">
        <v>133</v>
      </c>
      <c r="L91">
        <v>164</v>
      </c>
      <c r="M91" s="4">
        <v>0.30277777777777776</v>
      </c>
      <c r="N91" s="4">
        <v>0.2298611111111111</v>
      </c>
      <c r="O91" t="s">
        <v>39</v>
      </c>
      <c r="P91" t="s">
        <v>39</v>
      </c>
      <c r="Q91">
        <v>1.02</v>
      </c>
      <c r="R91">
        <v>0</v>
      </c>
      <c r="S91">
        <v>0</v>
      </c>
      <c r="T91">
        <v>0</v>
      </c>
      <c r="U91">
        <v>0</v>
      </c>
      <c r="V91">
        <v>0</v>
      </c>
      <c r="W91" t="s">
        <v>39</v>
      </c>
      <c r="X91" t="s">
        <v>39</v>
      </c>
      <c r="Y91" s="3">
        <v>2.4256944444444444</v>
      </c>
      <c r="Z91" s="4">
        <v>0</v>
      </c>
      <c r="AA91">
        <v>0</v>
      </c>
      <c r="AB91" s="4">
        <v>0</v>
      </c>
      <c r="AC91" t="s">
        <v>40</v>
      </c>
      <c r="AD91" t="s">
        <v>151</v>
      </c>
      <c r="AE91">
        <v>9</v>
      </c>
      <c r="AF91">
        <v>0</v>
      </c>
      <c r="AG91" s="2">
        <v>4.040509259259259E-2</v>
      </c>
      <c r="AH91" s="2">
        <v>4.0428240740740744E-2</v>
      </c>
      <c r="AI91" t="s">
        <v>39</v>
      </c>
      <c r="AJ91" t="s">
        <v>39</v>
      </c>
    </row>
    <row r="92" spans="1:36" x14ac:dyDescent="0.25">
      <c r="A92" t="s">
        <v>45</v>
      </c>
      <c r="B92" s="1">
        <v>44178.307615740741</v>
      </c>
      <c r="C92" t="s">
        <v>37</v>
      </c>
      <c r="D92" t="s">
        <v>135</v>
      </c>
      <c r="E92">
        <v>13.44</v>
      </c>
      <c r="F92">
        <v>885</v>
      </c>
      <c r="G92" s="2">
        <v>7.7974537037037037E-2</v>
      </c>
      <c r="H92" t="s">
        <v>39</v>
      </c>
      <c r="I92" t="s">
        <v>39</v>
      </c>
      <c r="J92" t="s">
        <v>39</v>
      </c>
      <c r="K92">
        <v>127</v>
      </c>
      <c r="L92">
        <v>246</v>
      </c>
      <c r="M92" s="4">
        <v>0.34791666666666665</v>
      </c>
      <c r="N92" s="4">
        <v>0.1125</v>
      </c>
      <c r="O92">
        <v>449</v>
      </c>
      <c r="P92">
        <v>496</v>
      </c>
      <c r="Q92">
        <v>0.94</v>
      </c>
      <c r="R92">
        <v>0</v>
      </c>
      <c r="S92">
        <v>0</v>
      </c>
      <c r="T92">
        <v>0</v>
      </c>
      <c r="U92">
        <v>0</v>
      </c>
      <c r="V92">
        <v>0</v>
      </c>
      <c r="W92" t="s">
        <v>39</v>
      </c>
      <c r="X92" t="s">
        <v>39</v>
      </c>
      <c r="Y92" s="2">
        <v>7.7974537037037037E-2</v>
      </c>
      <c r="Z92" s="4">
        <v>0</v>
      </c>
      <c r="AA92">
        <v>0</v>
      </c>
      <c r="AB92" s="4">
        <v>0</v>
      </c>
      <c r="AC92" t="s">
        <v>40</v>
      </c>
      <c r="AD92" t="s">
        <v>152</v>
      </c>
      <c r="AE92">
        <v>14</v>
      </c>
      <c r="AF92">
        <v>0</v>
      </c>
      <c r="AG92" s="2">
        <v>7.5451388888888887E-2</v>
      </c>
      <c r="AH92" s="2">
        <v>7.7974537037037037E-2</v>
      </c>
      <c r="AI92">
        <v>90</v>
      </c>
      <c r="AJ92">
        <v>374</v>
      </c>
    </row>
    <row r="93" spans="1:36" x14ac:dyDescent="0.25">
      <c r="A93" t="s">
        <v>45</v>
      </c>
      <c r="B93" s="1">
        <v>44175.280069444445</v>
      </c>
      <c r="C93" t="s">
        <v>37</v>
      </c>
      <c r="D93" t="s">
        <v>49</v>
      </c>
      <c r="E93">
        <v>7.34</v>
      </c>
      <c r="F93">
        <v>505</v>
      </c>
      <c r="G93" s="2">
        <v>3.7499999999999999E-2</v>
      </c>
      <c r="H93" t="s">
        <v>39</v>
      </c>
      <c r="I93" t="s">
        <v>39</v>
      </c>
      <c r="J93" t="s">
        <v>39</v>
      </c>
      <c r="K93">
        <v>139</v>
      </c>
      <c r="L93">
        <v>175</v>
      </c>
      <c r="M93" s="4">
        <v>0.30694444444444441</v>
      </c>
      <c r="N93" s="4">
        <v>0.15416666666666667</v>
      </c>
      <c r="O93">
        <v>19</v>
      </c>
      <c r="P93">
        <v>21</v>
      </c>
      <c r="Q93">
        <v>0.95</v>
      </c>
      <c r="R93">
        <v>0</v>
      </c>
      <c r="S93">
        <v>0</v>
      </c>
      <c r="T93">
        <v>0</v>
      </c>
      <c r="U93">
        <v>0</v>
      </c>
      <c r="V93">
        <v>0</v>
      </c>
      <c r="W93" t="s">
        <v>39</v>
      </c>
      <c r="X93" t="s">
        <v>39</v>
      </c>
      <c r="Y93" s="3">
        <v>2.25</v>
      </c>
      <c r="Z93" s="4">
        <v>0</v>
      </c>
      <c r="AA93">
        <v>0</v>
      </c>
      <c r="AB93" s="4">
        <v>0</v>
      </c>
      <c r="AC93" t="s">
        <v>40</v>
      </c>
      <c r="AD93" t="s">
        <v>153</v>
      </c>
      <c r="AE93">
        <v>3</v>
      </c>
      <c r="AF93">
        <v>0</v>
      </c>
      <c r="AG93" s="2">
        <v>3.7499999999999999E-2</v>
      </c>
      <c r="AH93" s="2">
        <v>3.7499999999999999E-2</v>
      </c>
      <c r="AI93">
        <v>12</v>
      </c>
      <c r="AJ93">
        <v>28</v>
      </c>
    </row>
    <row r="94" spans="1:36" x14ac:dyDescent="0.25">
      <c r="A94" t="s">
        <v>45</v>
      </c>
      <c r="B94" s="1">
        <v>44173.273657407408</v>
      </c>
      <c r="C94" t="s">
        <v>37</v>
      </c>
      <c r="D94" t="s">
        <v>49</v>
      </c>
      <c r="E94">
        <v>7.38</v>
      </c>
      <c r="F94">
        <v>496</v>
      </c>
      <c r="G94" s="2">
        <v>3.6655092592592593E-2</v>
      </c>
      <c r="H94" t="s">
        <v>39</v>
      </c>
      <c r="I94" t="s">
        <v>39</v>
      </c>
      <c r="J94" t="s">
        <v>39</v>
      </c>
      <c r="K94">
        <v>139</v>
      </c>
      <c r="L94">
        <v>173</v>
      </c>
      <c r="M94" s="4">
        <v>0.29791666666666666</v>
      </c>
      <c r="N94" s="4">
        <v>0.15347222222222223</v>
      </c>
      <c r="O94">
        <v>15</v>
      </c>
      <c r="P94">
        <v>17</v>
      </c>
      <c r="Q94">
        <v>0.97</v>
      </c>
      <c r="R94">
        <v>0</v>
      </c>
      <c r="S94">
        <v>0</v>
      </c>
      <c r="T94">
        <v>0</v>
      </c>
      <c r="U94">
        <v>0</v>
      </c>
      <c r="V94">
        <v>0</v>
      </c>
      <c r="W94" t="s">
        <v>39</v>
      </c>
      <c r="X94" t="s">
        <v>39</v>
      </c>
      <c r="Y94" s="3">
        <v>2.1993055555555556</v>
      </c>
      <c r="Z94" s="4">
        <v>0</v>
      </c>
      <c r="AA94">
        <v>0</v>
      </c>
      <c r="AB94" s="4">
        <v>0</v>
      </c>
      <c r="AC94" t="s">
        <v>40</v>
      </c>
      <c r="AD94" t="s">
        <v>147</v>
      </c>
      <c r="AE94">
        <v>8</v>
      </c>
      <c r="AF94">
        <v>0</v>
      </c>
      <c r="AG94" s="2">
        <v>3.6400462962962961E-2</v>
      </c>
      <c r="AH94" s="2">
        <v>3.7060185185185189E-2</v>
      </c>
      <c r="AI94">
        <v>12</v>
      </c>
      <c r="AJ94">
        <v>29</v>
      </c>
    </row>
    <row r="95" spans="1:36" x14ac:dyDescent="0.25">
      <c r="A95" t="s">
        <v>45</v>
      </c>
      <c r="B95" s="1">
        <v>44170.297951388886</v>
      </c>
      <c r="C95" t="s">
        <v>37</v>
      </c>
      <c r="D95" t="s">
        <v>49</v>
      </c>
      <c r="E95">
        <v>7.54</v>
      </c>
      <c r="F95">
        <v>536</v>
      </c>
      <c r="G95" s="2">
        <v>3.5474537037037041E-2</v>
      </c>
      <c r="H95" t="s">
        <v>39</v>
      </c>
      <c r="I95" t="s">
        <v>39</v>
      </c>
      <c r="J95" t="s">
        <v>39</v>
      </c>
      <c r="K95">
        <v>134</v>
      </c>
      <c r="L95">
        <v>246</v>
      </c>
      <c r="M95" s="4">
        <v>0.28194444444444444</v>
      </c>
      <c r="N95" s="4">
        <v>0.17916666666666667</v>
      </c>
      <c r="O95">
        <v>22</v>
      </c>
      <c r="P95">
        <v>27</v>
      </c>
      <c r="Q95">
        <v>1.2</v>
      </c>
      <c r="R95">
        <v>0</v>
      </c>
      <c r="S95">
        <v>0</v>
      </c>
      <c r="T95">
        <v>0</v>
      </c>
      <c r="U95">
        <v>0</v>
      </c>
      <c r="V95">
        <v>0</v>
      </c>
      <c r="W95" t="s">
        <v>39</v>
      </c>
      <c r="X95" t="s">
        <v>39</v>
      </c>
      <c r="Y95" s="3">
        <v>2.1284722222222223</v>
      </c>
      <c r="Z95" s="4">
        <v>0</v>
      </c>
      <c r="AA95">
        <v>0</v>
      </c>
      <c r="AB95" s="4">
        <v>0</v>
      </c>
      <c r="AC95" t="s">
        <v>40</v>
      </c>
      <c r="AD95" t="s">
        <v>154</v>
      </c>
      <c r="AE95">
        <v>8</v>
      </c>
      <c r="AF95">
        <v>0</v>
      </c>
      <c r="AG95" s="2">
        <v>3.0601851851851852E-2</v>
      </c>
      <c r="AH95" s="2">
        <v>3.5798611111111107E-2</v>
      </c>
      <c r="AI95">
        <v>12</v>
      </c>
      <c r="AJ95">
        <v>30</v>
      </c>
    </row>
    <row r="96" spans="1:36" x14ac:dyDescent="0.25">
      <c r="A96" t="s">
        <v>45</v>
      </c>
      <c r="B96" s="1">
        <v>44166.773888888885</v>
      </c>
      <c r="C96" t="s">
        <v>37</v>
      </c>
      <c r="D96" t="s">
        <v>45</v>
      </c>
      <c r="E96">
        <v>6.79</v>
      </c>
      <c r="F96">
        <v>494</v>
      </c>
      <c r="G96" s="2">
        <v>2.78125E-2</v>
      </c>
      <c r="H96" t="s">
        <v>39</v>
      </c>
      <c r="I96" t="s">
        <v>39</v>
      </c>
      <c r="J96" t="s">
        <v>39</v>
      </c>
      <c r="K96">
        <v>155</v>
      </c>
      <c r="L96">
        <v>161</v>
      </c>
      <c r="M96" s="4">
        <v>0.24583333333333335</v>
      </c>
      <c r="N96" s="4">
        <v>0.22152777777777777</v>
      </c>
      <c r="O96" t="s">
        <v>39</v>
      </c>
      <c r="P96" t="s">
        <v>39</v>
      </c>
      <c r="Q96">
        <v>1.0900000000000001</v>
      </c>
      <c r="R96">
        <v>0</v>
      </c>
      <c r="S96">
        <v>0</v>
      </c>
      <c r="T96">
        <v>0</v>
      </c>
      <c r="U96">
        <v>0</v>
      </c>
      <c r="V96">
        <v>0</v>
      </c>
      <c r="W96" t="s">
        <v>39</v>
      </c>
      <c r="X96" t="s">
        <v>39</v>
      </c>
      <c r="Y96" s="3">
        <v>1.66875</v>
      </c>
      <c r="Z96" s="4">
        <v>0</v>
      </c>
      <c r="AA96">
        <v>0</v>
      </c>
      <c r="AB96" s="4">
        <v>0</v>
      </c>
      <c r="AC96" t="s">
        <v>40</v>
      </c>
      <c r="AD96" t="s">
        <v>155</v>
      </c>
      <c r="AE96">
        <v>7</v>
      </c>
      <c r="AF96">
        <v>0</v>
      </c>
      <c r="AG96" s="2">
        <v>2.7800925925925923E-2</v>
      </c>
      <c r="AH96" s="2">
        <v>2.78125E-2</v>
      </c>
      <c r="AI96" t="s">
        <v>39</v>
      </c>
      <c r="AJ96" t="s">
        <v>39</v>
      </c>
    </row>
    <row r="97" spans="1:36" x14ac:dyDescent="0.25">
      <c r="A97" t="s">
        <v>45</v>
      </c>
      <c r="B97" s="1">
        <v>44163.25712962963</v>
      </c>
      <c r="C97" t="s">
        <v>37</v>
      </c>
      <c r="D97" t="s">
        <v>125</v>
      </c>
      <c r="E97">
        <v>22.01</v>
      </c>
      <c r="F97" s="5">
        <v>1437</v>
      </c>
      <c r="G97" s="2">
        <v>0.11844907407407408</v>
      </c>
      <c r="H97" t="s">
        <v>39</v>
      </c>
      <c r="I97" t="s">
        <v>39</v>
      </c>
      <c r="J97" t="s">
        <v>39</v>
      </c>
      <c r="K97">
        <v>124</v>
      </c>
      <c r="L97">
        <v>182</v>
      </c>
      <c r="M97" s="4">
        <v>0.32291666666666669</v>
      </c>
      <c r="N97" s="4">
        <v>0.18055555555555555</v>
      </c>
      <c r="O97">
        <v>858</v>
      </c>
      <c r="P97">
        <v>861</v>
      </c>
      <c r="Q97">
        <v>1.04</v>
      </c>
      <c r="R97">
        <v>0</v>
      </c>
      <c r="S97">
        <v>0</v>
      </c>
      <c r="T97">
        <v>0</v>
      </c>
      <c r="U97">
        <v>0</v>
      </c>
      <c r="V97">
        <v>0</v>
      </c>
      <c r="W97" t="s">
        <v>39</v>
      </c>
      <c r="X97" t="s">
        <v>39</v>
      </c>
      <c r="Y97" s="2">
        <v>0.11844907407407408</v>
      </c>
      <c r="Z97" s="4">
        <v>0</v>
      </c>
      <c r="AA97">
        <v>0</v>
      </c>
      <c r="AB97" s="4">
        <v>0</v>
      </c>
      <c r="AC97" t="s">
        <v>40</v>
      </c>
      <c r="AD97" t="s">
        <v>156</v>
      </c>
      <c r="AE97">
        <v>23</v>
      </c>
      <c r="AF97">
        <v>0</v>
      </c>
      <c r="AG97" s="2">
        <v>0.11761574074074073</v>
      </c>
      <c r="AH97" s="2">
        <v>0.11844907407407408</v>
      </c>
      <c r="AI97">
        <v>209</v>
      </c>
      <c r="AJ97">
        <v>514</v>
      </c>
    </row>
    <row r="98" spans="1:36" x14ac:dyDescent="0.25">
      <c r="A98" t="s">
        <v>45</v>
      </c>
      <c r="B98" s="1">
        <v>44161.268576388888</v>
      </c>
      <c r="C98" t="s">
        <v>37</v>
      </c>
      <c r="D98" t="s">
        <v>49</v>
      </c>
      <c r="E98">
        <v>10.119999999999999</v>
      </c>
      <c r="F98">
        <v>728</v>
      </c>
      <c r="G98" s="2">
        <v>4.3124999999999997E-2</v>
      </c>
      <c r="H98" t="s">
        <v>39</v>
      </c>
      <c r="I98" t="s">
        <v>39</v>
      </c>
      <c r="J98" t="s">
        <v>39</v>
      </c>
      <c r="K98">
        <v>158</v>
      </c>
      <c r="L98">
        <v>171</v>
      </c>
      <c r="M98" s="4">
        <v>0.25555555555555559</v>
      </c>
      <c r="N98" s="4">
        <v>0.2076388888888889</v>
      </c>
      <c r="O98">
        <v>45</v>
      </c>
      <c r="P98">
        <v>50</v>
      </c>
      <c r="Q98">
        <v>1.03</v>
      </c>
      <c r="R98">
        <v>0</v>
      </c>
      <c r="S98">
        <v>0</v>
      </c>
      <c r="T98">
        <v>0</v>
      </c>
      <c r="U98">
        <v>0</v>
      </c>
      <c r="V98">
        <v>0</v>
      </c>
      <c r="W98" t="s">
        <v>39</v>
      </c>
      <c r="X98" t="s">
        <v>39</v>
      </c>
      <c r="Y98" s="2">
        <v>4.3124999999999997E-2</v>
      </c>
      <c r="Z98" s="4">
        <v>0</v>
      </c>
      <c r="AA98">
        <v>0</v>
      </c>
      <c r="AB98" s="4">
        <v>0</v>
      </c>
      <c r="AC98" t="s">
        <v>40</v>
      </c>
      <c r="AD98" t="s">
        <v>157</v>
      </c>
      <c r="AE98">
        <v>11</v>
      </c>
      <c r="AF98">
        <v>0</v>
      </c>
      <c r="AG98" s="2">
        <v>4.3101851851851856E-2</v>
      </c>
      <c r="AH98" s="2">
        <v>4.3124999999999997E-2</v>
      </c>
      <c r="AI98">
        <v>12</v>
      </c>
      <c r="AJ98">
        <v>41</v>
      </c>
    </row>
    <row r="99" spans="1:36" x14ac:dyDescent="0.25">
      <c r="A99" t="s">
        <v>45</v>
      </c>
      <c r="B99" s="1">
        <v>44159.285590277781</v>
      </c>
      <c r="C99" t="s">
        <v>37</v>
      </c>
      <c r="D99" t="s">
        <v>49</v>
      </c>
      <c r="E99">
        <v>10.43</v>
      </c>
      <c r="F99">
        <v>700</v>
      </c>
      <c r="G99" s="2">
        <v>5.0833333333333335E-2</v>
      </c>
      <c r="H99" t="s">
        <v>39</v>
      </c>
      <c r="I99" t="s">
        <v>39</v>
      </c>
      <c r="J99" t="s">
        <v>39</v>
      </c>
      <c r="K99">
        <v>134</v>
      </c>
      <c r="L99">
        <v>173</v>
      </c>
      <c r="M99" s="4">
        <v>0.29236111111111113</v>
      </c>
      <c r="N99" s="4">
        <v>0.16597222222222222</v>
      </c>
      <c r="O99">
        <v>32</v>
      </c>
      <c r="P99">
        <v>35</v>
      </c>
      <c r="Q99">
        <v>1.02</v>
      </c>
      <c r="R99">
        <v>0</v>
      </c>
      <c r="S99">
        <v>0</v>
      </c>
      <c r="T99">
        <v>0</v>
      </c>
      <c r="U99">
        <v>0</v>
      </c>
      <c r="V99">
        <v>0</v>
      </c>
      <c r="W99" t="s">
        <v>39</v>
      </c>
      <c r="X99" t="s">
        <v>39</v>
      </c>
      <c r="Y99" s="2">
        <v>5.0833333333333335E-2</v>
      </c>
      <c r="Z99" s="4">
        <v>0</v>
      </c>
      <c r="AA99">
        <v>0</v>
      </c>
      <c r="AB99" s="4">
        <v>0</v>
      </c>
      <c r="AC99" t="s">
        <v>40</v>
      </c>
      <c r="AD99" t="s">
        <v>147</v>
      </c>
      <c r="AE99">
        <v>26</v>
      </c>
      <c r="AF99">
        <v>0</v>
      </c>
      <c r="AG99" s="2">
        <v>4.8854166666666664E-2</v>
      </c>
      <c r="AH99" s="2">
        <v>5.0833333333333335E-2</v>
      </c>
      <c r="AI99">
        <v>12</v>
      </c>
      <c r="AJ99">
        <v>28</v>
      </c>
    </row>
    <row r="100" spans="1:36" x14ac:dyDescent="0.25">
      <c r="A100" t="s">
        <v>45</v>
      </c>
      <c r="B100" s="1">
        <v>44156.31354166667</v>
      </c>
      <c r="C100" t="s">
        <v>37</v>
      </c>
      <c r="D100" t="s">
        <v>49</v>
      </c>
      <c r="E100">
        <v>10.01</v>
      </c>
      <c r="F100">
        <v>694</v>
      </c>
      <c r="G100" s="2">
        <v>4.4108796296296299E-2</v>
      </c>
      <c r="H100" t="s">
        <v>39</v>
      </c>
      <c r="I100" t="s">
        <v>39</v>
      </c>
      <c r="J100" t="s">
        <v>39</v>
      </c>
      <c r="K100">
        <v>151</v>
      </c>
      <c r="L100">
        <v>168</v>
      </c>
      <c r="M100" s="4">
        <v>0.26458333333333334</v>
      </c>
      <c r="N100" s="4">
        <v>0.17222222222222225</v>
      </c>
      <c r="O100">
        <v>143</v>
      </c>
      <c r="P100">
        <v>144</v>
      </c>
      <c r="Q100">
        <v>1.04</v>
      </c>
      <c r="R100">
        <v>0</v>
      </c>
      <c r="S100">
        <v>0</v>
      </c>
      <c r="T100">
        <v>0</v>
      </c>
      <c r="U100">
        <v>0</v>
      </c>
      <c r="V100">
        <v>0</v>
      </c>
      <c r="W100" t="s">
        <v>39</v>
      </c>
      <c r="X100" t="s">
        <v>39</v>
      </c>
      <c r="Y100" s="2">
        <v>4.4108796296296299E-2</v>
      </c>
      <c r="Z100" s="4">
        <v>0</v>
      </c>
      <c r="AA100">
        <v>0</v>
      </c>
      <c r="AB100" s="4">
        <v>0</v>
      </c>
      <c r="AC100" t="s">
        <v>40</v>
      </c>
      <c r="AD100" t="s">
        <v>158</v>
      </c>
      <c r="AE100">
        <v>11</v>
      </c>
      <c r="AF100">
        <v>0</v>
      </c>
      <c r="AG100" s="2">
        <v>4.4062500000000004E-2</v>
      </c>
      <c r="AH100" s="2">
        <v>4.4108796296296299E-2</v>
      </c>
      <c r="AI100">
        <v>20</v>
      </c>
      <c r="AJ100">
        <v>78</v>
      </c>
    </row>
    <row r="101" spans="1:36" x14ac:dyDescent="0.25">
      <c r="A101" t="s">
        <v>45</v>
      </c>
      <c r="B101" s="1">
        <v>44154.290543981479</v>
      </c>
      <c r="C101" t="s">
        <v>37</v>
      </c>
      <c r="D101" t="s">
        <v>45</v>
      </c>
      <c r="E101">
        <v>5.01</v>
      </c>
      <c r="F101">
        <v>365</v>
      </c>
      <c r="G101" s="2">
        <v>2.0532407407407405E-2</v>
      </c>
      <c r="H101" t="s">
        <v>39</v>
      </c>
      <c r="I101" t="s">
        <v>39</v>
      </c>
      <c r="J101" t="s">
        <v>39</v>
      </c>
      <c r="K101">
        <v>157</v>
      </c>
      <c r="L101">
        <v>167</v>
      </c>
      <c r="M101" s="4">
        <v>0.24583333333333335</v>
      </c>
      <c r="N101" s="4">
        <v>0.22083333333333333</v>
      </c>
      <c r="O101" t="s">
        <v>39</v>
      </c>
      <c r="P101" t="s">
        <v>39</v>
      </c>
      <c r="Q101">
        <v>1.08</v>
      </c>
      <c r="R101">
        <v>0</v>
      </c>
      <c r="S101">
        <v>0</v>
      </c>
      <c r="T101">
        <v>0</v>
      </c>
      <c r="U101">
        <v>0</v>
      </c>
      <c r="V101">
        <v>0</v>
      </c>
      <c r="W101" t="s">
        <v>39</v>
      </c>
      <c r="X101" t="s">
        <v>39</v>
      </c>
      <c r="Y101" s="3">
        <v>1.2319444444444445</v>
      </c>
      <c r="Z101" s="4">
        <v>0</v>
      </c>
      <c r="AA101">
        <v>0</v>
      </c>
      <c r="AB101" s="4">
        <v>0</v>
      </c>
      <c r="AC101" t="s">
        <v>40</v>
      </c>
      <c r="AD101" t="s">
        <v>159</v>
      </c>
      <c r="AE101">
        <v>6</v>
      </c>
      <c r="AF101">
        <v>0</v>
      </c>
      <c r="AG101" s="2">
        <v>2.0520833333333332E-2</v>
      </c>
      <c r="AH101" s="2">
        <v>2.0532407407407405E-2</v>
      </c>
      <c r="AI101" t="s">
        <v>39</v>
      </c>
      <c r="AJ101" t="s">
        <v>39</v>
      </c>
    </row>
    <row r="102" spans="1:36" x14ac:dyDescent="0.25">
      <c r="A102" t="s">
        <v>45</v>
      </c>
      <c r="B102" s="1">
        <v>44152.277557870373</v>
      </c>
      <c r="C102" t="s">
        <v>37</v>
      </c>
      <c r="D102" t="s">
        <v>160</v>
      </c>
      <c r="E102">
        <v>9.82</v>
      </c>
      <c r="F102">
        <v>713</v>
      </c>
      <c r="G102" s="2">
        <v>3.9872685185185185E-2</v>
      </c>
      <c r="H102" t="s">
        <v>39</v>
      </c>
      <c r="I102" t="s">
        <v>39</v>
      </c>
      <c r="J102" t="s">
        <v>39</v>
      </c>
      <c r="K102">
        <v>160</v>
      </c>
      <c r="L102">
        <v>171</v>
      </c>
      <c r="M102" s="4">
        <v>0.24374999999999999</v>
      </c>
      <c r="N102" s="4">
        <v>0.15972222222222224</v>
      </c>
      <c r="O102">
        <v>42</v>
      </c>
      <c r="P102">
        <v>45</v>
      </c>
      <c r="Q102">
        <v>1.06</v>
      </c>
      <c r="R102">
        <v>0</v>
      </c>
      <c r="S102">
        <v>0</v>
      </c>
      <c r="T102">
        <v>0</v>
      </c>
      <c r="U102">
        <v>0</v>
      </c>
      <c r="V102">
        <v>0</v>
      </c>
      <c r="W102" t="s">
        <v>39</v>
      </c>
      <c r="X102" t="s">
        <v>39</v>
      </c>
      <c r="Y102" s="3">
        <v>2.3923611111111112</v>
      </c>
      <c r="Z102" s="4">
        <v>0</v>
      </c>
      <c r="AA102">
        <v>0</v>
      </c>
      <c r="AB102" s="4">
        <v>0</v>
      </c>
      <c r="AC102" t="s">
        <v>40</v>
      </c>
      <c r="AD102" t="s">
        <v>161</v>
      </c>
      <c r="AE102">
        <v>11</v>
      </c>
      <c r="AF102">
        <v>0</v>
      </c>
      <c r="AG102" s="2">
        <v>3.9849537037037037E-2</v>
      </c>
      <c r="AH102" s="2">
        <v>4.0011574074074074E-2</v>
      </c>
      <c r="AI102">
        <v>12</v>
      </c>
      <c r="AJ102">
        <v>41</v>
      </c>
    </row>
    <row r="103" spans="1:36" x14ac:dyDescent="0.25">
      <c r="A103" t="s">
        <v>45</v>
      </c>
      <c r="B103" s="1">
        <v>44150.331226851849</v>
      </c>
      <c r="C103" t="s">
        <v>37</v>
      </c>
      <c r="D103" t="s">
        <v>49</v>
      </c>
      <c r="E103">
        <v>12.01</v>
      </c>
      <c r="F103">
        <v>843</v>
      </c>
      <c r="G103" s="2">
        <v>5.6192129629629634E-2</v>
      </c>
      <c r="H103" t="s">
        <v>39</v>
      </c>
      <c r="I103" t="s">
        <v>39</v>
      </c>
      <c r="J103" t="s">
        <v>39</v>
      </c>
      <c r="K103">
        <v>151</v>
      </c>
      <c r="L103">
        <v>169</v>
      </c>
      <c r="M103" s="4">
        <v>0.28055555555555556</v>
      </c>
      <c r="N103" s="4">
        <v>6.25E-2</v>
      </c>
      <c r="O103">
        <v>178</v>
      </c>
      <c r="P103">
        <v>170</v>
      </c>
      <c r="Q103">
        <v>0.98</v>
      </c>
      <c r="R103">
        <v>0</v>
      </c>
      <c r="S103">
        <v>0</v>
      </c>
      <c r="T103">
        <v>0</v>
      </c>
      <c r="U103">
        <v>0</v>
      </c>
      <c r="V103">
        <v>0</v>
      </c>
      <c r="W103" t="s">
        <v>39</v>
      </c>
      <c r="X103" t="s">
        <v>39</v>
      </c>
      <c r="Y103" s="2">
        <v>5.6192129629629634E-2</v>
      </c>
      <c r="Z103" s="4">
        <v>0</v>
      </c>
      <c r="AA103">
        <v>0</v>
      </c>
      <c r="AB103" s="4">
        <v>0</v>
      </c>
      <c r="AC103" t="s">
        <v>40</v>
      </c>
      <c r="AD103" t="s">
        <v>162</v>
      </c>
      <c r="AE103">
        <v>13</v>
      </c>
      <c r="AF103">
        <v>0</v>
      </c>
      <c r="AG103" s="2">
        <v>5.5208333333333331E-2</v>
      </c>
      <c r="AH103" s="2">
        <v>5.6192129629629634E-2</v>
      </c>
      <c r="AI103">
        <v>-6</v>
      </c>
      <c r="AJ103">
        <v>78</v>
      </c>
    </row>
    <row r="104" spans="1:36" x14ac:dyDescent="0.25">
      <c r="A104" t="s">
        <v>45</v>
      </c>
      <c r="B104" s="1">
        <v>44147.781701388885</v>
      </c>
      <c r="C104" t="s">
        <v>37</v>
      </c>
      <c r="D104" t="s">
        <v>163</v>
      </c>
      <c r="E104">
        <v>8.84</v>
      </c>
      <c r="F104">
        <v>607</v>
      </c>
      <c r="G104" s="2">
        <v>4.0983796296296296E-2</v>
      </c>
      <c r="H104" t="s">
        <v>39</v>
      </c>
      <c r="I104" t="s">
        <v>39</v>
      </c>
      <c r="J104" t="s">
        <v>39</v>
      </c>
      <c r="K104">
        <v>143</v>
      </c>
      <c r="L104">
        <v>168</v>
      </c>
      <c r="M104" s="4">
        <v>0.27847222222222223</v>
      </c>
      <c r="N104" s="4">
        <v>0.20902777777777778</v>
      </c>
      <c r="O104" t="s">
        <v>39</v>
      </c>
      <c r="P104" t="s">
        <v>39</v>
      </c>
      <c r="Q104">
        <v>1.03</v>
      </c>
      <c r="R104">
        <v>0</v>
      </c>
      <c r="S104">
        <v>0</v>
      </c>
      <c r="T104">
        <v>0</v>
      </c>
      <c r="U104">
        <v>0</v>
      </c>
      <c r="V104">
        <v>0</v>
      </c>
      <c r="W104" t="s">
        <v>39</v>
      </c>
      <c r="X104" t="s">
        <v>39</v>
      </c>
      <c r="Y104" s="3">
        <v>2.4590277777777776</v>
      </c>
      <c r="Z104" s="4">
        <v>0</v>
      </c>
      <c r="AA104">
        <v>0</v>
      </c>
      <c r="AB104" s="4">
        <v>0</v>
      </c>
      <c r="AC104" t="s">
        <v>40</v>
      </c>
      <c r="AD104" t="s">
        <v>164</v>
      </c>
      <c r="AE104">
        <v>18</v>
      </c>
      <c r="AF104">
        <v>0</v>
      </c>
      <c r="AG104" s="2">
        <v>4.0937500000000002E-2</v>
      </c>
      <c r="AH104" s="2">
        <v>4.0983796296296296E-2</v>
      </c>
      <c r="AI104" t="s">
        <v>39</v>
      </c>
      <c r="AJ104" t="s">
        <v>39</v>
      </c>
    </row>
    <row r="105" spans="1:36" x14ac:dyDescent="0.25">
      <c r="A105" t="s">
        <v>45</v>
      </c>
      <c r="B105" s="1">
        <v>44145.275567129633</v>
      </c>
      <c r="C105" t="s">
        <v>37</v>
      </c>
      <c r="D105" t="s">
        <v>45</v>
      </c>
      <c r="E105">
        <v>10.029999999999999</v>
      </c>
      <c r="F105">
        <v>732</v>
      </c>
      <c r="G105" s="2">
        <v>4.4050925925925931E-2</v>
      </c>
      <c r="H105" t="s">
        <v>39</v>
      </c>
      <c r="I105" t="s">
        <v>39</v>
      </c>
      <c r="J105" t="s">
        <v>39</v>
      </c>
      <c r="K105">
        <v>156</v>
      </c>
      <c r="L105">
        <v>164</v>
      </c>
      <c r="M105" s="4">
        <v>0.26319444444444445</v>
      </c>
      <c r="N105" s="4">
        <v>0.23472222222222219</v>
      </c>
      <c r="O105" t="s">
        <v>39</v>
      </c>
      <c r="P105" t="s">
        <v>39</v>
      </c>
      <c r="Q105">
        <v>1.02</v>
      </c>
      <c r="R105">
        <v>0</v>
      </c>
      <c r="S105">
        <v>0</v>
      </c>
      <c r="T105">
        <v>0</v>
      </c>
      <c r="U105">
        <v>0</v>
      </c>
      <c r="V105">
        <v>0</v>
      </c>
      <c r="W105" t="s">
        <v>39</v>
      </c>
      <c r="X105" t="s">
        <v>39</v>
      </c>
      <c r="Y105" s="2">
        <v>4.4050925925925931E-2</v>
      </c>
      <c r="Z105" s="4">
        <v>0</v>
      </c>
      <c r="AA105">
        <v>0</v>
      </c>
      <c r="AB105" s="4">
        <v>0</v>
      </c>
      <c r="AC105" t="s">
        <v>40</v>
      </c>
      <c r="AD105" t="s">
        <v>165</v>
      </c>
      <c r="AE105">
        <v>11</v>
      </c>
      <c r="AF105">
        <v>0</v>
      </c>
      <c r="AG105" s="2">
        <v>4.4027777777777777E-2</v>
      </c>
      <c r="AH105" s="2">
        <v>4.4050925925925931E-2</v>
      </c>
      <c r="AI105" t="s">
        <v>39</v>
      </c>
      <c r="AJ105" t="s">
        <v>39</v>
      </c>
    </row>
    <row r="106" spans="1:36" x14ac:dyDescent="0.25">
      <c r="A106" t="s">
        <v>45</v>
      </c>
      <c r="B106" s="1">
        <v>44142.316134259258</v>
      </c>
      <c r="C106" t="s">
        <v>37</v>
      </c>
      <c r="D106" t="s">
        <v>166</v>
      </c>
      <c r="E106">
        <v>9.66</v>
      </c>
      <c r="F106">
        <v>642</v>
      </c>
      <c r="G106" s="2">
        <v>4.9050925925925921E-2</v>
      </c>
      <c r="H106" t="s">
        <v>39</v>
      </c>
      <c r="I106" t="s">
        <v>39</v>
      </c>
      <c r="J106" t="s">
        <v>39</v>
      </c>
      <c r="K106">
        <v>144</v>
      </c>
      <c r="L106">
        <v>175</v>
      </c>
      <c r="M106" s="4">
        <v>0.30486111111111108</v>
      </c>
      <c r="N106" s="4">
        <v>0.20486111111111113</v>
      </c>
      <c r="O106">
        <v>176</v>
      </c>
      <c r="P106">
        <v>179</v>
      </c>
      <c r="Q106">
        <v>0.94</v>
      </c>
      <c r="R106">
        <v>0</v>
      </c>
      <c r="S106">
        <v>0</v>
      </c>
      <c r="T106">
        <v>0</v>
      </c>
      <c r="U106">
        <v>0</v>
      </c>
      <c r="V106">
        <v>0</v>
      </c>
      <c r="W106" t="s">
        <v>39</v>
      </c>
      <c r="X106" t="s">
        <v>39</v>
      </c>
      <c r="Y106" s="2">
        <v>4.9050925925925921E-2</v>
      </c>
      <c r="Z106" s="4">
        <v>0</v>
      </c>
      <c r="AA106">
        <v>0</v>
      </c>
      <c r="AB106" s="4">
        <v>0</v>
      </c>
      <c r="AC106" t="s">
        <v>40</v>
      </c>
      <c r="AD106" t="s">
        <v>167</v>
      </c>
      <c r="AE106">
        <v>22</v>
      </c>
      <c r="AF106">
        <v>0</v>
      </c>
      <c r="AG106" s="2">
        <v>4.8969907407407413E-2</v>
      </c>
      <c r="AH106" s="2">
        <v>4.987268518518518E-2</v>
      </c>
      <c r="AI106">
        <v>12</v>
      </c>
      <c r="AJ106">
        <v>40</v>
      </c>
    </row>
    <row r="107" spans="1:36" x14ac:dyDescent="0.25">
      <c r="A107" t="s">
        <v>45</v>
      </c>
      <c r="B107" s="1">
        <v>44140.277129629627</v>
      </c>
      <c r="C107" t="s">
        <v>37</v>
      </c>
      <c r="D107" t="s">
        <v>49</v>
      </c>
      <c r="E107">
        <v>10.01</v>
      </c>
      <c r="F107">
        <v>720</v>
      </c>
      <c r="G107" s="2">
        <v>4.0810185185185185E-2</v>
      </c>
      <c r="H107" t="s">
        <v>39</v>
      </c>
      <c r="I107" t="s">
        <v>39</v>
      </c>
      <c r="J107" t="s">
        <v>39</v>
      </c>
      <c r="K107">
        <v>161</v>
      </c>
      <c r="L107">
        <v>171</v>
      </c>
      <c r="M107" s="4">
        <v>0.24444444444444446</v>
      </c>
      <c r="N107" s="4">
        <v>0.21666666666666667</v>
      </c>
      <c r="O107">
        <v>71</v>
      </c>
      <c r="P107">
        <v>75</v>
      </c>
      <c r="Q107">
        <v>1.05</v>
      </c>
      <c r="R107">
        <v>0</v>
      </c>
      <c r="S107">
        <v>0</v>
      </c>
      <c r="T107">
        <v>0</v>
      </c>
      <c r="U107">
        <v>0</v>
      </c>
      <c r="V107">
        <v>0</v>
      </c>
      <c r="W107" t="s">
        <v>39</v>
      </c>
      <c r="X107" t="s">
        <v>39</v>
      </c>
      <c r="Y107" s="3">
        <v>2.4486111111111111</v>
      </c>
      <c r="Z107" s="4">
        <v>0</v>
      </c>
      <c r="AA107">
        <v>0</v>
      </c>
      <c r="AB107" s="4">
        <v>0</v>
      </c>
      <c r="AC107" t="s">
        <v>40</v>
      </c>
      <c r="AD107" t="s">
        <v>168</v>
      </c>
      <c r="AE107">
        <v>11</v>
      </c>
      <c r="AF107">
        <v>0</v>
      </c>
      <c r="AG107" s="2">
        <v>4.0787037037037038E-2</v>
      </c>
      <c r="AH107" s="2">
        <v>4.0810185185185185E-2</v>
      </c>
      <c r="AI107">
        <v>12</v>
      </c>
      <c r="AJ107">
        <v>56</v>
      </c>
    </row>
    <row r="108" spans="1:36" x14ac:dyDescent="0.25">
      <c r="A108" t="s">
        <v>45</v>
      </c>
      <c r="B108" s="1">
        <v>44135.319456018522</v>
      </c>
      <c r="C108" t="s">
        <v>37</v>
      </c>
      <c r="D108" t="s">
        <v>49</v>
      </c>
      <c r="E108">
        <v>7.01</v>
      </c>
      <c r="F108">
        <v>511</v>
      </c>
      <c r="G108" s="2">
        <v>2.9270833333333333E-2</v>
      </c>
      <c r="H108" t="s">
        <v>39</v>
      </c>
      <c r="I108" t="s">
        <v>39</v>
      </c>
      <c r="J108" t="s">
        <v>39</v>
      </c>
      <c r="K108">
        <v>161</v>
      </c>
      <c r="L108">
        <v>170</v>
      </c>
      <c r="M108" s="4">
        <v>0.25069444444444444</v>
      </c>
      <c r="N108" s="4">
        <v>0.21111111111111111</v>
      </c>
      <c r="O108">
        <v>75</v>
      </c>
      <c r="P108">
        <v>77</v>
      </c>
      <c r="Q108">
        <v>1.03</v>
      </c>
      <c r="R108">
        <v>0</v>
      </c>
      <c r="S108">
        <v>0</v>
      </c>
      <c r="T108">
        <v>0</v>
      </c>
      <c r="U108">
        <v>0</v>
      </c>
      <c r="V108">
        <v>0</v>
      </c>
      <c r="W108" t="s">
        <v>39</v>
      </c>
      <c r="X108" t="s">
        <v>39</v>
      </c>
      <c r="Y108" s="3">
        <v>1.7562499999999999</v>
      </c>
      <c r="Z108" s="4">
        <v>0</v>
      </c>
      <c r="AA108">
        <v>0</v>
      </c>
      <c r="AB108" s="4">
        <v>0</v>
      </c>
      <c r="AC108" t="s">
        <v>40</v>
      </c>
      <c r="AD108" t="s">
        <v>169</v>
      </c>
      <c r="AE108">
        <v>8</v>
      </c>
      <c r="AF108">
        <v>0</v>
      </c>
      <c r="AG108" s="2">
        <v>2.9247685185185186E-2</v>
      </c>
      <c r="AH108" s="2">
        <v>2.9270833333333333E-2</v>
      </c>
      <c r="AI108">
        <v>20</v>
      </c>
      <c r="AJ108">
        <v>63</v>
      </c>
    </row>
    <row r="109" spans="1:36" x14ac:dyDescent="0.25">
      <c r="A109" t="s">
        <v>45</v>
      </c>
      <c r="B109" s="1">
        <v>44133.280405092592</v>
      </c>
      <c r="C109" t="s">
        <v>37</v>
      </c>
      <c r="D109" t="s">
        <v>49</v>
      </c>
      <c r="E109">
        <v>7.01</v>
      </c>
      <c r="F109">
        <v>513</v>
      </c>
      <c r="G109" s="2">
        <v>2.8680555555555553E-2</v>
      </c>
      <c r="H109" t="s">
        <v>39</v>
      </c>
      <c r="I109" t="s">
        <v>39</v>
      </c>
      <c r="J109" t="s">
        <v>39</v>
      </c>
      <c r="K109">
        <v>159</v>
      </c>
      <c r="L109">
        <v>170</v>
      </c>
      <c r="M109" s="4">
        <v>0.24583333333333335</v>
      </c>
      <c r="N109" s="4">
        <v>0.21736111111111112</v>
      </c>
      <c r="O109">
        <v>53</v>
      </c>
      <c r="P109">
        <v>54</v>
      </c>
      <c r="Q109">
        <v>1.07</v>
      </c>
      <c r="R109">
        <v>0</v>
      </c>
      <c r="S109">
        <v>0</v>
      </c>
      <c r="T109">
        <v>0</v>
      </c>
      <c r="U109">
        <v>0</v>
      </c>
      <c r="V109">
        <v>0</v>
      </c>
      <c r="W109" t="s">
        <v>39</v>
      </c>
      <c r="X109" t="s">
        <v>39</v>
      </c>
      <c r="Y109" s="3">
        <v>1.7208333333333332</v>
      </c>
      <c r="Z109" s="4">
        <v>0</v>
      </c>
      <c r="AA109">
        <v>0</v>
      </c>
      <c r="AB109" s="4">
        <v>0</v>
      </c>
      <c r="AC109" t="s">
        <v>40</v>
      </c>
      <c r="AD109" t="s">
        <v>170</v>
      </c>
      <c r="AE109">
        <v>8</v>
      </c>
      <c r="AF109">
        <v>0</v>
      </c>
      <c r="AG109" s="2">
        <v>2.8668981481481479E-2</v>
      </c>
      <c r="AH109" s="2">
        <v>2.8680555555555553E-2</v>
      </c>
      <c r="AI109">
        <v>12</v>
      </c>
      <c r="AJ109">
        <v>56</v>
      </c>
    </row>
    <row r="110" spans="1:36" x14ac:dyDescent="0.25">
      <c r="A110" t="s">
        <v>45</v>
      </c>
      <c r="B110" s="1">
        <v>44131.799317129633</v>
      </c>
      <c r="C110" t="s">
        <v>37</v>
      </c>
      <c r="D110" t="s">
        <v>171</v>
      </c>
      <c r="E110">
        <v>7.56</v>
      </c>
      <c r="F110">
        <v>539</v>
      </c>
      <c r="G110" s="2">
        <v>3.201388888888889E-2</v>
      </c>
      <c r="H110" t="s">
        <v>39</v>
      </c>
      <c r="I110" t="s">
        <v>39</v>
      </c>
      <c r="J110" t="s">
        <v>39</v>
      </c>
      <c r="K110">
        <v>151</v>
      </c>
      <c r="L110">
        <v>170</v>
      </c>
      <c r="M110" s="4">
        <v>0.25416666666666665</v>
      </c>
      <c r="N110" s="4">
        <v>0.2076388888888889</v>
      </c>
      <c r="O110" t="s">
        <v>39</v>
      </c>
      <c r="P110" t="s">
        <v>39</v>
      </c>
      <c r="Q110">
        <v>1.07</v>
      </c>
      <c r="R110">
        <v>0</v>
      </c>
      <c r="S110">
        <v>0</v>
      </c>
      <c r="T110">
        <v>0</v>
      </c>
      <c r="U110">
        <v>0</v>
      </c>
      <c r="V110">
        <v>0</v>
      </c>
      <c r="W110" t="s">
        <v>39</v>
      </c>
      <c r="X110" t="s">
        <v>39</v>
      </c>
      <c r="Y110" s="3">
        <v>1.9208333333333334</v>
      </c>
      <c r="Z110" s="4">
        <v>0</v>
      </c>
      <c r="AA110">
        <v>0</v>
      </c>
      <c r="AB110" s="4">
        <v>0</v>
      </c>
      <c r="AC110" t="s">
        <v>40</v>
      </c>
      <c r="AD110" t="s">
        <v>172</v>
      </c>
      <c r="AE110">
        <v>6</v>
      </c>
      <c r="AF110">
        <v>0</v>
      </c>
      <c r="AG110" s="2">
        <v>3.172453703703703E-2</v>
      </c>
      <c r="AH110" s="2">
        <v>3.201388888888889E-2</v>
      </c>
      <c r="AI110" t="s">
        <v>39</v>
      </c>
      <c r="AJ110" t="s">
        <v>39</v>
      </c>
    </row>
    <row r="111" spans="1:36" x14ac:dyDescent="0.25">
      <c r="A111" t="s">
        <v>45</v>
      </c>
      <c r="B111" s="1">
        <v>44128.332453703704</v>
      </c>
      <c r="C111" t="s">
        <v>37</v>
      </c>
      <c r="D111" t="s">
        <v>49</v>
      </c>
      <c r="E111">
        <v>11.58</v>
      </c>
      <c r="F111">
        <v>834</v>
      </c>
      <c r="G111" s="2">
        <v>5.153935185185185E-2</v>
      </c>
      <c r="H111" t="s">
        <v>39</v>
      </c>
      <c r="I111" t="s">
        <v>39</v>
      </c>
      <c r="J111" t="s">
        <v>39</v>
      </c>
      <c r="K111">
        <v>158</v>
      </c>
      <c r="L111">
        <v>173</v>
      </c>
      <c r="M111" s="4">
        <v>0.26666666666666666</v>
      </c>
      <c r="N111" s="4">
        <v>0.21666666666666667</v>
      </c>
      <c r="O111">
        <v>166</v>
      </c>
      <c r="P111">
        <v>171</v>
      </c>
      <c r="Q111">
        <v>0.99</v>
      </c>
      <c r="R111">
        <v>0</v>
      </c>
      <c r="S111">
        <v>0</v>
      </c>
      <c r="T111">
        <v>0</v>
      </c>
      <c r="U111">
        <v>0</v>
      </c>
      <c r="V111">
        <v>0</v>
      </c>
      <c r="W111" t="s">
        <v>39</v>
      </c>
      <c r="X111" t="s">
        <v>39</v>
      </c>
      <c r="Y111" s="2">
        <v>5.153935185185185E-2</v>
      </c>
      <c r="Z111" s="4">
        <v>0</v>
      </c>
      <c r="AA111">
        <v>0</v>
      </c>
      <c r="AB111" s="4">
        <v>0</v>
      </c>
      <c r="AC111" t="s">
        <v>40</v>
      </c>
      <c r="AD111" t="s">
        <v>173</v>
      </c>
      <c r="AE111">
        <v>12</v>
      </c>
      <c r="AF111">
        <v>0</v>
      </c>
      <c r="AG111" s="2">
        <v>5.1527777777777777E-2</v>
      </c>
      <c r="AH111" s="2">
        <v>5.153935185185185E-2</v>
      </c>
      <c r="AI111">
        <v>20</v>
      </c>
      <c r="AJ111">
        <v>116</v>
      </c>
    </row>
    <row r="112" spans="1:36" x14ac:dyDescent="0.25">
      <c r="A112" t="s">
        <v>45</v>
      </c>
      <c r="B112" s="1">
        <v>44126.756805555553</v>
      </c>
      <c r="C112" t="s">
        <v>37</v>
      </c>
      <c r="D112" t="s">
        <v>174</v>
      </c>
      <c r="E112">
        <v>7.29</v>
      </c>
      <c r="F112">
        <v>528</v>
      </c>
      <c r="G112" s="2">
        <v>3.8703703703703705E-2</v>
      </c>
      <c r="H112" t="s">
        <v>39</v>
      </c>
      <c r="I112" t="s">
        <v>39</v>
      </c>
      <c r="J112" t="s">
        <v>39</v>
      </c>
      <c r="K112">
        <v>114</v>
      </c>
      <c r="L112">
        <v>170</v>
      </c>
      <c r="M112" s="4">
        <v>0.31875000000000003</v>
      </c>
      <c r="N112" s="4">
        <v>0.19166666666666665</v>
      </c>
      <c r="O112" t="s">
        <v>39</v>
      </c>
      <c r="P112" t="s">
        <v>39</v>
      </c>
      <c r="Q112">
        <v>1.1000000000000001</v>
      </c>
      <c r="R112">
        <v>0</v>
      </c>
      <c r="S112">
        <v>0</v>
      </c>
      <c r="T112">
        <v>0</v>
      </c>
      <c r="U112">
        <v>0</v>
      </c>
      <c r="V112">
        <v>0</v>
      </c>
      <c r="W112" t="s">
        <v>39</v>
      </c>
      <c r="X112" t="s">
        <v>39</v>
      </c>
      <c r="Y112" s="3">
        <v>2.3222222222222224</v>
      </c>
      <c r="Z112" s="4">
        <v>0</v>
      </c>
      <c r="AA112">
        <v>0</v>
      </c>
      <c r="AB112" s="4">
        <v>0</v>
      </c>
      <c r="AC112" t="s">
        <v>40</v>
      </c>
      <c r="AD112" t="s">
        <v>175</v>
      </c>
      <c r="AE112">
        <v>14</v>
      </c>
      <c r="AF112">
        <v>0</v>
      </c>
      <c r="AG112" s="2">
        <v>3.3263888888888891E-2</v>
      </c>
      <c r="AH112" s="2">
        <v>3.8703703703703705E-2</v>
      </c>
      <c r="AI112" t="s">
        <v>39</v>
      </c>
      <c r="AJ112" t="s">
        <v>39</v>
      </c>
    </row>
    <row r="113" spans="1:36" x14ac:dyDescent="0.25">
      <c r="A113" t="s">
        <v>45</v>
      </c>
      <c r="B113" s="1">
        <v>44124.273287037038</v>
      </c>
      <c r="C113" t="s">
        <v>37</v>
      </c>
      <c r="D113" t="s">
        <v>49</v>
      </c>
      <c r="E113">
        <v>10.01</v>
      </c>
      <c r="F113">
        <v>731</v>
      </c>
      <c r="G113" s="2">
        <v>4.1053240740740744E-2</v>
      </c>
      <c r="H113" t="s">
        <v>39</v>
      </c>
      <c r="I113" t="s">
        <v>39</v>
      </c>
      <c r="J113" t="s">
        <v>39</v>
      </c>
      <c r="K113">
        <v>162</v>
      </c>
      <c r="L113">
        <v>171</v>
      </c>
      <c r="M113" s="4">
        <v>0.24583333333333335</v>
      </c>
      <c r="N113" s="4">
        <v>0.22638888888888889</v>
      </c>
      <c r="O113">
        <v>75</v>
      </c>
      <c r="P113">
        <v>85</v>
      </c>
      <c r="Q113">
        <v>1.04</v>
      </c>
      <c r="R113">
        <v>0</v>
      </c>
      <c r="S113">
        <v>0</v>
      </c>
      <c r="T113">
        <v>0</v>
      </c>
      <c r="U113">
        <v>0</v>
      </c>
      <c r="V113">
        <v>0</v>
      </c>
      <c r="W113" t="s">
        <v>39</v>
      </c>
      <c r="X113" t="s">
        <v>39</v>
      </c>
      <c r="Y113" s="3">
        <v>2.4631944444444445</v>
      </c>
      <c r="Z113" s="4">
        <v>0</v>
      </c>
      <c r="AA113">
        <v>0</v>
      </c>
      <c r="AB113" s="4">
        <v>0</v>
      </c>
      <c r="AC113" t="s">
        <v>40</v>
      </c>
      <c r="AD113" t="s">
        <v>176</v>
      </c>
      <c r="AE113">
        <v>11</v>
      </c>
      <c r="AF113">
        <v>0</v>
      </c>
      <c r="AG113" s="2">
        <v>4.1030092592592597E-2</v>
      </c>
      <c r="AH113" s="2">
        <v>4.1053240740740744E-2</v>
      </c>
      <c r="AI113">
        <v>12</v>
      </c>
      <c r="AJ113">
        <v>56</v>
      </c>
    </row>
    <row r="114" spans="1:36" x14ac:dyDescent="0.25">
      <c r="A114" t="s">
        <v>45</v>
      </c>
      <c r="B114" s="1">
        <v>44122.350949074076</v>
      </c>
      <c r="C114" t="s">
        <v>37</v>
      </c>
      <c r="D114" t="s">
        <v>108</v>
      </c>
      <c r="E114">
        <v>11.2</v>
      </c>
      <c r="F114">
        <v>776</v>
      </c>
      <c r="G114" s="2">
        <v>5.1747685185185188E-2</v>
      </c>
      <c r="H114" t="s">
        <v>39</v>
      </c>
      <c r="I114" t="s">
        <v>39</v>
      </c>
      <c r="J114" t="s">
        <v>39</v>
      </c>
      <c r="K114">
        <v>149</v>
      </c>
      <c r="L114">
        <v>170</v>
      </c>
      <c r="M114" s="4">
        <v>0.27708333333333335</v>
      </c>
      <c r="N114" s="4">
        <v>0.18263888888888891</v>
      </c>
      <c r="O114">
        <v>97</v>
      </c>
      <c r="P114">
        <v>98</v>
      </c>
      <c r="Q114">
        <v>0.99</v>
      </c>
      <c r="R114">
        <v>0</v>
      </c>
      <c r="S114">
        <v>0</v>
      </c>
      <c r="T114">
        <v>0</v>
      </c>
      <c r="U114">
        <v>0</v>
      </c>
      <c r="V114">
        <v>0</v>
      </c>
      <c r="W114" t="s">
        <v>39</v>
      </c>
      <c r="X114" t="s">
        <v>39</v>
      </c>
      <c r="Y114" s="2">
        <v>5.1747685185185188E-2</v>
      </c>
      <c r="Z114" s="4">
        <v>0</v>
      </c>
      <c r="AA114">
        <v>0</v>
      </c>
      <c r="AB114" s="4">
        <v>0</v>
      </c>
      <c r="AC114" t="s">
        <v>40</v>
      </c>
      <c r="AD114" t="s">
        <v>109</v>
      </c>
      <c r="AE114">
        <v>10</v>
      </c>
      <c r="AF114">
        <v>0</v>
      </c>
      <c r="AG114" s="2">
        <v>5.1736111111111115E-2</v>
      </c>
      <c r="AH114" s="2">
        <v>5.1747685185185188E-2</v>
      </c>
      <c r="AI114">
        <v>15</v>
      </c>
      <c r="AJ114">
        <v>60</v>
      </c>
    </row>
    <row r="115" spans="1:36" x14ac:dyDescent="0.25">
      <c r="A115" t="s">
        <v>45</v>
      </c>
      <c r="B115" s="1">
        <v>44119.277002314811</v>
      </c>
      <c r="C115" t="s">
        <v>37</v>
      </c>
      <c r="D115" t="s">
        <v>49</v>
      </c>
      <c r="E115">
        <v>10.01</v>
      </c>
      <c r="F115">
        <v>720</v>
      </c>
      <c r="G115" s="2">
        <v>3.9328703703703706E-2</v>
      </c>
      <c r="H115" t="s">
        <v>39</v>
      </c>
      <c r="I115" t="s">
        <v>39</v>
      </c>
      <c r="J115" t="s">
        <v>39</v>
      </c>
      <c r="K115">
        <v>157</v>
      </c>
      <c r="L115">
        <v>173</v>
      </c>
      <c r="M115" s="4">
        <v>0.23611111111111113</v>
      </c>
      <c r="N115" s="4">
        <v>0.19999999999999998</v>
      </c>
      <c r="O115">
        <v>66</v>
      </c>
      <c r="P115">
        <v>67</v>
      </c>
      <c r="Q115">
        <v>1.1200000000000001</v>
      </c>
      <c r="R115">
        <v>0</v>
      </c>
      <c r="S115">
        <v>0</v>
      </c>
      <c r="T115">
        <v>0</v>
      </c>
      <c r="U115">
        <v>0</v>
      </c>
      <c r="V115">
        <v>0</v>
      </c>
      <c r="W115" t="s">
        <v>39</v>
      </c>
      <c r="X115" t="s">
        <v>39</v>
      </c>
      <c r="Y115" s="3">
        <v>2.3597222222222221</v>
      </c>
      <c r="Z115" s="4">
        <v>0</v>
      </c>
      <c r="AA115">
        <v>0</v>
      </c>
      <c r="AB115" s="4">
        <v>0</v>
      </c>
      <c r="AC115" t="s">
        <v>40</v>
      </c>
      <c r="AD115" t="s">
        <v>177</v>
      </c>
      <c r="AE115">
        <v>11</v>
      </c>
      <c r="AF115">
        <v>0</v>
      </c>
      <c r="AG115" s="2">
        <v>3.9305555555555559E-2</v>
      </c>
      <c r="AH115" s="2">
        <v>3.9328703703703706E-2</v>
      </c>
      <c r="AI115">
        <v>12</v>
      </c>
      <c r="AJ115">
        <v>56</v>
      </c>
    </row>
    <row r="116" spans="1:36" x14ac:dyDescent="0.25">
      <c r="A116" t="s">
        <v>45</v>
      </c>
      <c r="B116" s="1">
        <v>44117.28837962963</v>
      </c>
      <c r="C116" t="s">
        <v>37</v>
      </c>
      <c r="D116" t="s">
        <v>178</v>
      </c>
      <c r="E116">
        <v>9.25</v>
      </c>
      <c r="F116">
        <v>621</v>
      </c>
      <c r="G116" s="2">
        <v>4.3946759259259255E-2</v>
      </c>
      <c r="H116" t="s">
        <v>39</v>
      </c>
      <c r="I116" t="s">
        <v>39</v>
      </c>
      <c r="J116" t="s">
        <v>39</v>
      </c>
      <c r="K116">
        <v>142</v>
      </c>
      <c r="L116">
        <v>169</v>
      </c>
      <c r="M116" s="4">
        <v>0.28472222222222221</v>
      </c>
      <c r="N116" s="4">
        <v>0.20069444444444443</v>
      </c>
      <c r="O116">
        <v>17</v>
      </c>
      <c r="P116">
        <v>23</v>
      </c>
      <c r="Q116">
        <v>1.02</v>
      </c>
      <c r="R116">
        <v>0</v>
      </c>
      <c r="S116">
        <v>0</v>
      </c>
      <c r="T116">
        <v>0</v>
      </c>
      <c r="U116">
        <v>0</v>
      </c>
      <c r="V116">
        <v>0</v>
      </c>
      <c r="W116" t="s">
        <v>39</v>
      </c>
      <c r="X116" t="s">
        <v>39</v>
      </c>
      <c r="Y116" s="2">
        <v>4.3946759259259255E-2</v>
      </c>
      <c r="Z116" s="4">
        <v>0</v>
      </c>
      <c r="AA116">
        <v>0</v>
      </c>
      <c r="AB116" s="4">
        <v>0</v>
      </c>
      <c r="AC116" t="s">
        <v>40</v>
      </c>
      <c r="AD116" t="s">
        <v>150</v>
      </c>
      <c r="AE116">
        <v>18</v>
      </c>
      <c r="AF116">
        <v>0</v>
      </c>
      <c r="AG116" s="2">
        <v>4.3935185185185188E-2</v>
      </c>
      <c r="AH116" s="2">
        <v>4.3946759259259255E-2</v>
      </c>
      <c r="AI116">
        <v>12</v>
      </c>
      <c r="AJ116">
        <v>28</v>
      </c>
    </row>
    <row r="117" spans="1:36" x14ac:dyDescent="0.25">
      <c r="A117" t="s">
        <v>45</v>
      </c>
      <c r="B117" s="1">
        <v>44114.30300925926</v>
      </c>
      <c r="C117" t="s">
        <v>37</v>
      </c>
      <c r="D117" t="s">
        <v>49</v>
      </c>
      <c r="E117">
        <v>10.01</v>
      </c>
      <c r="F117">
        <v>718</v>
      </c>
      <c r="G117" s="2">
        <v>4.1354166666666664E-2</v>
      </c>
      <c r="H117" t="s">
        <v>39</v>
      </c>
      <c r="I117" t="s">
        <v>39</v>
      </c>
      <c r="J117" t="s">
        <v>39</v>
      </c>
      <c r="K117">
        <v>159</v>
      </c>
      <c r="L117">
        <v>173</v>
      </c>
      <c r="M117" s="4">
        <v>0.24791666666666667</v>
      </c>
      <c r="N117" s="4">
        <v>0.16319444444444445</v>
      </c>
      <c r="O117">
        <v>118</v>
      </c>
      <c r="P117">
        <v>125</v>
      </c>
      <c r="Q117">
        <v>1.05</v>
      </c>
      <c r="R117">
        <v>0</v>
      </c>
      <c r="S117">
        <v>0</v>
      </c>
      <c r="T117">
        <v>0</v>
      </c>
      <c r="U117">
        <v>0</v>
      </c>
      <c r="V117">
        <v>0</v>
      </c>
      <c r="W117" t="s">
        <v>39</v>
      </c>
      <c r="X117" t="s">
        <v>39</v>
      </c>
      <c r="Y117" s="3">
        <v>2.4812499999999997</v>
      </c>
      <c r="Z117" s="4">
        <v>0</v>
      </c>
      <c r="AA117">
        <v>0</v>
      </c>
      <c r="AB117" s="4">
        <v>0</v>
      </c>
      <c r="AC117" t="s">
        <v>40</v>
      </c>
      <c r="AD117" t="s">
        <v>179</v>
      </c>
      <c r="AE117">
        <v>11</v>
      </c>
      <c r="AF117">
        <v>0</v>
      </c>
      <c r="AG117" s="2">
        <v>4.1145833333333333E-2</v>
      </c>
      <c r="AH117" s="2">
        <v>4.1354166666666664E-2</v>
      </c>
      <c r="AI117">
        <v>20</v>
      </c>
      <c r="AJ117">
        <v>59</v>
      </c>
    </row>
    <row r="118" spans="1:36" x14ac:dyDescent="0.25">
      <c r="A118" t="s">
        <v>45</v>
      </c>
      <c r="B118" s="1">
        <v>44110.280798611115</v>
      </c>
      <c r="C118" t="s">
        <v>37</v>
      </c>
      <c r="D118" t="s">
        <v>49</v>
      </c>
      <c r="E118">
        <v>7.62</v>
      </c>
      <c r="F118">
        <v>561</v>
      </c>
      <c r="G118" s="2">
        <v>3.1261574074074074E-2</v>
      </c>
      <c r="H118" t="s">
        <v>39</v>
      </c>
      <c r="I118" t="s">
        <v>39</v>
      </c>
      <c r="J118" t="s">
        <v>39</v>
      </c>
      <c r="K118">
        <v>163</v>
      </c>
      <c r="L118">
        <v>171</v>
      </c>
      <c r="M118" s="4">
        <v>0.24652777777777779</v>
      </c>
      <c r="N118" s="4">
        <v>0.17222222222222225</v>
      </c>
      <c r="O118">
        <v>48</v>
      </c>
      <c r="P118">
        <v>62</v>
      </c>
      <c r="Q118">
        <v>1.04</v>
      </c>
      <c r="R118">
        <v>0</v>
      </c>
      <c r="S118">
        <v>0</v>
      </c>
      <c r="T118">
        <v>0</v>
      </c>
      <c r="U118">
        <v>0</v>
      </c>
      <c r="V118">
        <v>0</v>
      </c>
      <c r="W118" t="s">
        <v>39</v>
      </c>
      <c r="X118" t="s">
        <v>39</v>
      </c>
      <c r="Y118" s="3">
        <v>1.8756944444444443</v>
      </c>
      <c r="Z118" s="4">
        <v>0</v>
      </c>
      <c r="AA118">
        <v>0</v>
      </c>
      <c r="AB118" s="4">
        <v>0</v>
      </c>
      <c r="AC118" t="s">
        <v>40</v>
      </c>
      <c r="AD118" t="s">
        <v>180</v>
      </c>
      <c r="AE118">
        <v>8</v>
      </c>
      <c r="AF118">
        <v>0</v>
      </c>
      <c r="AG118" s="2">
        <v>3.1168981481481482E-2</v>
      </c>
      <c r="AH118" s="2">
        <v>3.1261574074074074E-2</v>
      </c>
      <c r="AI118">
        <v>12</v>
      </c>
      <c r="AJ118">
        <v>56</v>
      </c>
    </row>
    <row r="119" spans="1:36" x14ac:dyDescent="0.25">
      <c r="A119" t="s">
        <v>45</v>
      </c>
      <c r="B119" s="1">
        <v>44108.384293981479</v>
      </c>
      <c r="C119" t="s">
        <v>37</v>
      </c>
      <c r="D119" t="s">
        <v>49</v>
      </c>
      <c r="E119">
        <v>10.01</v>
      </c>
      <c r="F119">
        <v>730</v>
      </c>
      <c r="G119" s="2">
        <v>4.0034722222222222E-2</v>
      </c>
      <c r="H119" t="s">
        <v>39</v>
      </c>
      <c r="I119" t="s">
        <v>39</v>
      </c>
      <c r="J119" t="s">
        <v>39</v>
      </c>
      <c r="K119">
        <v>164</v>
      </c>
      <c r="L119">
        <v>173</v>
      </c>
      <c r="M119" s="4">
        <v>0.24027777777777778</v>
      </c>
      <c r="N119" s="4">
        <v>0.20972222222222223</v>
      </c>
      <c r="O119">
        <v>57</v>
      </c>
      <c r="P119">
        <v>59</v>
      </c>
      <c r="Q119">
        <v>1.06</v>
      </c>
      <c r="R119">
        <v>0</v>
      </c>
      <c r="S119">
        <v>0</v>
      </c>
      <c r="T119">
        <v>0</v>
      </c>
      <c r="U119">
        <v>0</v>
      </c>
      <c r="V119">
        <v>0</v>
      </c>
      <c r="W119" t="s">
        <v>39</v>
      </c>
      <c r="X119" t="s">
        <v>39</v>
      </c>
      <c r="Y119" s="3">
        <v>2.4020833333333331</v>
      </c>
      <c r="Z119" s="4">
        <v>0</v>
      </c>
      <c r="AA119">
        <v>0</v>
      </c>
      <c r="AB119" s="4">
        <v>0</v>
      </c>
      <c r="AC119" t="s">
        <v>40</v>
      </c>
      <c r="AD119" t="s">
        <v>181</v>
      </c>
      <c r="AE119">
        <v>11</v>
      </c>
      <c r="AF119">
        <v>0</v>
      </c>
      <c r="AG119" s="2">
        <v>4.0011574074074074E-2</v>
      </c>
      <c r="AH119" s="2">
        <v>4.0034722222222222E-2</v>
      </c>
      <c r="AI119">
        <v>12</v>
      </c>
      <c r="AJ119">
        <v>56</v>
      </c>
    </row>
    <row r="120" spans="1:36" x14ac:dyDescent="0.25">
      <c r="A120" t="s">
        <v>45</v>
      </c>
      <c r="B120" s="1">
        <v>44105.2812037037</v>
      </c>
      <c r="C120" t="s">
        <v>37</v>
      </c>
      <c r="D120" t="s">
        <v>113</v>
      </c>
      <c r="E120">
        <v>6.01</v>
      </c>
      <c r="F120">
        <v>444</v>
      </c>
      <c r="G120" s="2">
        <v>2.5937500000000002E-2</v>
      </c>
      <c r="H120" t="s">
        <v>39</v>
      </c>
      <c r="I120" t="s">
        <v>39</v>
      </c>
      <c r="J120" t="s">
        <v>39</v>
      </c>
      <c r="K120">
        <v>162</v>
      </c>
      <c r="L120">
        <v>170</v>
      </c>
      <c r="M120" s="4">
        <v>0.2590277777777778</v>
      </c>
      <c r="N120" s="4">
        <v>0.21319444444444444</v>
      </c>
      <c r="O120">
        <v>6</v>
      </c>
      <c r="P120">
        <v>22</v>
      </c>
      <c r="Q120">
        <v>0.99</v>
      </c>
      <c r="R120">
        <v>0</v>
      </c>
      <c r="S120">
        <v>0</v>
      </c>
      <c r="T120">
        <v>0</v>
      </c>
      <c r="U120">
        <v>0</v>
      </c>
      <c r="V120">
        <v>0</v>
      </c>
      <c r="W120" t="s">
        <v>39</v>
      </c>
      <c r="X120" t="s">
        <v>39</v>
      </c>
      <c r="Y120" s="3">
        <v>1.5562500000000001</v>
      </c>
      <c r="Z120" s="4">
        <v>0</v>
      </c>
      <c r="AA120">
        <v>0</v>
      </c>
      <c r="AB120" s="4">
        <v>0</v>
      </c>
      <c r="AC120" t="s">
        <v>40</v>
      </c>
      <c r="AD120" t="s">
        <v>182</v>
      </c>
      <c r="AE120">
        <v>4</v>
      </c>
      <c r="AF120">
        <v>0</v>
      </c>
      <c r="AG120" s="2">
        <v>2.5914351851851855E-2</v>
      </c>
      <c r="AH120" s="2">
        <v>2.5937500000000002E-2</v>
      </c>
      <c r="AI120">
        <v>12</v>
      </c>
      <c r="AJ120">
        <v>29</v>
      </c>
    </row>
    <row r="121" spans="1:36" x14ac:dyDescent="0.25">
      <c r="A121" t="s">
        <v>45</v>
      </c>
      <c r="B121" s="1">
        <v>44103.278090277781</v>
      </c>
      <c r="C121" t="s">
        <v>37</v>
      </c>
      <c r="D121" t="s">
        <v>103</v>
      </c>
      <c r="E121">
        <v>9.01</v>
      </c>
      <c r="F121">
        <v>665</v>
      </c>
      <c r="G121" s="2">
        <v>3.8460648148148147E-2</v>
      </c>
      <c r="H121" t="s">
        <v>39</v>
      </c>
      <c r="I121" t="s">
        <v>39</v>
      </c>
      <c r="J121" t="s">
        <v>39</v>
      </c>
      <c r="K121">
        <v>162</v>
      </c>
      <c r="L121">
        <v>171</v>
      </c>
      <c r="M121" s="4">
        <v>0.25625000000000003</v>
      </c>
      <c r="N121" s="4">
        <v>0.19652777777777777</v>
      </c>
      <c r="O121">
        <v>10</v>
      </c>
      <c r="P121">
        <v>17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0</v>
      </c>
      <c r="W121" t="s">
        <v>39</v>
      </c>
      <c r="X121" t="s">
        <v>39</v>
      </c>
      <c r="Y121" s="3">
        <v>2.307638888888889</v>
      </c>
      <c r="Z121" s="4">
        <v>0</v>
      </c>
      <c r="AA121">
        <v>0</v>
      </c>
      <c r="AB121" s="4">
        <v>0</v>
      </c>
      <c r="AC121" t="s">
        <v>40</v>
      </c>
      <c r="AD121" t="s">
        <v>183</v>
      </c>
      <c r="AE121">
        <v>4</v>
      </c>
      <c r="AF121">
        <v>0</v>
      </c>
      <c r="AG121" s="2">
        <v>3.8460648148148147E-2</v>
      </c>
      <c r="AH121" s="2">
        <v>3.8460648148148147E-2</v>
      </c>
      <c r="AI121">
        <v>12</v>
      </c>
      <c r="AJ121">
        <v>29</v>
      </c>
    </row>
    <row r="122" spans="1:36" x14ac:dyDescent="0.25">
      <c r="A122" t="s">
        <v>45</v>
      </c>
      <c r="B122" s="1">
        <v>44101.328460648147</v>
      </c>
      <c r="C122" t="s">
        <v>37</v>
      </c>
      <c r="D122" t="s">
        <v>184</v>
      </c>
      <c r="E122">
        <v>7.87</v>
      </c>
      <c r="F122">
        <v>577</v>
      </c>
      <c r="G122" s="2">
        <v>3.4849537037037033E-2</v>
      </c>
      <c r="H122" t="s">
        <v>39</v>
      </c>
      <c r="I122" t="s">
        <v>39</v>
      </c>
      <c r="J122" t="s">
        <v>39</v>
      </c>
      <c r="K122">
        <v>161</v>
      </c>
      <c r="L122">
        <v>169</v>
      </c>
      <c r="M122" s="4">
        <v>0.26597222222222222</v>
      </c>
      <c r="N122" s="4">
        <v>0.17013888888888887</v>
      </c>
      <c r="O122">
        <v>7</v>
      </c>
      <c r="P122">
        <v>21</v>
      </c>
      <c r="Q122">
        <v>0.97</v>
      </c>
      <c r="R122">
        <v>0</v>
      </c>
      <c r="S122">
        <v>0</v>
      </c>
      <c r="T122">
        <v>0</v>
      </c>
      <c r="U122">
        <v>0</v>
      </c>
      <c r="V122">
        <v>0</v>
      </c>
      <c r="W122" t="s">
        <v>39</v>
      </c>
      <c r="X122" t="s">
        <v>39</v>
      </c>
      <c r="Y122" s="3">
        <v>2.0909722222222222</v>
      </c>
      <c r="Z122" s="4">
        <v>0</v>
      </c>
      <c r="AA122">
        <v>0</v>
      </c>
      <c r="AB122" s="4">
        <v>0</v>
      </c>
      <c r="AC122" t="s">
        <v>40</v>
      </c>
      <c r="AD122" t="s">
        <v>185</v>
      </c>
      <c r="AE122">
        <v>22</v>
      </c>
      <c r="AF122">
        <v>0</v>
      </c>
      <c r="AG122" s="2">
        <v>3.4837962962962959E-2</v>
      </c>
      <c r="AH122" s="2">
        <v>3.4849537037037033E-2</v>
      </c>
      <c r="AI122">
        <v>12</v>
      </c>
      <c r="AJ122">
        <v>29</v>
      </c>
    </row>
    <row r="123" spans="1:36" x14ac:dyDescent="0.25">
      <c r="A123" t="s">
        <v>45</v>
      </c>
      <c r="B123" s="1">
        <v>44098.298206018517</v>
      </c>
      <c r="C123" t="s">
        <v>37</v>
      </c>
      <c r="D123" t="s">
        <v>49</v>
      </c>
      <c r="E123">
        <v>8.0299999999999994</v>
      </c>
      <c r="F123">
        <v>579</v>
      </c>
      <c r="G123" s="2">
        <v>3.3275462962962958E-2</v>
      </c>
      <c r="H123" t="s">
        <v>39</v>
      </c>
      <c r="I123" t="s">
        <v>39</v>
      </c>
      <c r="J123" t="s">
        <v>39</v>
      </c>
      <c r="K123">
        <v>160</v>
      </c>
      <c r="L123">
        <v>173</v>
      </c>
      <c r="M123" s="4">
        <v>0.24861111111111112</v>
      </c>
      <c r="N123" s="4">
        <v>0.18402777777777779</v>
      </c>
      <c r="O123">
        <v>82</v>
      </c>
      <c r="P123">
        <v>83</v>
      </c>
      <c r="Q123">
        <v>1.05</v>
      </c>
      <c r="R123">
        <v>0</v>
      </c>
      <c r="S123">
        <v>0</v>
      </c>
      <c r="T123">
        <v>0</v>
      </c>
      <c r="U123">
        <v>0</v>
      </c>
      <c r="V123">
        <v>0</v>
      </c>
      <c r="W123" t="s">
        <v>39</v>
      </c>
      <c r="X123" t="s">
        <v>39</v>
      </c>
      <c r="Y123" s="3">
        <v>1.9965277777777777</v>
      </c>
      <c r="Z123" s="4">
        <v>0</v>
      </c>
      <c r="AA123">
        <v>0</v>
      </c>
      <c r="AB123" s="4">
        <v>0</v>
      </c>
      <c r="AC123" t="s">
        <v>40</v>
      </c>
      <c r="AD123" t="s">
        <v>186</v>
      </c>
      <c r="AE123">
        <v>9</v>
      </c>
      <c r="AF123">
        <v>0</v>
      </c>
      <c r="AG123" s="2">
        <v>3.3263888888888891E-2</v>
      </c>
      <c r="AH123" s="2">
        <v>3.3275462962962958E-2</v>
      </c>
      <c r="AI123">
        <v>22</v>
      </c>
      <c r="AJ123">
        <v>61</v>
      </c>
    </row>
    <row r="124" spans="1:36" x14ac:dyDescent="0.25">
      <c r="A124" t="s">
        <v>45</v>
      </c>
      <c r="B124" s="1">
        <v>44096.300219907411</v>
      </c>
      <c r="C124" t="s">
        <v>37</v>
      </c>
      <c r="D124" t="s">
        <v>49</v>
      </c>
      <c r="E124">
        <v>5.3</v>
      </c>
      <c r="F124">
        <v>374</v>
      </c>
      <c r="G124" s="2">
        <v>2.4004629629629629E-2</v>
      </c>
      <c r="H124" t="s">
        <v>39</v>
      </c>
      <c r="I124" t="s">
        <v>39</v>
      </c>
      <c r="J124" t="s">
        <v>39</v>
      </c>
      <c r="K124">
        <v>121</v>
      </c>
      <c r="L124">
        <v>173</v>
      </c>
      <c r="M124" s="4">
        <v>0.2722222222222222</v>
      </c>
      <c r="N124" s="4">
        <v>1.1805555555555555E-2</v>
      </c>
      <c r="O124">
        <v>9</v>
      </c>
      <c r="P124">
        <v>12</v>
      </c>
      <c r="Q124">
        <v>1.24</v>
      </c>
      <c r="R124">
        <v>0</v>
      </c>
      <c r="S124">
        <v>0</v>
      </c>
      <c r="T124">
        <v>0</v>
      </c>
      <c r="U124">
        <v>0</v>
      </c>
      <c r="V124">
        <v>0</v>
      </c>
      <c r="W124" t="s">
        <v>39</v>
      </c>
      <c r="X124" t="s">
        <v>39</v>
      </c>
      <c r="Y124" s="3">
        <v>1.440277777777778</v>
      </c>
      <c r="Z124" s="4">
        <v>0</v>
      </c>
      <c r="AA124">
        <v>0</v>
      </c>
      <c r="AB124" s="4">
        <v>0</v>
      </c>
      <c r="AC124" t="s">
        <v>40</v>
      </c>
      <c r="AD124" t="s">
        <v>187</v>
      </c>
      <c r="AE124">
        <v>22</v>
      </c>
      <c r="AF124">
        <v>0</v>
      </c>
      <c r="AG124" s="2">
        <v>1.8541666666666668E-2</v>
      </c>
      <c r="AH124" s="2">
        <v>2.4027777777777776E-2</v>
      </c>
      <c r="AI124">
        <v>12</v>
      </c>
      <c r="AJ124">
        <v>23</v>
      </c>
    </row>
    <row r="125" spans="1:36" x14ac:dyDescent="0.25">
      <c r="A125" t="s">
        <v>45</v>
      </c>
      <c r="B125" s="1">
        <v>44096.295381944445</v>
      </c>
      <c r="C125" t="s">
        <v>37</v>
      </c>
      <c r="D125" t="s">
        <v>49</v>
      </c>
      <c r="E125">
        <v>1.06</v>
      </c>
      <c r="F125">
        <v>76</v>
      </c>
      <c r="G125" s="6">
        <v>4.5914351851851854E-3</v>
      </c>
      <c r="H125" t="s">
        <v>39</v>
      </c>
      <c r="I125" t="s">
        <v>39</v>
      </c>
      <c r="J125" t="s">
        <v>39</v>
      </c>
      <c r="K125">
        <v>155</v>
      </c>
      <c r="L125">
        <v>162</v>
      </c>
      <c r="M125" s="4">
        <v>0.26111111111111113</v>
      </c>
      <c r="N125" s="4">
        <v>0.23750000000000002</v>
      </c>
      <c r="O125" t="s">
        <v>39</v>
      </c>
      <c r="P125">
        <v>8</v>
      </c>
      <c r="Q125">
        <v>1.03</v>
      </c>
      <c r="R125">
        <v>0</v>
      </c>
      <c r="S125">
        <v>0</v>
      </c>
      <c r="T125">
        <v>0</v>
      </c>
      <c r="U125">
        <v>0</v>
      </c>
      <c r="V125">
        <v>0</v>
      </c>
      <c r="W125" t="s">
        <v>39</v>
      </c>
      <c r="X125" t="s">
        <v>39</v>
      </c>
      <c r="Y125" s="6">
        <v>4.5914351851851854E-3</v>
      </c>
      <c r="Z125" s="4">
        <v>0</v>
      </c>
      <c r="AA125">
        <v>0</v>
      </c>
      <c r="AB125" s="4">
        <v>0</v>
      </c>
      <c r="AC125" t="s">
        <v>40</v>
      </c>
      <c r="AD125" t="s">
        <v>188</v>
      </c>
      <c r="AE125">
        <v>3</v>
      </c>
      <c r="AF125">
        <v>0</v>
      </c>
      <c r="AG125" s="6">
        <v>4.5914351851851854E-3</v>
      </c>
      <c r="AH125" s="6">
        <v>4.6064814814814814E-3</v>
      </c>
      <c r="AI125">
        <v>18</v>
      </c>
      <c r="AJ125">
        <v>29</v>
      </c>
    </row>
    <row r="126" spans="1:36" x14ac:dyDescent="0.25">
      <c r="A126" t="s">
        <v>45</v>
      </c>
      <c r="B126" s="1">
        <v>44094.348182870373</v>
      </c>
      <c r="C126" t="s">
        <v>37</v>
      </c>
      <c r="D126" t="s">
        <v>49</v>
      </c>
      <c r="E126">
        <v>8.01</v>
      </c>
      <c r="F126">
        <v>586</v>
      </c>
      <c r="G126" s="2">
        <v>3.2361111111111111E-2</v>
      </c>
      <c r="H126" t="s">
        <v>39</v>
      </c>
      <c r="I126" t="s">
        <v>39</v>
      </c>
      <c r="J126" t="s">
        <v>39</v>
      </c>
      <c r="K126">
        <v>160</v>
      </c>
      <c r="L126">
        <v>169</v>
      </c>
      <c r="M126" s="4">
        <v>0.24236111111111111</v>
      </c>
      <c r="N126" s="4">
        <v>0.14583333333333334</v>
      </c>
      <c r="O126">
        <v>48</v>
      </c>
      <c r="P126">
        <v>48</v>
      </c>
      <c r="Q126">
        <v>1.07</v>
      </c>
      <c r="R126">
        <v>0</v>
      </c>
      <c r="S126">
        <v>0</v>
      </c>
      <c r="T126">
        <v>0</v>
      </c>
      <c r="U126">
        <v>0</v>
      </c>
      <c r="V126">
        <v>0</v>
      </c>
      <c r="W126" t="s">
        <v>39</v>
      </c>
      <c r="X126" t="s">
        <v>39</v>
      </c>
      <c r="Y126" s="3">
        <v>1.9416666666666667</v>
      </c>
      <c r="Z126" s="4">
        <v>0</v>
      </c>
      <c r="AA126">
        <v>0</v>
      </c>
      <c r="AB126" s="4">
        <v>0</v>
      </c>
      <c r="AC126" t="s">
        <v>40</v>
      </c>
      <c r="AD126" t="s">
        <v>189</v>
      </c>
      <c r="AE126">
        <v>9</v>
      </c>
      <c r="AF126">
        <v>0</v>
      </c>
      <c r="AG126" s="2">
        <v>3.2337962962962964E-2</v>
      </c>
      <c r="AH126" s="2">
        <v>3.2361111111111111E-2</v>
      </c>
      <c r="AI126">
        <v>12</v>
      </c>
      <c r="AJ126">
        <v>56</v>
      </c>
    </row>
    <row r="127" spans="1:36" x14ac:dyDescent="0.25">
      <c r="A127" t="s">
        <v>45</v>
      </c>
      <c r="B127" s="1">
        <v>44091.298032407409</v>
      </c>
      <c r="C127" t="s">
        <v>37</v>
      </c>
      <c r="D127" t="s">
        <v>45</v>
      </c>
      <c r="E127">
        <v>6.53</v>
      </c>
      <c r="F127">
        <v>462</v>
      </c>
      <c r="G127" s="2">
        <v>2.8437500000000001E-2</v>
      </c>
      <c r="H127" t="s">
        <v>39</v>
      </c>
      <c r="I127" t="s">
        <v>39</v>
      </c>
      <c r="J127" t="s">
        <v>39</v>
      </c>
      <c r="K127">
        <v>142</v>
      </c>
      <c r="L127">
        <v>168</v>
      </c>
      <c r="M127" s="4">
        <v>0.26111111111111113</v>
      </c>
      <c r="N127" s="4">
        <v>0.20555555555555557</v>
      </c>
      <c r="O127" t="s">
        <v>39</v>
      </c>
      <c r="P127" t="s">
        <v>39</v>
      </c>
      <c r="Q127">
        <v>1.1200000000000001</v>
      </c>
      <c r="R127">
        <v>0</v>
      </c>
      <c r="S127">
        <v>0</v>
      </c>
      <c r="T127">
        <v>0</v>
      </c>
      <c r="U127">
        <v>0</v>
      </c>
      <c r="V127">
        <v>0</v>
      </c>
      <c r="W127" t="s">
        <v>39</v>
      </c>
      <c r="X127" t="s">
        <v>39</v>
      </c>
      <c r="Y127" s="3">
        <v>1.70625</v>
      </c>
      <c r="Z127" s="4">
        <v>0</v>
      </c>
      <c r="AA127">
        <v>0</v>
      </c>
      <c r="AB127" s="4">
        <v>0</v>
      </c>
      <c r="AC127" t="s">
        <v>40</v>
      </c>
      <c r="AD127" t="s">
        <v>190</v>
      </c>
      <c r="AE127">
        <v>18</v>
      </c>
      <c r="AF127">
        <v>0</v>
      </c>
      <c r="AG127" s="2">
        <v>2.7581018518518519E-2</v>
      </c>
      <c r="AH127" s="2">
        <v>2.8472222222222222E-2</v>
      </c>
      <c r="AI127" t="s">
        <v>39</v>
      </c>
      <c r="AJ127" t="s">
        <v>39</v>
      </c>
    </row>
    <row r="128" spans="1:36" x14ac:dyDescent="0.25">
      <c r="A128" t="s">
        <v>45</v>
      </c>
      <c r="B128" s="1">
        <v>44089.295358796298</v>
      </c>
      <c r="C128" t="s">
        <v>37</v>
      </c>
      <c r="D128" t="s">
        <v>49</v>
      </c>
      <c r="E128">
        <v>5.0999999999999996</v>
      </c>
      <c r="F128">
        <v>372</v>
      </c>
      <c r="G128" s="2">
        <v>2.0868055555555556E-2</v>
      </c>
      <c r="H128" t="s">
        <v>39</v>
      </c>
      <c r="I128" t="s">
        <v>39</v>
      </c>
      <c r="J128" t="s">
        <v>39</v>
      </c>
      <c r="K128">
        <v>157</v>
      </c>
      <c r="L128">
        <v>164</v>
      </c>
      <c r="M128" s="4">
        <v>0.24583333333333335</v>
      </c>
      <c r="N128" s="4">
        <v>0.23055555555555554</v>
      </c>
      <c r="O128">
        <v>18</v>
      </c>
      <c r="P128">
        <v>21</v>
      </c>
      <c r="Q128">
        <v>1.08</v>
      </c>
      <c r="R128">
        <v>0</v>
      </c>
      <c r="S128">
        <v>0</v>
      </c>
      <c r="T128">
        <v>0</v>
      </c>
      <c r="U128">
        <v>0</v>
      </c>
      <c r="V128">
        <v>0</v>
      </c>
      <c r="W128" t="s">
        <v>39</v>
      </c>
      <c r="X128" t="s">
        <v>39</v>
      </c>
      <c r="Y128" s="3">
        <v>1.2520833333333334</v>
      </c>
      <c r="Z128" s="4">
        <v>0</v>
      </c>
      <c r="AA128">
        <v>0</v>
      </c>
      <c r="AB128" s="4">
        <v>0</v>
      </c>
      <c r="AC128" t="s">
        <v>40</v>
      </c>
      <c r="AD128" t="s">
        <v>191</v>
      </c>
      <c r="AE128">
        <v>6</v>
      </c>
      <c r="AF128">
        <v>0</v>
      </c>
      <c r="AG128" s="2">
        <v>2.0856481481481479E-2</v>
      </c>
      <c r="AH128" s="2">
        <v>2.0868055555555556E-2</v>
      </c>
      <c r="AI128">
        <v>12</v>
      </c>
      <c r="AJ128">
        <v>33</v>
      </c>
    </row>
    <row r="129" spans="1:36" x14ac:dyDescent="0.25">
      <c r="A129" t="s">
        <v>45</v>
      </c>
      <c r="B129" s="1">
        <v>44084.297881944447</v>
      </c>
      <c r="C129" t="s">
        <v>37</v>
      </c>
      <c r="D129" t="s">
        <v>49</v>
      </c>
      <c r="E129">
        <v>7.01</v>
      </c>
      <c r="F129">
        <v>504</v>
      </c>
      <c r="G129" s="2">
        <v>2.8692129629629633E-2</v>
      </c>
      <c r="H129" t="s">
        <v>39</v>
      </c>
      <c r="I129" t="s">
        <v>39</v>
      </c>
      <c r="J129" t="s">
        <v>39</v>
      </c>
      <c r="K129">
        <v>158</v>
      </c>
      <c r="L129">
        <v>169</v>
      </c>
      <c r="M129" s="4">
        <v>0.24583333333333335</v>
      </c>
      <c r="N129" s="4">
        <v>0.20902777777777778</v>
      </c>
      <c r="O129">
        <v>29</v>
      </c>
      <c r="P129">
        <v>34</v>
      </c>
      <c r="Q129">
        <v>1.07</v>
      </c>
      <c r="R129">
        <v>0</v>
      </c>
      <c r="S129">
        <v>0</v>
      </c>
      <c r="T129">
        <v>0</v>
      </c>
      <c r="U129">
        <v>0</v>
      </c>
      <c r="V129">
        <v>0</v>
      </c>
      <c r="W129" t="s">
        <v>39</v>
      </c>
      <c r="X129" t="s">
        <v>39</v>
      </c>
      <c r="Y129" s="3">
        <v>1.721527777777778</v>
      </c>
      <c r="Z129" s="4">
        <v>0</v>
      </c>
      <c r="AA129">
        <v>0</v>
      </c>
      <c r="AB129" s="4">
        <v>0</v>
      </c>
      <c r="AC129" t="s">
        <v>40</v>
      </c>
      <c r="AD129" t="s">
        <v>98</v>
      </c>
      <c r="AE129">
        <v>8</v>
      </c>
      <c r="AF129">
        <v>0</v>
      </c>
      <c r="AG129" s="2">
        <v>2.8668981481481479E-2</v>
      </c>
      <c r="AH129" s="2">
        <v>2.8692129629629633E-2</v>
      </c>
      <c r="AI129">
        <v>12</v>
      </c>
      <c r="AJ129">
        <v>37</v>
      </c>
    </row>
    <row r="130" spans="1:36" x14ac:dyDescent="0.25">
      <c r="A130" t="s">
        <v>45</v>
      </c>
      <c r="B130" s="1">
        <v>44082.293715277781</v>
      </c>
      <c r="C130" t="s">
        <v>37</v>
      </c>
      <c r="D130" t="s">
        <v>192</v>
      </c>
      <c r="E130">
        <v>7.61</v>
      </c>
      <c r="F130">
        <v>528</v>
      </c>
      <c r="G130" s="2">
        <v>3.7245370370370366E-2</v>
      </c>
      <c r="H130" t="s">
        <v>39</v>
      </c>
      <c r="I130" t="s">
        <v>39</v>
      </c>
      <c r="J130" t="s">
        <v>39</v>
      </c>
      <c r="K130">
        <v>135</v>
      </c>
      <c r="L130">
        <v>236</v>
      </c>
      <c r="M130" s="4">
        <v>0.29375000000000001</v>
      </c>
      <c r="N130" s="4">
        <v>0.19305555555555554</v>
      </c>
      <c r="O130" t="s">
        <v>39</v>
      </c>
      <c r="P130" t="s">
        <v>39</v>
      </c>
      <c r="Q130">
        <v>1.04</v>
      </c>
      <c r="R130">
        <v>0</v>
      </c>
      <c r="S130">
        <v>0</v>
      </c>
      <c r="T130">
        <v>0</v>
      </c>
      <c r="U130">
        <v>0</v>
      </c>
      <c r="V130">
        <v>0</v>
      </c>
      <c r="W130" t="s">
        <v>39</v>
      </c>
      <c r="X130" t="s">
        <v>39</v>
      </c>
      <c r="Y130" s="3">
        <v>2.2347222222222221</v>
      </c>
      <c r="Z130" s="4">
        <v>0</v>
      </c>
      <c r="AA130">
        <v>0</v>
      </c>
      <c r="AB130" s="4">
        <v>0</v>
      </c>
      <c r="AC130" t="s">
        <v>40</v>
      </c>
      <c r="AD130" t="s">
        <v>193</v>
      </c>
      <c r="AE130">
        <v>19</v>
      </c>
      <c r="AF130">
        <v>0</v>
      </c>
      <c r="AG130" s="2">
        <v>3.6608796296296299E-2</v>
      </c>
      <c r="AH130" s="2">
        <v>3.7442129629629624E-2</v>
      </c>
      <c r="AI130" t="s">
        <v>39</v>
      </c>
      <c r="AJ130" t="s">
        <v>39</v>
      </c>
    </row>
    <row r="131" spans="1:36" x14ac:dyDescent="0.25">
      <c r="A131" t="s">
        <v>45</v>
      </c>
      <c r="B131" s="1">
        <v>44080.358807870369</v>
      </c>
      <c r="C131" t="s">
        <v>37</v>
      </c>
      <c r="D131" t="s">
        <v>49</v>
      </c>
      <c r="E131">
        <v>7.01</v>
      </c>
      <c r="F131">
        <v>517</v>
      </c>
      <c r="G131" s="2">
        <v>2.8310185185185185E-2</v>
      </c>
      <c r="H131" t="s">
        <v>39</v>
      </c>
      <c r="I131" t="s">
        <v>39</v>
      </c>
      <c r="J131" t="s">
        <v>39</v>
      </c>
      <c r="K131">
        <v>159</v>
      </c>
      <c r="L131">
        <v>170</v>
      </c>
      <c r="M131" s="4">
        <v>0.24236111111111111</v>
      </c>
      <c r="N131" s="4">
        <v>4.8611111111111112E-2</v>
      </c>
      <c r="O131">
        <v>68</v>
      </c>
      <c r="P131">
        <v>71</v>
      </c>
      <c r="Q131">
        <v>1.08</v>
      </c>
      <c r="R131">
        <v>0</v>
      </c>
      <c r="S131">
        <v>0</v>
      </c>
      <c r="T131">
        <v>0</v>
      </c>
      <c r="U131">
        <v>0</v>
      </c>
      <c r="V131">
        <v>0</v>
      </c>
      <c r="W131" t="s">
        <v>39</v>
      </c>
      <c r="X131" t="s">
        <v>39</v>
      </c>
      <c r="Y131" s="3">
        <v>1.6986111111111111</v>
      </c>
      <c r="Z131" s="4">
        <v>0</v>
      </c>
      <c r="AA131">
        <v>0</v>
      </c>
      <c r="AB131" s="4">
        <v>0</v>
      </c>
      <c r="AC131" t="s">
        <v>40</v>
      </c>
      <c r="AD131" t="s">
        <v>194</v>
      </c>
      <c r="AE131">
        <v>8</v>
      </c>
      <c r="AF131">
        <v>0</v>
      </c>
      <c r="AG131" s="2">
        <v>2.8229166666666666E-2</v>
      </c>
      <c r="AH131" s="2">
        <v>2.8310185185185185E-2</v>
      </c>
      <c r="AI131">
        <v>-3</v>
      </c>
      <c r="AJ131">
        <v>59</v>
      </c>
    </row>
    <row r="132" spans="1:36" x14ac:dyDescent="0.25">
      <c r="A132" t="s">
        <v>45</v>
      </c>
      <c r="B132" s="1">
        <v>44077.298437500001</v>
      </c>
      <c r="C132" t="s">
        <v>37</v>
      </c>
      <c r="D132" t="s">
        <v>195</v>
      </c>
      <c r="E132">
        <v>6.01</v>
      </c>
      <c r="F132">
        <v>435</v>
      </c>
      <c r="G132" s="2">
        <v>2.3796296296296298E-2</v>
      </c>
      <c r="H132" t="s">
        <v>39</v>
      </c>
      <c r="I132" t="s">
        <v>39</v>
      </c>
      <c r="J132" t="s">
        <v>39</v>
      </c>
      <c r="K132">
        <v>157</v>
      </c>
      <c r="L132">
        <v>169</v>
      </c>
      <c r="M132" s="4">
        <v>0.23750000000000002</v>
      </c>
      <c r="N132" s="4">
        <v>0.1423611111111111</v>
      </c>
      <c r="O132">
        <v>8</v>
      </c>
      <c r="P132">
        <v>14</v>
      </c>
      <c r="Q132">
        <v>1.1100000000000001</v>
      </c>
      <c r="R132">
        <v>0</v>
      </c>
      <c r="S132">
        <v>0</v>
      </c>
      <c r="T132">
        <v>0</v>
      </c>
      <c r="U132">
        <v>0</v>
      </c>
      <c r="V132">
        <v>0</v>
      </c>
      <c r="W132" t="s">
        <v>39</v>
      </c>
      <c r="X132" t="s">
        <v>39</v>
      </c>
      <c r="Y132" s="3">
        <v>1.4277777777777778</v>
      </c>
      <c r="Z132" s="4">
        <v>0</v>
      </c>
      <c r="AA132">
        <v>0</v>
      </c>
      <c r="AB132" s="4">
        <v>0</v>
      </c>
      <c r="AC132" t="s">
        <v>40</v>
      </c>
      <c r="AD132" t="s">
        <v>196</v>
      </c>
      <c r="AE132">
        <v>7</v>
      </c>
      <c r="AF132">
        <v>0</v>
      </c>
      <c r="AG132" s="2">
        <v>2.3784722222222221E-2</v>
      </c>
      <c r="AH132" s="2">
        <v>2.3796296296296298E-2</v>
      </c>
      <c r="AI132">
        <v>12</v>
      </c>
      <c r="AJ132">
        <v>29</v>
      </c>
    </row>
    <row r="133" spans="1:36" x14ac:dyDescent="0.25">
      <c r="A133" t="s">
        <v>45</v>
      </c>
      <c r="B133" s="1">
        <v>44075.300266203703</v>
      </c>
      <c r="C133" t="s">
        <v>37</v>
      </c>
      <c r="D133" t="s">
        <v>197</v>
      </c>
      <c r="E133">
        <v>5.87</v>
      </c>
      <c r="F133">
        <v>406</v>
      </c>
      <c r="G133" s="2">
        <v>2.90162037037037E-2</v>
      </c>
      <c r="H133" t="s">
        <v>39</v>
      </c>
      <c r="I133" t="s">
        <v>39</v>
      </c>
      <c r="J133" t="s">
        <v>39</v>
      </c>
      <c r="K133">
        <v>132</v>
      </c>
      <c r="L133">
        <v>160</v>
      </c>
      <c r="M133" s="4">
        <v>0.29652777777777778</v>
      </c>
      <c r="N133" s="4">
        <v>0.21319444444444444</v>
      </c>
      <c r="O133" t="s">
        <v>39</v>
      </c>
      <c r="P133" t="s">
        <v>39</v>
      </c>
      <c r="Q133">
        <v>1.04</v>
      </c>
      <c r="R133">
        <v>0</v>
      </c>
      <c r="S133">
        <v>0</v>
      </c>
      <c r="T133">
        <v>0</v>
      </c>
      <c r="U133">
        <v>0</v>
      </c>
      <c r="V133">
        <v>0</v>
      </c>
      <c r="W133" t="s">
        <v>39</v>
      </c>
      <c r="X133" t="s">
        <v>39</v>
      </c>
      <c r="Y133" s="3">
        <v>1.7409722222222221</v>
      </c>
      <c r="Z133" s="4">
        <v>0</v>
      </c>
      <c r="AA133">
        <v>0</v>
      </c>
      <c r="AB133" s="4">
        <v>0</v>
      </c>
      <c r="AC133" t="s">
        <v>40</v>
      </c>
      <c r="AD133" t="s">
        <v>198</v>
      </c>
      <c r="AE133">
        <v>10</v>
      </c>
      <c r="AF133">
        <v>0</v>
      </c>
      <c r="AG133" s="2">
        <v>2.855324074074074E-2</v>
      </c>
      <c r="AH133" s="2">
        <v>2.90162037037037E-2</v>
      </c>
      <c r="AI133" t="s">
        <v>39</v>
      </c>
      <c r="AJ133" t="s">
        <v>39</v>
      </c>
    </row>
    <row r="134" spans="1:36" x14ac:dyDescent="0.25">
      <c r="A134" t="s">
        <v>45</v>
      </c>
      <c r="B134" s="1">
        <v>44072.333298611113</v>
      </c>
      <c r="C134" t="s">
        <v>37</v>
      </c>
      <c r="D134" t="s">
        <v>49</v>
      </c>
      <c r="E134">
        <v>7</v>
      </c>
      <c r="F134">
        <v>511</v>
      </c>
      <c r="G134" s="2">
        <v>2.9861111111111113E-2</v>
      </c>
      <c r="H134" t="s">
        <v>39</v>
      </c>
      <c r="I134" t="s">
        <v>39</v>
      </c>
      <c r="J134" t="s">
        <v>39</v>
      </c>
      <c r="K134">
        <v>155</v>
      </c>
      <c r="L134">
        <v>169</v>
      </c>
      <c r="M134" s="4">
        <v>0.25555555555555559</v>
      </c>
      <c r="N134" s="4">
        <v>0.18541666666666667</v>
      </c>
      <c r="O134">
        <v>98</v>
      </c>
      <c r="P134">
        <v>82</v>
      </c>
      <c r="Q134">
        <v>1.05</v>
      </c>
      <c r="R134">
        <v>0</v>
      </c>
      <c r="S134">
        <v>0</v>
      </c>
      <c r="T134">
        <v>0</v>
      </c>
      <c r="U134">
        <v>0</v>
      </c>
      <c r="V134">
        <v>0</v>
      </c>
      <c r="W134" t="s">
        <v>39</v>
      </c>
      <c r="X134" t="s">
        <v>39</v>
      </c>
      <c r="Y134" s="3">
        <v>1.7916666666666667</v>
      </c>
      <c r="Z134" s="4">
        <v>0</v>
      </c>
      <c r="AA134">
        <v>0</v>
      </c>
      <c r="AB134" s="4">
        <v>0</v>
      </c>
      <c r="AC134" t="s">
        <v>40</v>
      </c>
      <c r="AD134" t="s">
        <v>199</v>
      </c>
      <c r="AE134">
        <v>8</v>
      </c>
      <c r="AF134">
        <v>0</v>
      </c>
      <c r="AG134" s="2">
        <v>2.9849537037037036E-2</v>
      </c>
      <c r="AH134" s="2">
        <v>2.9861111111111113E-2</v>
      </c>
      <c r="AI134">
        <v>22</v>
      </c>
      <c r="AJ134">
        <v>60</v>
      </c>
    </row>
    <row r="135" spans="1:36" x14ac:dyDescent="0.25">
      <c r="A135" t="s">
        <v>45</v>
      </c>
      <c r="B135" s="1">
        <v>44070.299201388887</v>
      </c>
      <c r="C135" t="s">
        <v>37</v>
      </c>
      <c r="D135" t="s">
        <v>200</v>
      </c>
      <c r="E135">
        <v>5.24</v>
      </c>
      <c r="F135">
        <v>375</v>
      </c>
      <c r="G135" s="2">
        <v>2.7303240740740743E-2</v>
      </c>
      <c r="H135" t="s">
        <v>39</v>
      </c>
      <c r="I135" t="s">
        <v>39</v>
      </c>
      <c r="J135" t="s">
        <v>39</v>
      </c>
      <c r="K135">
        <v>115</v>
      </c>
      <c r="L135">
        <v>176</v>
      </c>
      <c r="M135" s="4">
        <v>0.3125</v>
      </c>
      <c r="N135" s="4">
        <v>3.6111111111111115E-2</v>
      </c>
      <c r="O135">
        <v>9</v>
      </c>
      <c r="P135">
        <v>11</v>
      </c>
      <c r="Q135">
        <v>1.1200000000000001</v>
      </c>
      <c r="R135">
        <v>0</v>
      </c>
      <c r="S135">
        <v>0</v>
      </c>
      <c r="T135">
        <v>0</v>
      </c>
      <c r="U135">
        <v>0</v>
      </c>
      <c r="V135">
        <v>0</v>
      </c>
      <c r="W135" t="s">
        <v>39</v>
      </c>
      <c r="X135" t="s">
        <v>39</v>
      </c>
      <c r="Y135" s="3">
        <v>1.6381944444444445</v>
      </c>
      <c r="Z135" s="4">
        <v>0</v>
      </c>
      <c r="AA135">
        <v>0</v>
      </c>
      <c r="AB135" s="4">
        <v>0</v>
      </c>
      <c r="AC135" t="s">
        <v>40</v>
      </c>
      <c r="AD135" t="s">
        <v>114</v>
      </c>
      <c r="AE135">
        <v>15</v>
      </c>
      <c r="AF135">
        <v>0</v>
      </c>
      <c r="AG135" s="2">
        <v>1.9872685185185184E-2</v>
      </c>
      <c r="AH135" s="2">
        <v>2.7303240740740743E-2</v>
      </c>
      <c r="AI135">
        <v>12</v>
      </c>
      <c r="AJ135">
        <v>22</v>
      </c>
    </row>
    <row r="136" spans="1:36" x14ac:dyDescent="0.25">
      <c r="A136" t="s">
        <v>45</v>
      </c>
      <c r="B136" s="1">
        <v>44068.302615740744</v>
      </c>
      <c r="C136" t="s">
        <v>37</v>
      </c>
      <c r="D136" t="s">
        <v>49</v>
      </c>
      <c r="E136">
        <v>6.01</v>
      </c>
      <c r="F136">
        <v>439</v>
      </c>
      <c r="G136" s="2">
        <v>2.4583333333333332E-2</v>
      </c>
      <c r="H136" t="s">
        <v>39</v>
      </c>
      <c r="I136" t="s">
        <v>39</v>
      </c>
      <c r="J136" t="s">
        <v>39</v>
      </c>
      <c r="K136">
        <v>160</v>
      </c>
      <c r="L136">
        <v>167</v>
      </c>
      <c r="M136" s="4">
        <v>0.24513888888888888</v>
      </c>
      <c r="N136" s="4">
        <v>0.15902777777777777</v>
      </c>
      <c r="O136">
        <v>46</v>
      </c>
      <c r="P136">
        <v>49</v>
      </c>
      <c r="Q136">
        <v>1.06</v>
      </c>
      <c r="R136">
        <v>0</v>
      </c>
      <c r="S136">
        <v>0</v>
      </c>
      <c r="T136">
        <v>0</v>
      </c>
      <c r="U136">
        <v>0</v>
      </c>
      <c r="V136">
        <v>0</v>
      </c>
      <c r="W136" t="s">
        <v>39</v>
      </c>
      <c r="X136" t="s">
        <v>39</v>
      </c>
      <c r="Y136" s="3">
        <v>1.4749999999999999</v>
      </c>
      <c r="Z136" s="4">
        <v>0</v>
      </c>
      <c r="AA136">
        <v>0</v>
      </c>
      <c r="AB136" s="4">
        <v>0</v>
      </c>
      <c r="AC136" t="s">
        <v>40</v>
      </c>
      <c r="AD136" t="s">
        <v>201</v>
      </c>
      <c r="AE136">
        <v>7</v>
      </c>
      <c r="AF136">
        <v>0</v>
      </c>
      <c r="AG136" s="2">
        <v>2.4560185185185185E-2</v>
      </c>
      <c r="AH136" s="2">
        <v>2.4583333333333332E-2</v>
      </c>
      <c r="AI136">
        <v>21</v>
      </c>
      <c r="AJ136">
        <v>54</v>
      </c>
    </row>
    <row r="137" spans="1:36" x14ac:dyDescent="0.25">
      <c r="A137" t="s">
        <v>45</v>
      </c>
      <c r="B137" s="1">
        <v>44065.39806712963</v>
      </c>
      <c r="C137" t="s">
        <v>37</v>
      </c>
      <c r="D137" t="s">
        <v>103</v>
      </c>
      <c r="E137">
        <v>6.04</v>
      </c>
      <c r="F137">
        <v>446</v>
      </c>
      <c r="G137" s="2">
        <v>2.7280092592592592E-2</v>
      </c>
      <c r="H137">
        <v>177</v>
      </c>
      <c r="I137">
        <v>191</v>
      </c>
      <c r="J137">
        <v>4.9000000000000004</v>
      </c>
      <c r="K137">
        <v>153</v>
      </c>
      <c r="L137">
        <v>168</v>
      </c>
      <c r="M137" s="4">
        <v>0.27083333333333331</v>
      </c>
      <c r="N137" s="4">
        <v>0.19791666666666666</v>
      </c>
      <c r="O137">
        <v>96</v>
      </c>
      <c r="P137">
        <v>73</v>
      </c>
      <c r="Q137">
        <v>1</v>
      </c>
      <c r="R137">
        <v>0</v>
      </c>
      <c r="S137">
        <v>0</v>
      </c>
      <c r="T137">
        <v>0</v>
      </c>
      <c r="U137">
        <v>0</v>
      </c>
      <c r="V137">
        <v>0</v>
      </c>
      <c r="W137" t="s">
        <v>39</v>
      </c>
      <c r="X137" t="s">
        <v>39</v>
      </c>
      <c r="Y137" s="3">
        <v>1.6368055555555554</v>
      </c>
      <c r="Z137" s="4">
        <v>0</v>
      </c>
      <c r="AA137">
        <v>0</v>
      </c>
      <c r="AB137" s="4">
        <v>0</v>
      </c>
      <c r="AC137" t="s">
        <v>40</v>
      </c>
      <c r="AD137" t="s">
        <v>202</v>
      </c>
      <c r="AE137">
        <v>10</v>
      </c>
      <c r="AF137">
        <v>0</v>
      </c>
      <c r="AG137" s="2">
        <v>2.6886574074074077E-2</v>
      </c>
      <c r="AH137" s="2">
        <v>2.7280092592592592E-2</v>
      </c>
      <c r="AI137">
        <v>21</v>
      </c>
      <c r="AJ137">
        <v>59</v>
      </c>
    </row>
    <row r="138" spans="1:36" x14ac:dyDescent="0.25">
      <c r="A138" t="s">
        <v>45</v>
      </c>
      <c r="B138" s="1">
        <v>44063.297731481478</v>
      </c>
      <c r="C138" t="s">
        <v>37</v>
      </c>
      <c r="D138" t="s">
        <v>45</v>
      </c>
      <c r="E138">
        <v>5.01</v>
      </c>
      <c r="F138">
        <v>333</v>
      </c>
      <c r="G138" s="2">
        <v>2.1354166666666664E-2</v>
      </c>
      <c r="H138">
        <v>171</v>
      </c>
      <c r="I138">
        <v>182</v>
      </c>
      <c r="J138">
        <v>4</v>
      </c>
      <c r="K138">
        <v>152</v>
      </c>
      <c r="L138">
        <v>158</v>
      </c>
      <c r="M138" s="4">
        <v>0.25555555555555559</v>
      </c>
      <c r="N138" s="4">
        <v>0.23541666666666669</v>
      </c>
      <c r="O138" t="s">
        <v>39</v>
      </c>
      <c r="P138" t="s">
        <v>39</v>
      </c>
      <c r="Q138">
        <v>1.08</v>
      </c>
      <c r="R138">
        <v>0</v>
      </c>
      <c r="S138">
        <v>0</v>
      </c>
      <c r="T138">
        <v>0</v>
      </c>
      <c r="U138">
        <v>0</v>
      </c>
      <c r="V138">
        <v>0</v>
      </c>
      <c r="W138" t="s">
        <v>39</v>
      </c>
      <c r="X138" t="s">
        <v>39</v>
      </c>
      <c r="Y138" s="3">
        <v>1.28125</v>
      </c>
      <c r="Z138" s="4">
        <v>0</v>
      </c>
      <c r="AA138">
        <v>0</v>
      </c>
      <c r="AB138" s="4">
        <v>0</v>
      </c>
      <c r="AC138" t="s">
        <v>40</v>
      </c>
      <c r="AD138" t="s">
        <v>203</v>
      </c>
      <c r="AE138">
        <v>6</v>
      </c>
      <c r="AF138">
        <v>0</v>
      </c>
      <c r="AG138" s="2">
        <v>2.1331018518518517E-2</v>
      </c>
      <c r="AH138" s="2">
        <v>2.1354166666666664E-2</v>
      </c>
      <c r="AI138" t="s">
        <v>39</v>
      </c>
      <c r="AJ138" t="s">
        <v>39</v>
      </c>
    </row>
    <row r="139" spans="1:36" x14ac:dyDescent="0.25">
      <c r="A139" t="s">
        <v>45</v>
      </c>
      <c r="B139" s="1">
        <v>44061.2971412037</v>
      </c>
      <c r="C139" t="s">
        <v>37</v>
      </c>
      <c r="D139" t="s">
        <v>204</v>
      </c>
      <c r="E139">
        <v>4.51</v>
      </c>
      <c r="F139">
        <v>320</v>
      </c>
      <c r="G139" s="2">
        <v>2.2800925925925929E-2</v>
      </c>
      <c r="H139">
        <v>158</v>
      </c>
      <c r="I139">
        <v>179</v>
      </c>
      <c r="J139">
        <v>3.4</v>
      </c>
      <c r="K139">
        <v>132</v>
      </c>
      <c r="L139">
        <v>158</v>
      </c>
      <c r="M139" s="4">
        <v>0.3034722222222222</v>
      </c>
      <c r="N139" s="4">
        <v>0.21805555555555556</v>
      </c>
      <c r="O139" t="s">
        <v>39</v>
      </c>
      <c r="P139" t="s">
        <v>39</v>
      </c>
      <c r="Q139">
        <v>1.03</v>
      </c>
      <c r="R139">
        <v>0</v>
      </c>
      <c r="S139">
        <v>0</v>
      </c>
      <c r="T139">
        <v>0</v>
      </c>
      <c r="U139">
        <v>0</v>
      </c>
      <c r="V139">
        <v>0</v>
      </c>
      <c r="W139" t="s">
        <v>39</v>
      </c>
      <c r="X139" t="s">
        <v>39</v>
      </c>
      <c r="Y139" s="3">
        <v>1.3680555555555556</v>
      </c>
      <c r="Z139" s="4">
        <v>0</v>
      </c>
      <c r="AA139">
        <v>0</v>
      </c>
      <c r="AB139" s="4">
        <v>0</v>
      </c>
      <c r="AC139" t="s">
        <v>40</v>
      </c>
      <c r="AD139" t="s">
        <v>205</v>
      </c>
      <c r="AE139">
        <v>12</v>
      </c>
      <c r="AF139">
        <v>0</v>
      </c>
      <c r="AG139" s="2">
        <v>2.1041666666666667E-2</v>
      </c>
      <c r="AH139" s="2">
        <v>2.2800925925925929E-2</v>
      </c>
      <c r="AI139">
        <v>53</v>
      </c>
      <c r="AJ139">
        <v>53</v>
      </c>
    </row>
    <row r="140" spans="1:36" x14ac:dyDescent="0.25">
      <c r="A140" t="s">
        <v>45</v>
      </c>
      <c r="B140" s="1">
        <v>44058.384618055556</v>
      </c>
      <c r="C140" t="s">
        <v>37</v>
      </c>
      <c r="D140" t="s">
        <v>45</v>
      </c>
      <c r="E140">
        <v>5.01</v>
      </c>
      <c r="F140">
        <v>335</v>
      </c>
      <c r="G140" s="2">
        <v>2.0219907407407409E-2</v>
      </c>
      <c r="H140">
        <v>177</v>
      </c>
      <c r="I140">
        <v>190</v>
      </c>
      <c r="J140">
        <v>4.5</v>
      </c>
      <c r="K140">
        <v>153</v>
      </c>
      <c r="L140">
        <v>159</v>
      </c>
      <c r="M140" s="4">
        <v>0.24236111111111111</v>
      </c>
      <c r="N140" s="4">
        <v>0.22500000000000001</v>
      </c>
      <c r="O140" t="s">
        <v>39</v>
      </c>
      <c r="P140" t="s">
        <v>39</v>
      </c>
      <c r="Q140">
        <v>1.1200000000000001</v>
      </c>
      <c r="R140">
        <v>0</v>
      </c>
      <c r="S140">
        <v>0</v>
      </c>
      <c r="T140">
        <v>0</v>
      </c>
      <c r="U140">
        <v>0</v>
      </c>
      <c r="V140">
        <v>0</v>
      </c>
      <c r="W140" t="s">
        <v>39</v>
      </c>
      <c r="X140" t="s">
        <v>39</v>
      </c>
      <c r="Y140" s="3">
        <v>1.2131944444444445</v>
      </c>
      <c r="Z140" s="4">
        <v>0</v>
      </c>
      <c r="AA140">
        <v>0</v>
      </c>
      <c r="AB140" s="4">
        <v>0</v>
      </c>
      <c r="AC140" t="s">
        <v>40</v>
      </c>
      <c r="AD140" t="s">
        <v>206</v>
      </c>
      <c r="AE140">
        <v>6</v>
      </c>
      <c r="AF140">
        <v>0</v>
      </c>
      <c r="AG140" s="2">
        <v>2.0208333333333335E-2</v>
      </c>
      <c r="AH140" s="2">
        <v>2.0219907407407409E-2</v>
      </c>
      <c r="AI140" t="s">
        <v>39</v>
      </c>
      <c r="AJ140" t="s">
        <v>39</v>
      </c>
    </row>
    <row r="141" spans="1:36" x14ac:dyDescent="0.25">
      <c r="A141" t="s">
        <v>45</v>
      </c>
      <c r="B141" s="1">
        <v>44056.734247685185</v>
      </c>
      <c r="C141" t="s">
        <v>37</v>
      </c>
      <c r="D141" t="s">
        <v>207</v>
      </c>
      <c r="E141">
        <v>3.89</v>
      </c>
      <c r="F141">
        <v>277</v>
      </c>
      <c r="G141" s="2">
        <v>1.9039351851851852E-2</v>
      </c>
      <c r="H141">
        <v>162</v>
      </c>
      <c r="I141">
        <v>187</v>
      </c>
      <c r="J141">
        <v>3.5</v>
      </c>
      <c r="K141">
        <v>132</v>
      </c>
      <c r="L141">
        <v>160</v>
      </c>
      <c r="M141" s="4">
        <v>0.29305555555555557</v>
      </c>
      <c r="N141" s="4">
        <v>0.18819444444444444</v>
      </c>
      <c r="O141" t="s">
        <v>39</v>
      </c>
      <c r="P141" t="s">
        <v>39</v>
      </c>
      <c r="Q141">
        <v>1.06</v>
      </c>
      <c r="R141">
        <v>0</v>
      </c>
      <c r="S141">
        <v>0</v>
      </c>
      <c r="T141">
        <v>0</v>
      </c>
      <c r="U141">
        <v>0</v>
      </c>
      <c r="V141">
        <v>0</v>
      </c>
      <c r="W141" t="s">
        <v>39</v>
      </c>
      <c r="X141" t="s">
        <v>39</v>
      </c>
      <c r="Y141" s="3">
        <v>1.1423611111111112</v>
      </c>
      <c r="Z141" s="4">
        <v>0</v>
      </c>
      <c r="AA141">
        <v>0</v>
      </c>
      <c r="AB141" s="4">
        <v>0</v>
      </c>
      <c r="AC141" t="s">
        <v>40</v>
      </c>
      <c r="AD141" t="s">
        <v>208</v>
      </c>
      <c r="AE141">
        <v>12</v>
      </c>
      <c r="AF141">
        <v>0</v>
      </c>
      <c r="AG141" s="2">
        <v>1.7291666666666667E-2</v>
      </c>
      <c r="AH141" s="2">
        <v>1.9039351851851852E-2</v>
      </c>
      <c r="AI141" t="s">
        <v>39</v>
      </c>
      <c r="AJ141" t="s">
        <v>39</v>
      </c>
    </row>
    <row r="142" spans="1:36" x14ac:dyDescent="0.25">
      <c r="A142" t="s">
        <v>45</v>
      </c>
      <c r="B142" s="1">
        <v>44054.298090277778</v>
      </c>
      <c r="C142" t="s">
        <v>37</v>
      </c>
      <c r="D142" t="s">
        <v>49</v>
      </c>
      <c r="E142">
        <v>4.01</v>
      </c>
      <c r="F142">
        <v>272</v>
      </c>
      <c r="G142" s="2">
        <v>1.6736111111111111E-2</v>
      </c>
      <c r="H142">
        <v>176</v>
      </c>
      <c r="I142">
        <v>190</v>
      </c>
      <c r="J142">
        <v>4.2</v>
      </c>
      <c r="K142">
        <v>157</v>
      </c>
      <c r="L142">
        <v>164</v>
      </c>
      <c r="M142" s="4">
        <v>0.25069444444444444</v>
      </c>
      <c r="N142" s="4">
        <v>0.15972222222222224</v>
      </c>
      <c r="O142">
        <v>7</v>
      </c>
      <c r="P142">
        <v>14</v>
      </c>
      <c r="Q142">
        <v>1.06</v>
      </c>
      <c r="R142">
        <v>0</v>
      </c>
      <c r="S142">
        <v>0</v>
      </c>
      <c r="T142">
        <v>0</v>
      </c>
      <c r="U142">
        <v>0</v>
      </c>
      <c r="V142">
        <v>0</v>
      </c>
      <c r="W142" t="s">
        <v>39</v>
      </c>
      <c r="X142" t="s">
        <v>39</v>
      </c>
      <c r="Y142" s="3">
        <v>1.0041666666666667</v>
      </c>
      <c r="Z142" s="4">
        <v>0</v>
      </c>
      <c r="AA142">
        <v>0</v>
      </c>
      <c r="AB142" s="4">
        <v>0</v>
      </c>
      <c r="AC142" t="s">
        <v>40</v>
      </c>
      <c r="AD142" t="s">
        <v>209</v>
      </c>
      <c r="AE142">
        <v>5</v>
      </c>
      <c r="AF142">
        <v>0</v>
      </c>
      <c r="AG142" s="2">
        <v>1.6736111111111111E-2</v>
      </c>
      <c r="AH142" s="2">
        <v>1.6736111111111111E-2</v>
      </c>
      <c r="AI142">
        <v>12</v>
      </c>
      <c r="AJ142">
        <v>29</v>
      </c>
    </row>
    <row r="143" spans="1:36" x14ac:dyDescent="0.25">
      <c r="A143" t="s">
        <v>45</v>
      </c>
      <c r="B143" s="1">
        <v>44051.304016203707</v>
      </c>
      <c r="C143" t="s">
        <v>37</v>
      </c>
      <c r="D143" t="s">
        <v>103</v>
      </c>
      <c r="E143">
        <v>3.01</v>
      </c>
      <c r="F143">
        <v>205</v>
      </c>
      <c r="G143" s="2">
        <v>1.3055555555555556E-2</v>
      </c>
      <c r="H143">
        <v>173</v>
      </c>
      <c r="I143">
        <v>188</v>
      </c>
      <c r="J143">
        <v>3.6</v>
      </c>
      <c r="K143">
        <v>157</v>
      </c>
      <c r="L143">
        <v>165</v>
      </c>
      <c r="M143" s="4">
        <v>0.26041666666666669</v>
      </c>
      <c r="N143" s="4">
        <v>0.16458333333333333</v>
      </c>
      <c r="O143">
        <v>13</v>
      </c>
      <c r="P143">
        <v>19</v>
      </c>
      <c r="Q143">
        <v>1.02</v>
      </c>
      <c r="R143">
        <v>0</v>
      </c>
      <c r="S143">
        <v>0</v>
      </c>
      <c r="T143">
        <v>0</v>
      </c>
      <c r="U143">
        <v>0</v>
      </c>
      <c r="V143">
        <v>0</v>
      </c>
      <c r="W143" t="s">
        <v>39</v>
      </c>
      <c r="X143" t="s">
        <v>39</v>
      </c>
      <c r="Y143" s="4">
        <v>0.78333333333333333</v>
      </c>
      <c r="Z143" s="4">
        <v>0</v>
      </c>
      <c r="AA143">
        <v>0</v>
      </c>
      <c r="AB143" s="4">
        <v>0</v>
      </c>
      <c r="AC143" t="s">
        <v>40</v>
      </c>
      <c r="AD143" t="s">
        <v>210</v>
      </c>
      <c r="AE143">
        <v>11</v>
      </c>
      <c r="AF143">
        <v>0</v>
      </c>
      <c r="AG143" s="2">
        <v>1.3043981481481483E-2</v>
      </c>
      <c r="AH143" s="2">
        <v>1.3055555555555556E-2</v>
      </c>
      <c r="AI143">
        <v>12</v>
      </c>
      <c r="AJ143">
        <v>30</v>
      </c>
    </row>
    <row r="144" spans="1:36" x14ac:dyDescent="0.25">
      <c r="A144" t="s">
        <v>45</v>
      </c>
      <c r="B144" s="1">
        <v>44049.302222222221</v>
      </c>
      <c r="C144" t="s">
        <v>37</v>
      </c>
      <c r="D144" t="s">
        <v>49</v>
      </c>
      <c r="E144">
        <v>3.51</v>
      </c>
      <c r="F144">
        <v>243</v>
      </c>
      <c r="G144" s="2">
        <v>1.4548611111111111E-2</v>
      </c>
      <c r="H144">
        <v>178</v>
      </c>
      <c r="I144">
        <v>191</v>
      </c>
      <c r="J144">
        <v>4</v>
      </c>
      <c r="K144">
        <v>157</v>
      </c>
      <c r="L144">
        <v>164</v>
      </c>
      <c r="M144" s="4">
        <v>0.24930555555555556</v>
      </c>
      <c r="N144" s="4">
        <v>0.19027777777777777</v>
      </c>
      <c r="O144">
        <v>10</v>
      </c>
      <c r="P144">
        <v>16</v>
      </c>
      <c r="Q144">
        <v>1.07</v>
      </c>
      <c r="R144">
        <v>0</v>
      </c>
      <c r="S144">
        <v>0</v>
      </c>
      <c r="T144">
        <v>0</v>
      </c>
      <c r="U144">
        <v>0</v>
      </c>
      <c r="V144">
        <v>0</v>
      </c>
      <c r="W144" t="s">
        <v>39</v>
      </c>
      <c r="X144" t="s">
        <v>39</v>
      </c>
      <c r="Y144" s="4">
        <v>0.87291666666666667</v>
      </c>
      <c r="Z144" s="4">
        <v>0</v>
      </c>
      <c r="AA144">
        <v>0</v>
      </c>
      <c r="AB144" s="4">
        <v>0</v>
      </c>
      <c r="AC144" t="s">
        <v>40</v>
      </c>
      <c r="AD144" t="s">
        <v>211</v>
      </c>
      <c r="AE144">
        <v>4</v>
      </c>
      <c r="AF144">
        <v>0</v>
      </c>
      <c r="AG144" s="2">
        <v>1.4537037037037038E-2</v>
      </c>
      <c r="AH144" s="2">
        <v>1.4548611111111111E-2</v>
      </c>
      <c r="AI144">
        <v>12</v>
      </c>
      <c r="AJ144">
        <v>33</v>
      </c>
    </row>
    <row r="145" spans="1:36" x14ac:dyDescent="0.25">
      <c r="A145" t="s">
        <v>45</v>
      </c>
      <c r="B145" s="1">
        <v>44047.304189814815</v>
      </c>
      <c r="C145" t="s">
        <v>37</v>
      </c>
      <c r="D145" t="s">
        <v>103</v>
      </c>
      <c r="E145">
        <v>3.9</v>
      </c>
      <c r="F145">
        <v>296</v>
      </c>
      <c r="G145" s="2">
        <v>1.9733796296296298E-2</v>
      </c>
      <c r="H145">
        <v>165</v>
      </c>
      <c r="I145">
        <v>185</v>
      </c>
      <c r="J145">
        <v>3.7</v>
      </c>
      <c r="K145">
        <v>141</v>
      </c>
      <c r="L145">
        <v>164</v>
      </c>
      <c r="M145" s="4">
        <v>0.3034722222222222</v>
      </c>
      <c r="N145" s="4">
        <v>0.17361111111111113</v>
      </c>
      <c r="O145">
        <v>26</v>
      </c>
      <c r="P145">
        <v>21</v>
      </c>
      <c r="Q145">
        <v>0.96</v>
      </c>
      <c r="R145">
        <v>0</v>
      </c>
      <c r="S145">
        <v>0</v>
      </c>
      <c r="T145">
        <v>0</v>
      </c>
      <c r="U145">
        <v>0</v>
      </c>
      <c r="V145">
        <v>0</v>
      </c>
      <c r="W145" t="s">
        <v>39</v>
      </c>
      <c r="X145" t="s">
        <v>39</v>
      </c>
      <c r="Y145" s="3">
        <v>1.1840277777777779</v>
      </c>
      <c r="Z145" s="4">
        <v>0</v>
      </c>
      <c r="AA145">
        <v>0</v>
      </c>
      <c r="AB145" s="4">
        <v>0</v>
      </c>
      <c r="AC145" t="s">
        <v>40</v>
      </c>
      <c r="AD145" t="s">
        <v>212</v>
      </c>
      <c r="AE145">
        <v>7</v>
      </c>
      <c r="AF145">
        <v>0</v>
      </c>
      <c r="AG145" s="2">
        <v>1.9606481481481482E-2</v>
      </c>
      <c r="AH145" s="2">
        <v>1.9733796296296298E-2</v>
      </c>
      <c r="AI145">
        <v>12</v>
      </c>
      <c r="AJ145">
        <v>31</v>
      </c>
    </row>
    <row r="146" spans="1:36" x14ac:dyDescent="0.25">
      <c r="A146" t="s">
        <v>45</v>
      </c>
      <c r="B146" s="1">
        <v>44045.365624999999</v>
      </c>
      <c r="C146" t="s">
        <v>37</v>
      </c>
      <c r="D146" t="s">
        <v>49</v>
      </c>
      <c r="E146">
        <v>3.01</v>
      </c>
      <c r="F146">
        <v>211</v>
      </c>
      <c r="G146" s="2">
        <v>1.2604166666666666E-2</v>
      </c>
      <c r="H146">
        <v>177</v>
      </c>
      <c r="I146">
        <v>191</v>
      </c>
      <c r="J146">
        <v>3.8</v>
      </c>
      <c r="K146">
        <v>157</v>
      </c>
      <c r="L146">
        <v>164</v>
      </c>
      <c r="M146" s="4">
        <v>0.25138888888888888</v>
      </c>
      <c r="N146" s="4">
        <v>0.23750000000000002</v>
      </c>
      <c r="O146">
        <v>8</v>
      </c>
      <c r="P146">
        <v>14</v>
      </c>
      <c r="Q146">
        <v>1.06</v>
      </c>
      <c r="R146">
        <v>0</v>
      </c>
      <c r="S146">
        <v>0</v>
      </c>
      <c r="T146">
        <v>0</v>
      </c>
      <c r="U146">
        <v>0</v>
      </c>
      <c r="V146">
        <v>0</v>
      </c>
      <c r="W146" t="s">
        <v>39</v>
      </c>
      <c r="X146" t="s">
        <v>39</v>
      </c>
      <c r="Y146" s="4">
        <v>0.75624999999999998</v>
      </c>
      <c r="Z146" s="4">
        <v>0</v>
      </c>
      <c r="AA146">
        <v>0</v>
      </c>
      <c r="AB146" s="4">
        <v>0</v>
      </c>
      <c r="AC146" t="s">
        <v>40</v>
      </c>
      <c r="AD146" t="s">
        <v>213</v>
      </c>
      <c r="AE146">
        <v>4</v>
      </c>
      <c r="AF146">
        <v>0</v>
      </c>
      <c r="AG146" s="2">
        <v>1.2592592592592593E-2</v>
      </c>
      <c r="AH146" s="2">
        <v>1.2604166666666666E-2</v>
      </c>
      <c r="AI146">
        <v>12</v>
      </c>
      <c r="AJ146">
        <v>29</v>
      </c>
    </row>
    <row r="147" spans="1:36" x14ac:dyDescent="0.25">
      <c r="A147" t="s">
        <v>45</v>
      </c>
      <c r="B147" s="1">
        <v>44040.303726851853</v>
      </c>
      <c r="C147" t="s">
        <v>37</v>
      </c>
      <c r="D147" t="s">
        <v>49</v>
      </c>
      <c r="E147">
        <v>3.01</v>
      </c>
      <c r="F147">
        <v>207</v>
      </c>
      <c r="G147" s="2">
        <v>1.2662037037037039E-2</v>
      </c>
      <c r="H147">
        <v>173</v>
      </c>
      <c r="I147">
        <v>189</v>
      </c>
      <c r="J147">
        <v>3.6</v>
      </c>
      <c r="K147">
        <v>156</v>
      </c>
      <c r="L147">
        <v>162</v>
      </c>
      <c r="M147" s="4">
        <v>0.25208333333333333</v>
      </c>
      <c r="N147" s="4">
        <v>0.23680555555555557</v>
      </c>
      <c r="O147">
        <v>5</v>
      </c>
      <c r="P147">
        <v>16</v>
      </c>
      <c r="Q147">
        <v>1.06</v>
      </c>
      <c r="R147">
        <v>0</v>
      </c>
      <c r="S147">
        <v>0</v>
      </c>
      <c r="T147">
        <v>0</v>
      </c>
      <c r="U147">
        <v>0</v>
      </c>
      <c r="V147">
        <v>0</v>
      </c>
      <c r="W147" t="s">
        <v>39</v>
      </c>
      <c r="X147" t="s">
        <v>39</v>
      </c>
      <c r="Y147" s="4">
        <v>0.7597222222222223</v>
      </c>
      <c r="Z147" s="4">
        <v>0</v>
      </c>
      <c r="AA147">
        <v>0</v>
      </c>
      <c r="AB147" s="4">
        <v>0</v>
      </c>
      <c r="AC147" t="s">
        <v>40</v>
      </c>
      <c r="AD147" t="s">
        <v>214</v>
      </c>
      <c r="AE147">
        <v>4</v>
      </c>
      <c r="AF147">
        <v>0</v>
      </c>
      <c r="AG147" s="2">
        <v>1.2650462962962962E-2</v>
      </c>
      <c r="AH147" s="2">
        <v>1.2662037037037039E-2</v>
      </c>
      <c r="AI147">
        <v>12</v>
      </c>
      <c r="AJ147">
        <v>29</v>
      </c>
    </row>
    <row r="148" spans="1:36" x14ac:dyDescent="0.25">
      <c r="A148" t="s">
        <v>45</v>
      </c>
      <c r="B148" s="1">
        <v>44038.372291666667</v>
      </c>
      <c r="C148" t="s">
        <v>37</v>
      </c>
      <c r="D148" t="s">
        <v>49</v>
      </c>
      <c r="E148">
        <v>3.2</v>
      </c>
      <c r="F148">
        <v>234</v>
      </c>
      <c r="G148" s="2">
        <v>1.7083333333333336E-2</v>
      </c>
      <c r="H148">
        <v>153</v>
      </c>
      <c r="I148">
        <v>176</v>
      </c>
      <c r="J148">
        <v>3.1</v>
      </c>
      <c r="K148">
        <v>128</v>
      </c>
      <c r="L148">
        <v>160</v>
      </c>
      <c r="M148" s="4">
        <v>0.32013888888888892</v>
      </c>
      <c r="N148" s="4">
        <v>0.1013888888888889</v>
      </c>
      <c r="O148">
        <v>63</v>
      </c>
      <c r="P148">
        <v>60</v>
      </c>
      <c r="Q148">
        <v>1.01</v>
      </c>
      <c r="R148">
        <v>0</v>
      </c>
      <c r="S148">
        <v>0</v>
      </c>
      <c r="T148">
        <v>0</v>
      </c>
      <c r="U148">
        <v>0</v>
      </c>
      <c r="V148">
        <v>0</v>
      </c>
      <c r="W148" t="s">
        <v>39</v>
      </c>
      <c r="X148" t="s">
        <v>39</v>
      </c>
      <c r="Y148" s="3">
        <v>1.0250000000000001</v>
      </c>
      <c r="Z148" s="4">
        <v>0</v>
      </c>
      <c r="AA148">
        <v>0</v>
      </c>
      <c r="AB148" s="4">
        <v>0</v>
      </c>
      <c r="AC148" t="s">
        <v>40</v>
      </c>
      <c r="AD148" t="s">
        <v>215</v>
      </c>
      <c r="AE148">
        <v>8</v>
      </c>
      <c r="AF148">
        <v>0</v>
      </c>
      <c r="AG148" s="2">
        <v>1.7060185185185185E-2</v>
      </c>
      <c r="AH148" s="2">
        <v>1.7083333333333336E-2</v>
      </c>
      <c r="AI148">
        <v>11</v>
      </c>
      <c r="AJ148">
        <v>37</v>
      </c>
    </row>
    <row r="149" spans="1:36" x14ac:dyDescent="0.25">
      <c r="A149" t="s">
        <v>45</v>
      </c>
      <c r="B149" s="1">
        <v>44035.767013888886</v>
      </c>
      <c r="C149" t="s">
        <v>37</v>
      </c>
      <c r="D149" t="s">
        <v>49</v>
      </c>
      <c r="E149">
        <v>2.5099999999999998</v>
      </c>
      <c r="F149">
        <v>171</v>
      </c>
      <c r="G149" s="2">
        <v>1.1203703703703704E-2</v>
      </c>
      <c r="H149">
        <v>161</v>
      </c>
      <c r="I149">
        <v>177</v>
      </c>
      <c r="J149">
        <v>3.1</v>
      </c>
      <c r="K149">
        <v>152</v>
      </c>
      <c r="L149">
        <v>158</v>
      </c>
      <c r="M149" s="4">
        <v>0.26805555555555555</v>
      </c>
      <c r="N149" s="4">
        <v>0.17430555555555557</v>
      </c>
      <c r="O149">
        <v>81</v>
      </c>
      <c r="P149">
        <v>88</v>
      </c>
      <c r="Q149">
        <v>1.01</v>
      </c>
      <c r="R149">
        <v>0</v>
      </c>
      <c r="S149">
        <v>0</v>
      </c>
      <c r="T149">
        <v>0</v>
      </c>
      <c r="U149">
        <v>0</v>
      </c>
      <c r="V149">
        <v>0</v>
      </c>
      <c r="W149" t="s">
        <v>39</v>
      </c>
      <c r="X149" t="s">
        <v>39</v>
      </c>
      <c r="Y149" s="4">
        <v>0.67222222222222217</v>
      </c>
      <c r="Z149" s="4">
        <v>0</v>
      </c>
      <c r="AA149">
        <v>0</v>
      </c>
      <c r="AB149" s="4">
        <v>0</v>
      </c>
      <c r="AC149" t="s">
        <v>40</v>
      </c>
      <c r="AD149" t="s">
        <v>216</v>
      </c>
      <c r="AE149">
        <v>3</v>
      </c>
      <c r="AF149">
        <v>0</v>
      </c>
      <c r="AG149" s="2">
        <v>1.119212962962963E-2</v>
      </c>
      <c r="AH149" s="2">
        <v>1.1203703703703704E-2</v>
      </c>
      <c r="AI149">
        <v>19</v>
      </c>
      <c r="AJ149">
        <v>56</v>
      </c>
    </row>
    <row r="150" spans="1:36" x14ac:dyDescent="0.25">
      <c r="A150" t="s">
        <v>45</v>
      </c>
      <c r="B150" s="1">
        <v>44033.291192129633</v>
      </c>
      <c r="C150" t="s">
        <v>37</v>
      </c>
      <c r="D150" t="s">
        <v>103</v>
      </c>
      <c r="E150">
        <v>3.91</v>
      </c>
      <c r="F150">
        <v>282</v>
      </c>
      <c r="G150" s="2">
        <v>1.9108796296296294E-2</v>
      </c>
      <c r="H150">
        <v>162</v>
      </c>
      <c r="I150">
        <v>182</v>
      </c>
      <c r="J150">
        <v>3.6</v>
      </c>
      <c r="K150">
        <v>142</v>
      </c>
      <c r="L150">
        <v>160</v>
      </c>
      <c r="M150" s="4">
        <v>0.29375000000000001</v>
      </c>
      <c r="N150" s="4">
        <v>0.15972222222222224</v>
      </c>
      <c r="O150">
        <v>13</v>
      </c>
      <c r="P150">
        <v>19</v>
      </c>
      <c r="Q150">
        <v>0.99</v>
      </c>
      <c r="R150">
        <v>0</v>
      </c>
      <c r="S150">
        <v>0</v>
      </c>
      <c r="T150">
        <v>0</v>
      </c>
      <c r="U150">
        <v>0</v>
      </c>
      <c r="V150">
        <v>0</v>
      </c>
      <c r="W150" t="s">
        <v>39</v>
      </c>
      <c r="X150" t="s">
        <v>39</v>
      </c>
      <c r="Y150" s="3">
        <v>1.1465277777777778</v>
      </c>
      <c r="Z150" s="4">
        <v>0</v>
      </c>
      <c r="AA150">
        <v>0</v>
      </c>
      <c r="AB150" s="4">
        <v>0</v>
      </c>
      <c r="AC150" t="s">
        <v>40</v>
      </c>
      <c r="AD150" t="s">
        <v>217</v>
      </c>
      <c r="AE150">
        <v>7</v>
      </c>
      <c r="AF150">
        <v>0</v>
      </c>
      <c r="AG150" s="2">
        <v>1.9108796296296294E-2</v>
      </c>
      <c r="AH150" s="2">
        <v>1.9108796296296294E-2</v>
      </c>
      <c r="AI150">
        <v>12</v>
      </c>
      <c r="AJ150">
        <v>28</v>
      </c>
    </row>
    <row r="151" spans="1:36" x14ac:dyDescent="0.25">
      <c r="A151" t="s">
        <v>45</v>
      </c>
      <c r="B151" s="1">
        <v>44030.350960648146</v>
      </c>
      <c r="C151" t="s">
        <v>37</v>
      </c>
      <c r="D151" t="s">
        <v>49</v>
      </c>
      <c r="E151">
        <v>2.0099999999999998</v>
      </c>
      <c r="F151">
        <v>140</v>
      </c>
      <c r="G151" s="2">
        <v>8.2754629629629619E-3</v>
      </c>
      <c r="H151">
        <v>174</v>
      </c>
      <c r="I151">
        <v>191</v>
      </c>
      <c r="J151">
        <v>3.2</v>
      </c>
      <c r="K151">
        <v>155</v>
      </c>
      <c r="L151">
        <v>162</v>
      </c>
      <c r="M151" s="4">
        <v>0.24722222222222223</v>
      </c>
      <c r="N151" s="4">
        <v>8.3333333333333329E-2</v>
      </c>
      <c r="O151">
        <v>4</v>
      </c>
      <c r="P151">
        <v>12</v>
      </c>
      <c r="Q151">
        <v>1.08</v>
      </c>
      <c r="R151">
        <v>0</v>
      </c>
      <c r="S151">
        <v>0</v>
      </c>
      <c r="T151">
        <v>0</v>
      </c>
      <c r="U151">
        <v>0</v>
      </c>
      <c r="V151">
        <v>0</v>
      </c>
      <c r="W151" t="s">
        <v>39</v>
      </c>
      <c r="X151" t="s">
        <v>39</v>
      </c>
      <c r="Y151" s="4">
        <v>0.49652777777777773</v>
      </c>
      <c r="Z151" s="4">
        <v>0</v>
      </c>
      <c r="AA151">
        <v>0</v>
      </c>
      <c r="AB151" s="4">
        <v>0</v>
      </c>
      <c r="AC151" t="s">
        <v>40</v>
      </c>
      <c r="AD151" t="s">
        <v>218</v>
      </c>
      <c r="AE151">
        <v>3</v>
      </c>
      <c r="AF151">
        <v>0</v>
      </c>
      <c r="AG151" s="2">
        <v>8.2754629629629619E-3</v>
      </c>
      <c r="AH151" s="2">
        <v>8.2754629629629619E-3</v>
      </c>
      <c r="AI151">
        <v>17</v>
      </c>
      <c r="AJ151">
        <v>31</v>
      </c>
    </row>
    <row r="152" spans="1:36" x14ac:dyDescent="0.25">
      <c r="A152" t="s">
        <v>45</v>
      </c>
      <c r="B152" s="1">
        <v>44028.764224537037</v>
      </c>
      <c r="C152" t="s">
        <v>37</v>
      </c>
      <c r="D152" t="s">
        <v>219</v>
      </c>
      <c r="E152">
        <v>3.81</v>
      </c>
      <c r="F152">
        <v>290</v>
      </c>
      <c r="G152" s="2">
        <v>2.4120370370370372E-2</v>
      </c>
      <c r="H152">
        <v>139</v>
      </c>
      <c r="I152">
        <v>172</v>
      </c>
      <c r="J152">
        <v>3.2</v>
      </c>
      <c r="K152">
        <v>116</v>
      </c>
      <c r="L152">
        <v>160</v>
      </c>
      <c r="M152" s="4">
        <v>0.38055555555555554</v>
      </c>
      <c r="N152" s="4">
        <v>0.20625000000000002</v>
      </c>
      <c r="O152" t="s">
        <v>39</v>
      </c>
      <c r="P152" t="s">
        <v>39</v>
      </c>
      <c r="Q152">
        <v>0.92</v>
      </c>
      <c r="R152">
        <v>0</v>
      </c>
      <c r="S152">
        <v>0</v>
      </c>
      <c r="T152">
        <v>0</v>
      </c>
      <c r="U152">
        <v>0</v>
      </c>
      <c r="V152">
        <v>0</v>
      </c>
      <c r="W152" t="s">
        <v>39</v>
      </c>
      <c r="X152" t="s">
        <v>39</v>
      </c>
      <c r="Y152" s="3">
        <v>1.4472222222222222</v>
      </c>
      <c r="Z152" s="4">
        <v>0</v>
      </c>
      <c r="AA152">
        <v>0</v>
      </c>
      <c r="AB152" s="4">
        <v>0</v>
      </c>
      <c r="AC152" t="s">
        <v>40</v>
      </c>
      <c r="AD152" t="s">
        <v>220</v>
      </c>
      <c r="AE152">
        <v>10</v>
      </c>
      <c r="AF152">
        <v>0</v>
      </c>
      <c r="AG152" s="2">
        <v>2.2361111111111113E-2</v>
      </c>
      <c r="AH152" s="2">
        <v>2.4120370370370372E-2</v>
      </c>
      <c r="AI152" t="s">
        <v>39</v>
      </c>
      <c r="AJ152" t="s">
        <v>39</v>
      </c>
    </row>
    <row r="153" spans="1:36" x14ac:dyDescent="0.25">
      <c r="A153" t="s">
        <v>45</v>
      </c>
      <c r="B153" s="1">
        <v>44026.289652777778</v>
      </c>
      <c r="C153" t="s">
        <v>37</v>
      </c>
      <c r="D153" t="s">
        <v>45</v>
      </c>
      <c r="E153">
        <v>2.58</v>
      </c>
      <c r="F153">
        <v>200</v>
      </c>
      <c r="G153" s="2">
        <v>2.0844907407407406E-2</v>
      </c>
      <c r="H153">
        <v>122</v>
      </c>
      <c r="I153">
        <v>135</v>
      </c>
      <c r="J153">
        <v>1.9</v>
      </c>
      <c r="K153">
        <v>107</v>
      </c>
      <c r="L153">
        <v>135</v>
      </c>
      <c r="M153" s="4">
        <v>0.48541666666666666</v>
      </c>
      <c r="N153" s="4">
        <v>0.37013888888888885</v>
      </c>
      <c r="O153" t="s">
        <v>39</v>
      </c>
      <c r="P153" t="s">
        <v>39</v>
      </c>
      <c r="Q153">
        <v>0.8</v>
      </c>
      <c r="R153">
        <v>0</v>
      </c>
      <c r="S153">
        <v>0</v>
      </c>
      <c r="T153">
        <v>0</v>
      </c>
      <c r="U153">
        <v>0</v>
      </c>
      <c r="V153">
        <v>0</v>
      </c>
      <c r="W153" t="s">
        <v>39</v>
      </c>
      <c r="X153" t="s">
        <v>39</v>
      </c>
      <c r="Y153" s="3">
        <v>1.2506944444444443</v>
      </c>
      <c r="Z153" s="4">
        <v>0</v>
      </c>
      <c r="AA153">
        <v>0</v>
      </c>
      <c r="AB153" s="4">
        <v>0</v>
      </c>
      <c r="AC153" t="s">
        <v>40</v>
      </c>
      <c r="AD153" t="s">
        <v>221</v>
      </c>
      <c r="AE153">
        <v>3</v>
      </c>
      <c r="AF153">
        <v>0</v>
      </c>
      <c r="AG153" s="2">
        <v>2.045138888888889E-2</v>
      </c>
      <c r="AH153" s="2">
        <v>2.0844907407407406E-2</v>
      </c>
      <c r="AI153" t="s">
        <v>39</v>
      </c>
      <c r="AJ153" t="s">
        <v>39</v>
      </c>
    </row>
    <row r="154" spans="1:36" x14ac:dyDescent="0.25">
      <c r="A154" t="s">
        <v>45</v>
      </c>
      <c r="B154" s="1">
        <v>44023.345185185186</v>
      </c>
      <c r="C154" t="s">
        <v>37</v>
      </c>
      <c r="D154" t="s">
        <v>49</v>
      </c>
      <c r="E154">
        <v>2.0099999999999998</v>
      </c>
      <c r="F154">
        <v>141</v>
      </c>
      <c r="G154" s="2">
        <v>8.0902777777777778E-3</v>
      </c>
      <c r="H154">
        <v>176</v>
      </c>
      <c r="I154">
        <v>190</v>
      </c>
      <c r="J154">
        <v>3.3</v>
      </c>
      <c r="K154">
        <v>157</v>
      </c>
      <c r="L154">
        <v>162</v>
      </c>
      <c r="M154" s="4">
        <v>0.24166666666666667</v>
      </c>
      <c r="N154" s="4">
        <v>0.20138888888888887</v>
      </c>
      <c r="O154" t="s">
        <v>39</v>
      </c>
      <c r="P154">
        <v>6</v>
      </c>
      <c r="Q154">
        <v>1.1000000000000001</v>
      </c>
      <c r="R154">
        <v>0</v>
      </c>
      <c r="S154">
        <v>0</v>
      </c>
      <c r="T154">
        <v>0</v>
      </c>
      <c r="U154">
        <v>0</v>
      </c>
      <c r="V154">
        <v>0</v>
      </c>
      <c r="W154" t="s">
        <v>39</v>
      </c>
      <c r="X154" t="s">
        <v>39</v>
      </c>
      <c r="Y154" s="4">
        <v>0.48541666666666666</v>
      </c>
      <c r="Z154" s="4">
        <v>0</v>
      </c>
      <c r="AA154">
        <v>0</v>
      </c>
      <c r="AB154" s="4">
        <v>0</v>
      </c>
      <c r="AC154" t="s">
        <v>40</v>
      </c>
      <c r="AD154" t="s">
        <v>222</v>
      </c>
      <c r="AE154">
        <v>3</v>
      </c>
      <c r="AF154">
        <v>0</v>
      </c>
      <c r="AG154" s="2">
        <v>8.0902777777777778E-3</v>
      </c>
      <c r="AH154" s="2">
        <v>8.0902777777777778E-3</v>
      </c>
      <c r="AI154">
        <v>16</v>
      </c>
      <c r="AJ154">
        <v>32</v>
      </c>
    </row>
    <row r="155" spans="1:36" x14ac:dyDescent="0.25">
      <c r="A155" t="s">
        <v>45</v>
      </c>
      <c r="B155" s="1">
        <v>44021.29241898148</v>
      </c>
      <c r="C155" t="s">
        <v>37</v>
      </c>
      <c r="D155" t="s">
        <v>103</v>
      </c>
      <c r="E155">
        <v>3.84</v>
      </c>
      <c r="F155">
        <v>325</v>
      </c>
      <c r="G155" s="2">
        <v>1.9351851851851853E-2</v>
      </c>
      <c r="H155">
        <v>169</v>
      </c>
      <c r="I155">
        <v>188</v>
      </c>
      <c r="J155">
        <v>4.2</v>
      </c>
      <c r="K155">
        <v>141</v>
      </c>
      <c r="L155">
        <v>163</v>
      </c>
      <c r="M155" s="4">
        <v>0.30277777777777776</v>
      </c>
      <c r="N155" s="4">
        <v>0.24097222222222223</v>
      </c>
      <c r="O155">
        <v>15</v>
      </c>
      <c r="P155">
        <v>23</v>
      </c>
      <c r="Q155">
        <v>0.96</v>
      </c>
      <c r="R155">
        <v>0</v>
      </c>
      <c r="S155">
        <v>0</v>
      </c>
      <c r="T155">
        <v>0</v>
      </c>
      <c r="U155">
        <v>0</v>
      </c>
      <c r="V155">
        <v>0</v>
      </c>
      <c r="W155" t="s">
        <v>39</v>
      </c>
      <c r="X155" t="s">
        <v>39</v>
      </c>
      <c r="Y155" s="3">
        <v>1.1611111111111112</v>
      </c>
      <c r="Z155" s="4">
        <v>0</v>
      </c>
      <c r="AA155">
        <v>0</v>
      </c>
      <c r="AB155" s="4">
        <v>0</v>
      </c>
      <c r="AC155" t="s">
        <v>40</v>
      </c>
      <c r="AD155" t="s">
        <v>223</v>
      </c>
      <c r="AE155">
        <v>7</v>
      </c>
      <c r="AF155">
        <v>0</v>
      </c>
      <c r="AG155" s="2">
        <v>1.9328703703703702E-2</v>
      </c>
      <c r="AH155" s="2">
        <v>1.9351851851851853E-2</v>
      </c>
      <c r="AI155">
        <v>12</v>
      </c>
      <c r="AJ155">
        <v>31</v>
      </c>
    </row>
    <row r="156" spans="1:36" x14ac:dyDescent="0.25">
      <c r="A156" t="s">
        <v>45</v>
      </c>
      <c r="B156" s="1">
        <v>44019.30028935185</v>
      </c>
      <c r="C156" t="s">
        <v>37</v>
      </c>
      <c r="D156" t="s">
        <v>45</v>
      </c>
      <c r="E156">
        <v>2.0099999999999998</v>
      </c>
      <c r="F156">
        <v>145</v>
      </c>
      <c r="G156" s="2">
        <v>8.7615740740740744E-3</v>
      </c>
      <c r="H156">
        <v>166</v>
      </c>
      <c r="I156">
        <v>180</v>
      </c>
      <c r="J156">
        <v>3.1</v>
      </c>
      <c r="K156">
        <v>152</v>
      </c>
      <c r="L156">
        <v>158</v>
      </c>
      <c r="M156" s="4">
        <v>0.26180555555555557</v>
      </c>
      <c r="N156" s="4">
        <v>0.23750000000000002</v>
      </c>
      <c r="O156" t="s">
        <v>39</v>
      </c>
      <c r="P156" t="s">
        <v>39</v>
      </c>
      <c r="Q156">
        <v>1.05</v>
      </c>
      <c r="R156">
        <v>0</v>
      </c>
      <c r="S156">
        <v>0</v>
      </c>
      <c r="T156">
        <v>0</v>
      </c>
      <c r="U156">
        <v>0</v>
      </c>
      <c r="V156">
        <v>0</v>
      </c>
      <c r="W156" t="s">
        <v>39</v>
      </c>
      <c r="X156" t="s">
        <v>39</v>
      </c>
      <c r="Y156" s="4">
        <v>0.52569444444444446</v>
      </c>
      <c r="Z156" s="4">
        <v>0</v>
      </c>
      <c r="AA156">
        <v>0</v>
      </c>
      <c r="AB156" s="4">
        <v>0</v>
      </c>
      <c r="AC156" t="s">
        <v>40</v>
      </c>
      <c r="AD156" t="s">
        <v>224</v>
      </c>
      <c r="AE156">
        <v>3</v>
      </c>
      <c r="AF156">
        <v>0</v>
      </c>
      <c r="AG156" s="2">
        <v>8.7152777777777784E-3</v>
      </c>
      <c r="AH156" s="2">
        <v>8.7615740740740744E-3</v>
      </c>
      <c r="AI156" t="s">
        <v>39</v>
      </c>
      <c r="AJ156" t="s">
        <v>39</v>
      </c>
    </row>
    <row r="157" spans="1:36" x14ac:dyDescent="0.25">
      <c r="A157" t="s">
        <v>45</v>
      </c>
      <c r="B157" s="1">
        <v>44006.799305555556</v>
      </c>
      <c r="C157" t="s">
        <v>37</v>
      </c>
      <c r="D157" t="s">
        <v>49</v>
      </c>
      <c r="E157">
        <v>1.95</v>
      </c>
      <c r="F157">
        <v>142</v>
      </c>
      <c r="G157" s="2">
        <v>8.6921296296296312E-3</v>
      </c>
      <c r="H157" t="s">
        <v>39</v>
      </c>
      <c r="I157" t="s">
        <v>39</v>
      </c>
      <c r="J157" t="s">
        <v>39</v>
      </c>
      <c r="K157">
        <v>149</v>
      </c>
      <c r="L157">
        <v>160</v>
      </c>
      <c r="M157" s="4">
        <v>0.26666666666666666</v>
      </c>
      <c r="N157" s="4">
        <v>0.15</v>
      </c>
      <c r="O157">
        <v>13</v>
      </c>
      <c r="P157">
        <v>11</v>
      </c>
      <c r="Q157">
        <v>1.05</v>
      </c>
      <c r="R157">
        <v>0</v>
      </c>
      <c r="S157">
        <v>0</v>
      </c>
      <c r="T157">
        <v>0</v>
      </c>
      <c r="U157">
        <v>0</v>
      </c>
      <c r="V157">
        <v>0</v>
      </c>
      <c r="W157" t="s">
        <v>39</v>
      </c>
      <c r="X157" t="s">
        <v>39</v>
      </c>
      <c r="Y157" s="4">
        <v>0.52152777777777781</v>
      </c>
      <c r="Z157" s="4">
        <v>0</v>
      </c>
      <c r="AA157">
        <v>0</v>
      </c>
      <c r="AB157" s="4">
        <v>0</v>
      </c>
      <c r="AC157" t="s">
        <v>40</v>
      </c>
      <c r="AD157" t="s">
        <v>225</v>
      </c>
      <c r="AE157">
        <v>4</v>
      </c>
      <c r="AF157">
        <v>0</v>
      </c>
      <c r="AG157" s="2">
        <v>8.4722222222222213E-3</v>
      </c>
      <c r="AH157" s="2">
        <v>1.6655092592592593E-2</v>
      </c>
      <c r="AI157">
        <v>17</v>
      </c>
      <c r="AJ157">
        <v>33</v>
      </c>
    </row>
    <row r="158" spans="1:36" x14ac:dyDescent="0.25">
      <c r="A158" t="s">
        <v>42</v>
      </c>
      <c r="B158" s="1">
        <v>44004.288391203707</v>
      </c>
      <c r="C158" t="s">
        <v>37</v>
      </c>
      <c r="D158" t="s">
        <v>43</v>
      </c>
      <c r="E158">
        <v>11.53</v>
      </c>
      <c r="F158">
        <v>554</v>
      </c>
      <c r="G158" s="2">
        <v>3.1226851851851853E-2</v>
      </c>
      <c r="H158">
        <v>167</v>
      </c>
      <c r="I158">
        <v>185</v>
      </c>
      <c r="J158">
        <v>5</v>
      </c>
      <c r="K158" t="s">
        <v>39</v>
      </c>
      <c r="L158" t="s">
        <v>39</v>
      </c>
      <c r="M158">
        <v>15.4</v>
      </c>
      <c r="N158">
        <v>38.299999999999997</v>
      </c>
      <c r="O158">
        <v>106</v>
      </c>
      <c r="P158">
        <v>111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 t="s">
        <v>39</v>
      </c>
      <c r="X158" t="s">
        <v>39</v>
      </c>
      <c r="Y158" s="3">
        <v>1.8736111111111111</v>
      </c>
      <c r="Z158" s="4">
        <v>0</v>
      </c>
      <c r="AA158">
        <v>0</v>
      </c>
      <c r="AB158" s="4">
        <v>0</v>
      </c>
      <c r="AC158" t="s">
        <v>40</v>
      </c>
      <c r="AD158" t="s">
        <v>226</v>
      </c>
      <c r="AE158">
        <v>3</v>
      </c>
      <c r="AF158">
        <v>0</v>
      </c>
      <c r="AG158" s="2">
        <v>2.9247685185185186E-2</v>
      </c>
      <c r="AH158" s="2">
        <v>3.1226851851851853E-2</v>
      </c>
      <c r="AI158">
        <v>15</v>
      </c>
      <c r="AJ158">
        <v>58</v>
      </c>
    </row>
    <row r="159" spans="1:36" x14ac:dyDescent="0.25">
      <c r="A159" t="s">
        <v>45</v>
      </c>
      <c r="B159" s="1">
        <v>43992.290416666663</v>
      </c>
      <c r="C159" t="s">
        <v>37</v>
      </c>
      <c r="D159" t="s">
        <v>45</v>
      </c>
      <c r="E159">
        <v>5.49</v>
      </c>
      <c r="F159">
        <v>289</v>
      </c>
      <c r="G159" s="2">
        <v>4.1701388888888885E-2</v>
      </c>
      <c r="H159">
        <v>115</v>
      </c>
      <c r="I159">
        <v>128</v>
      </c>
      <c r="J159">
        <v>1.8</v>
      </c>
      <c r="K159">
        <v>110</v>
      </c>
      <c r="L159">
        <v>138</v>
      </c>
      <c r="M159" s="4">
        <v>0.45624999999999999</v>
      </c>
      <c r="N159" s="4">
        <v>0.34791666666666665</v>
      </c>
      <c r="O159" t="s">
        <v>39</v>
      </c>
      <c r="P159" t="s">
        <v>39</v>
      </c>
      <c r="Q159">
        <v>0.84</v>
      </c>
      <c r="R159">
        <v>0</v>
      </c>
      <c r="S159">
        <v>0</v>
      </c>
      <c r="T159">
        <v>0</v>
      </c>
      <c r="U159">
        <v>0</v>
      </c>
      <c r="V159">
        <v>0</v>
      </c>
      <c r="W159" t="s">
        <v>39</v>
      </c>
      <c r="X159" t="s">
        <v>39</v>
      </c>
      <c r="Y159" s="2">
        <v>4.1701388888888885E-2</v>
      </c>
      <c r="Z159" s="4">
        <v>0</v>
      </c>
      <c r="AA159">
        <v>0</v>
      </c>
      <c r="AB159" s="4">
        <v>0</v>
      </c>
      <c r="AC159" t="s">
        <v>40</v>
      </c>
      <c r="AD159" t="s">
        <v>227</v>
      </c>
      <c r="AE159">
        <v>6</v>
      </c>
      <c r="AF159">
        <v>0</v>
      </c>
      <c r="AG159" s="2">
        <v>4.0601851851851854E-2</v>
      </c>
      <c r="AH159" s="2">
        <v>4.1701388888888885E-2</v>
      </c>
      <c r="AI159" t="s">
        <v>39</v>
      </c>
      <c r="AJ159" t="s">
        <v>39</v>
      </c>
    </row>
    <row r="160" spans="1:36" x14ac:dyDescent="0.25">
      <c r="A160" t="s">
        <v>45</v>
      </c>
      <c r="B160" s="1">
        <v>43990.299305555556</v>
      </c>
      <c r="C160" t="s">
        <v>37</v>
      </c>
      <c r="D160" t="s">
        <v>49</v>
      </c>
      <c r="E160">
        <v>4.7699999999999996</v>
      </c>
      <c r="F160">
        <v>256</v>
      </c>
      <c r="G160" s="2">
        <v>2.7523148148148147E-2</v>
      </c>
      <c r="H160">
        <v>134</v>
      </c>
      <c r="I160">
        <v>165</v>
      </c>
      <c r="J160">
        <v>2.8</v>
      </c>
      <c r="K160">
        <v>116</v>
      </c>
      <c r="L160">
        <v>164</v>
      </c>
      <c r="M160" s="4">
        <v>0.34652777777777777</v>
      </c>
      <c r="N160" s="4">
        <v>0.22083333333333333</v>
      </c>
      <c r="O160">
        <v>16</v>
      </c>
      <c r="P160">
        <v>19</v>
      </c>
      <c r="Q160">
        <v>1.04</v>
      </c>
      <c r="R160">
        <v>0</v>
      </c>
      <c r="S160">
        <v>0</v>
      </c>
      <c r="T160">
        <v>0</v>
      </c>
      <c r="U160">
        <v>0</v>
      </c>
      <c r="V160">
        <v>0</v>
      </c>
      <c r="W160" t="s">
        <v>39</v>
      </c>
      <c r="X160" t="s">
        <v>39</v>
      </c>
      <c r="Y160" s="3">
        <v>1.6513888888888888</v>
      </c>
      <c r="Z160" s="4">
        <v>0</v>
      </c>
      <c r="AA160">
        <v>0</v>
      </c>
      <c r="AB160" s="4">
        <v>0</v>
      </c>
      <c r="AC160" t="s">
        <v>40</v>
      </c>
      <c r="AD160" t="s">
        <v>228</v>
      </c>
      <c r="AE160">
        <v>5</v>
      </c>
      <c r="AF160">
        <v>0</v>
      </c>
      <c r="AG160" s="2">
        <v>2.7442129629629632E-2</v>
      </c>
      <c r="AH160" s="2">
        <v>2.7523148148148147E-2</v>
      </c>
      <c r="AI160">
        <v>12</v>
      </c>
      <c r="AJ160">
        <v>28</v>
      </c>
    </row>
    <row r="161" spans="1:36" x14ac:dyDescent="0.25">
      <c r="A161" t="s">
        <v>45</v>
      </c>
      <c r="B161" s="1">
        <v>43985.290393518517</v>
      </c>
      <c r="C161" t="s">
        <v>37</v>
      </c>
      <c r="D161" t="s">
        <v>103</v>
      </c>
      <c r="E161">
        <v>8.8000000000000007</v>
      </c>
      <c r="F161">
        <v>630</v>
      </c>
      <c r="G161" s="2">
        <v>4.3738425925925924E-2</v>
      </c>
      <c r="H161">
        <v>162</v>
      </c>
      <c r="I161">
        <v>188</v>
      </c>
      <c r="J161">
        <v>5</v>
      </c>
      <c r="K161">
        <v>134</v>
      </c>
      <c r="L161">
        <v>174</v>
      </c>
      <c r="M161" s="4">
        <v>0.29791666666666666</v>
      </c>
      <c r="N161" s="4">
        <v>0.14375000000000002</v>
      </c>
      <c r="O161">
        <v>14</v>
      </c>
      <c r="P161">
        <v>17</v>
      </c>
      <c r="Q161">
        <v>1.01</v>
      </c>
      <c r="R161">
        <v>0</v>
      </c>
      <c r="S161">
        <v>0</v>
      </c>
      <c r="T161">
        <v>0</v>
      </c>
      <c r="U161">
        <v>0</v>
      </c>
      <c r="V161">
        <v>0</v>
      </c>
      <c r="W161" t="s">
        <v>39</v>
      </c>
      <c r="X161" t="s">
        <v>39</v>
      </c>
      <c r="Y161" s="2">
        <v>4.3738425925925924E-2</v>
      </c>
      <c r="Z161" s="4">
        <v>0</v>
      </c>
      <c r="AA161">
        <v>0</v>
      </c>
      <c r="AB161" s="4">
        <v>0</v>
      </c>
      <c r="AC161" t="s">
        <v>40</v>
      </c>
      <c r="AD161" t="s">
        <v>229</v>
      </c>
      <c r="AE161">
        <v>22</v>
      </c>
      <c r="AF161">
        <v>0</v>
      </c>
      <c r="AG161" s="2">
        <v>4.3564814814814813E-2</v>
      </c>
      <c r="AH161" s="2">
        <v>4.3738425925925924E-2</v>
      </c>
      <c r="AI161">
        <v>14</v>
      </c>
      <c r="AJ161">
        <v>30</v>
      </c>
    </row>
    <row r="162" spans="1:36" x14ac:dyDescent="0.25">
      <c r="A162" t="s">
        <v>57</v>
      </c>
      <c r="B162" s="1">
        <v>43983.735243055555</v>
      </c>
      <c r="C162" t="s">
        <v>37</v>
      </c>
      <c r="D162" t="s">
        <v>45</v>
      </c>
      <c r="E162">
        <v>0</v>
      </c>
      <c r="F162">
        <v>680</v>
      </c>
      <c r="G162" s="2">
        <v>3.2870370370370376E-2</v>
      </c>
      <c r="H162">
        <v>171</v>
      </c>
      <c r="I162">
        <v>186</v>
      </c>
      <c r="J162" t="s">
        <v>39</v>
      </c>
      <c r="K162" t="s">
        <v>39</v>
      </c>
      <c r="L162" t="s">
        <v>39</v>
      </c>
      <c r="M162" t="s">
        <v>39</v>
      </c>
      <c r="N162" t="s">
        <v>39</v>
      </c>
      <c r="O162" t="s">
        <v>39</v>
      </c>
      <c r="P162" t="s">
        <v>39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 t="s">
        <v>39</v>
      </c>
      <c r="X162" t="s">
        <v>39</v>
      </c>
      <c r="Y162" s="3">
        <v>1.9722222222222223</v>
      </c>
      <c r="Z162" s="4">
        <v>0</v>
      </c>
      <c r="AA162">
        <v>0</v>
      </c>
      <c r="AB162" s="4">
        <v>0</v>
      </c>
      <c r="AC162" t="s">
        <v>40</v>
      </c>
      <c r="AD162" t="s">
        <v>230</v>
      </c>
      <c r="AE162">
        <v>1</v>
      </c>
      <c r="AF162">
        <v>0</v>
      </c>
      <c r="AG162" s="2">
        <v>0</v>
      </c>
      <c r="AH162" s="2">
        <v>3.2870370370370376E-2</v>
      </c>
      <c r="AI162" t="s">
        <v>39</v>
      </c>
      <c r="AJ162" t="s">
        <v>39</v>
      </c>
    </row>
    <row r="163" spans="1:36" x14ac:dyDescent="0.25">
      <c r="A163" t="s">
        <v>45</v>
      </c>
      <c r="B163" s="1">
        <v>43980.746342592596</v>
      </c>
      <c r="C163" t="s">
        <v>37</v>
      </c>
      <c r="D163" t="s">
        <v>45</v>
      </c>
      <c r="E163">
        <v>0</v>
      </c>
      <c r="F163">
        <v>794</v>
      </c>
      <c r="G163" s="2">
        <v>4.2337962962962966E-2</v>
      </c>
      <c r="H163">
        <v>163</v>
      </c>
      <c r="I163">
        <v>181</v>
      </c>
      <c r="J163" t="s">
        <v>39</v>
      </c>
      <c r="K163" t="s">
        <v>39</v>
      </c>
      <c r="L163" t="s">
        <v>39</v>
      </c>
      <c r="M163" t="s">
        <v>39</v>
      </c>
      <c r="N163" t="s">
        <v>39</v>
      </c>
      <c r="O163" t="s">
        <v>39</v>
      </c>
      <c r="P163" t="s">
        <v>39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 t="s">
        <v>39</v>
      </c>
      <c r="X163" t="s">
        <v>39</v>
      </c>
      <c r="Y163" s="2">
        <v>4.2337962962962966E-2</v>
      </c>
      <c r="Z163" s="4">
        <v>0</v>
      </c>
      <c r="AA163">
        <v>0</v>
      </c>
      <c r="AB163" s="4">
        <v>0</v>
      </c>
      <c r="AC163" t="s">
        <v>40</v>
      </c>
      <c r="AD163" t="s">
        <v>230</v>
      </c>
      <c r="AE163">
        <v>1</v>
      </c>
      <c r="AF163">
        <v>0</v>
      </c>
      <c r="AG163" s="2">
        <v>0</v>
      </c>
      <c r="AH163" s="2">
        <v>4.2337962962962966E-2</v>
      </c>
      <c r="AI163" t="s">
        <v>39</v>
      </c>
      <c r="AJ163" t="s">
        <v>39</v>
      </c>
    </row>
    <row r="164" spans="1:36" x14ac:dyDescent="0.25">
      <c r="A164" t="s">
        <v>45</v>
      </c>
      <c r="B164" s="1">
        <v>43978.2891087963</v>
      </c>
      <c r="C164" t="s">
        <v>37</v>
      </c>
      <c r="D164" t="s">
        <v>49</v>
      </c>
      <c r="E164">
        <v>8.58</v>
      </c>
      <c r="F164">
        <v>756</v>
      </c>
      <c r="G164" s="2">
        <v>3.7569444444444447E-2</v>
      </c>
      <c r="H164">
        <v>169</v>
      </c>
      <c r="I164">
        <v>181</v>
      </c>
      <c r="J164" t="s">
        <v>39</v>
      </c>
      <c r="K164" t="s">
        <v>39</v>
      </c>
      <c r="L164" t="s">
        <v>39</v>
      </c>
      <c r="M164" s="4">
        <v>0.26319444444444445</v>
      </c>
      <c r="N164" s="4">
        <v>0.13055555555555556</v>
      </c>
      <c r="O164">
        <v>95</v>
      </c>
      <c r="P164">
        <v>100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 t="s">
        <v>39</v>
      </c>
      <c r="X164" t="s">
        <v>39</v>
      </c>
      <c r="Y164" s="3">
        <v>2.2541666666666669</v>
      </c>
      <c r="Z164" s="4">
        <v>0</v>
      </c>
      <c r="AA164">
        <v>0</v>
      </c>
      <c r="AB164" s="4">
        <v>0</v>
      </c>
      <c r="AC164" t="s">
        <v>40</v>
      </c>
      <c r="AD164" t="s">
        <v>230</v>
      </c>
      <c r="AE164">
        <v>1</v>
      </c>
      <c r="AF164">
        <v>0</v>
      </c>
      <c r="AG164" s="2">
        <v>3.6608796296296299E-2</v>
      </c>
      <c r="AH164" s="2">
        <v>3.892361111111111E-2</v>
      </c>
      <c r="AI164">
        <v>12</v>
      </c>
      <c r="AJ164">
        <v>56</v>
      </c>
    </row>
    <row r="165" spans="1:36" x14ac:dyDescent="0.25">
      <c r="A165" t="s">
        <v>45</v>
      </c>
      <c r="B165" s="1">
        <v>43976.299791666665</v>
      </c>
      <c r="C165" t="s">
        <v>37</v>
      </c>
      <c r="D165" t="s">
        <v>49</v>
      </c>
      <c r="E165">
        <v>1.9</v>
      </c>
      <c r="F165">
        <v>147</v>
      </c>
      <c r="G165" s="2">
        <v>1.3194444444444444E-2</v>
      </c>
      <c r="H165">
        <v>128</v>
      </c>
      <c r="I165">
        <v>143</v>
      </c>
      <c r="J165" t="s">
        <v>39</v>
      </c>
      <c r="K165" t="s">
        <v>39</v>
      </c>
      <c r="L165" t="s">
        <v>39</v>
      </c>
      <c r="M165" s="4">
        <v>0.41736111111111113</v>
      </c>
      <c r="N165" s="4">
        <v>0.35555555555555557</v>
      </c>
      <c r="O165">
        <v>15</v>
      </c>
      <c r="P165">
        <v>5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 t="s">
        <v>39</v>
      </c>
      <c r="X165" t="s">
        <v>39</v>
      </c>
      <c r="Y165" s="4">
        <v>0.79166666666666663</v>
      </c>
      <c r="Z165" s="4">
        <v>0</v>
      </c>
      <c r="AA165">
        <v>0</v>
      </c>
      <c r="AB165" s="4">
        <v>0</v>
      </c>
      <c r="AC165" t="s">
        <v>40</v>
      </c>
      <c r="AD165" t="s">
        <v>230</v>
      </c>
      <c r="AE165">
        <v>1</v>
      </c>
      <c r="AF165">
        <v>0</v>
      </c>
      <c r="AG165" s="2">
        <v>1.3194444444444444E-2</v>
      </c>
      <c r="AH165" s="2">
        <v>1.3194444444444444E-2</v>
      </c>
      <c r="AI165">
        <v>12</v>
      </c>
      <c r="AJ165">
        <v>28</v>
      </c>
    </row>
    <row r="166" spans="1:36" x14ac:dyDescent="0.25">
      <c r="A166" t="s">
        <v>45</v>
      </c>
      <c r="B166" s="1">
        <v>43976.295937499999</v>
      </c>
      <c r="C166" t="s">
        <v>37</v>
      </c>
      <c r="D166" t="s">
        <v>49</v>
      </c>
      <c r="E166">
        <v>1</v>
      </c>
      <c r="F166">
        <v>64</v>
      </c>
      <c r="G166" s="6">
        <v>3.0347222222222221E-3</v>
      </c>
      <c r="H166">
        <v>174</v>
      </c>
      <c r="I166">
        <v>180</v>
      </c>
      <c r="J166" t="s">
        <v>39</v>
      </c>
      <c r="K166" t="s">
        <v>39</v>
      </c>
      <c r="L166" t="s">
        <v>39</v>
      </c>
      <c r="M166" s="4">
        <v>0.18194444444444444</v>
      </c>
      <c r="N166" s="4">
        <v>0.16250000000000001</v>
      </c>
      <c r="O166">
        <v>1</v>
      </c>
      <c r="P166" t="s">
        <v>39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 t="s">
        <v>39</v>
      </c>
      <c r="X166" t="s">
        <v>39</v>
      </c>
      <c r="Y166" s="6">
        <v>3.0347222222222221E-3</v>
      </c>
      <c r="Z166" s="4">
        <v>0</v>
      </c>
      <c r="AA166">
        <v>0</v>
      </c>
      <c r="AB166" s="4">
        <v>0</v>
      </c>
      <c r="AC166" t="s">
        <v>40</v>
      </c>
      <c r="AD166" t="s">
        <v>230</v>
      </c>
      <c r="AE166">
        <v>1</v>
      </c>
      <c r="AF166">
        <v>0</v>
      </c>
      <c r="AG166" s="2">
        <v>3.0324074074074073E-3</v>
      </c>
      <c r="AH166" s="6">
        <v>3.0347222222222221E-3</v>
      </c>
      <c r="AI166">
        <v>12</v>
      </c>
      <c r="AJ166">
        <v>16</v>
      </c>
    </row>
    <row r="167" spans="1:36" x14ac:dyDescent="0.25">
      <c r="A167" t="s">
        <v>45</v>
      </c>
      <c r="B167" s="1">
        <v>43976.286527777775</v>
      </c>
      <c r="C167" t="s">
        <v>37</v>
      </c>
      <c r="D167" t="s">
        <v>49</v>
      </c>
      <c r="E167">
        <v>1.46</v>
      </c>
      <c r="F167">
        <v>80</v>
      </c>
      <c r="G167" s="2">
        <v>8.9814814814814809E-3</v>
      </c>
      <c r="H167">
        <v>118</v>
      </c>
      <c r="I167">
        <v>160</v>
      </c>
      <c r="J167" t="s">
        <v>39</v>
      </c>
      <c r="K167" t="s">
        <v>39</v>
      </c>
      <c r="L167" t="s">
        <v>39</v>
      </c>
      <c r="M167" s="4">
        <v>0.36944444444444446</v>
      </c>
      <c r="N167" s="4">
        <v>0.24444444444444446</v>
      </c>
      <c r="O167">
        <v>3</v>
      </c>
      <c r="P167">
        <v>17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 t="s">
        <v>39</v>
      </c>
      <c r="X167" t="s">
        <v>39</v>
      </c>
      <c r="Y167" s="4">
        <v>0.53888888888888886</v>
      </c>
      <c r="Z167" s="4">
        <v>0</v>
      </c>
      <c r="AA167">
        <v>0</v>
      </c>
      <c r="AB167" s="4">
        <v>0</v>
      </c>
      <c r="AC167" t="s">
        <v>40</v>
      </c>
      <c r="AD167" t="s">
        <v>230</v>
      </c>
      <c r="AE167">
        <v>1</v>
      </c>
      <c r="AF167">
        <v>0</v>
      </c>
      <c r="AG167" s="2">
        <v>8.9814814814814809E-3</v>
      </c>
      <c r="AH167" s="2">
        <v>8.9814814814814809E-3</v>
      </c>
      <c r="AI167">
        <v>12</v>
      </c>
      <c r="AJ167">
        <v>26</v>
      </c>
    </row>
    <row r="168" spans="1:36" x14ac:dyDescent="0.25">
      <c r="A168" t="s">
        <v>57</v>
      </c>
      <c r="B168" s="1">
        <v>43973.680659722224</v>
      </c>
      <c r="C168" t="s">
        <v>37</v>
      </c>
      <c r="D168" t="s">
        <v>45</v>
      </c>
      <c r="E168">
        <v>0</v>
      </c>
      <c r="F168">
        <v>627</v>
      </c>
      <c r="G168" s="2">
        <v>3.4236111111111113E-2</v>
      </c>
      <c r="H168">
        <v>161</v>
      </c>
      <c r="I168">
        <v>190</v>
      </c>
      <c r="J168" t="s">
        <v>39</v>
      </c>
      <c r="K168" t="s">
        <v>39</v>
      </c>
      <c r="L168" t="s">
        <v>39</v>
      </c>
      <c r="M168" t="s">
        <v>39</v>
      </c>
      <c r="N168" t="s">
        <v>39</v>
      </c>
      <c r="O168" t="s">
        <v>39</v>
      </c>
      <c r="P168" t="s">
        <v>39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 t="s">
        <v>39</v>
      </c>
      <c r="X168" t="s">
        <v>39</v>
      </c>
      <c r="Y168" s="3">
        <v>2.0541666666666667</v>
      </c>
      <c r="Z168" s="4">
        <v>0</v>
      </c>
      <c r="AA168">
        <v>0</v>
      </c>
      <c r="AB168" s="4">
        <v>0</v>
      </c>
      <c r="AC168" t="s">
        <v>40</v>
      </c>
      <c r="AD168" t="s">
        <v>230</v>
      </c>
      <c r="AE168">
        <v>1</v>
      </c>
      <c r="AF168">
        <v>0</v>
      </c>
      <c r="AG168" s="2">
        <v>0</v>
      </c>
      <c r="AH168" s="2">
        <v>3.4236111111111113E-2</v>
      </c>
      <c r="AI168" t="s">
        <v>39</v>
      </c>
      <c r="AJ168" t="s">
        <v>39</v>
      </c>
    </row>
    <row r="169" spans="1:36" x14ac:dyDescent="0.25">
      <c r="A169" t="s">
        <v>45</v>
      </c>
      <c r="B169" s="1">
        <v>43971.724062499998</v>
      </c>
      <c r="C169" t="s">
        <v>37</v>
      </c>
      <c r="D169" t="s">
        <v>49</v>
      </c>
      <c r="E169">
        <v>5.9</v>
      </c>
      <c r="F169">
        <v>516</v>
      </c>
      <c r="G169" s="2">
        <v>2.4710648148148148E-2</v>
      </c>
      <c r="H169">
        <v>172</v>
      </c>
      <c r="I169">
        <v>185</v>
      </c>
      <c r="J169" t="s">
        <v>39</v>
      </c>
      <c r="K169" t="s">
        <v>39</v>
      </c>
      <c r="L169" t="s">
        <v>39</v>
      </c>
      <c r="M169" s="4">
        <v>0.25138888888888888</v>
      </c>
      <c r="N169" s="4">
        <v>0.21180555555555555</v>
      </c>
      <c r="O169">
        <v>64</v>
      </c>
      <c r="P169">
        <v>68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 t="s">
        <v>39</v>
      </c>
      <c r="X169" t="s">
        <v>39</v>
      </c>
      <c r="Y169" s="3">
        <v>1.4826388888888891</v>
      </c>
      <c r="Z169" s="4">
        <v>0</v>
      </c>
      <c r="AA169">
        <v>0</v>
      </c>
      <c r="AB169" s="4">
        <v>0</v>
      </c>
      <c r="AC169" t="s">
        <v>40</v>
      </c>
      <c r="AD169" t="s">
        <v>230</v>
      </c>
      <c r="AE169">
        <v>1</v>
      </c>
      <c r="AF169">
        <v>0</v>
      </c>
      <c r="AG169" s="2">
        <v>2.4641203703703703E-2</v>
      </c>
      <c r="AH169" s="2">
        <v>2.4710648148148148E-2</v>
      </c>
      <c r="AI169">
        <v>12</v>
      </c>
      <c r="AJ169">
        <v>56</v>
      </c>
    </row>
    <row r="170" spans="1:36" x14ac:dyDescent="0.25">
      <c r="A170" t="s">
        <v>45</v>
      </c>
      <c r="B170" s="1">
        <v>43968.358043981483</v>
      </c>
      <c r="C170" t="s">
        <v>37</v>
      </c>
      <c r="D170" t="s">
        <v>49</v>
      </c>
      <c r="E170">
        <v>13.51</v>
      </c>
      <c r="F170" s="5">
        <v>1185</v>
      </c>
      <c r="G170" s="2">
        <v>5.9687500000000004E-2</v>
      </c>
      <c r="H170">
        <v>168</v>
      </c>
      <c r="I170">
        <v>204</v>
      </c>
      <c r="J170" t="s">
        <v>39</v>
      </c>
      <c r="K170" t="s">
        <v>39</v>
      </c>
      <c r="L170" t="s">
        <v>39</v>
      </c>
      <c r="M170" s="4">
        <v>0.26527777777777778</v>
      </c>
      <c r="N170" s="4">
        <v>9.0972222222222218E-2</v>
      </c>
      <c r="O170">
        <v>221</v>
      </c>
      <c r="P170">
        <v>225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 t="s">
        <v>39</v>
      </c>
      <c r="X170" t="s">
        <v>39</v>
      </c>
      <c r="Y170" s="2">
        <v>5.9687500000000004E-2</v>
      </c>
      <c r="Z170" s="4">
        <v>0</v>
      </c>
      <c r="AA170">
        <v>0</v>
      </c>
      <c r="AB170" s="4">
        <v>0</v>
      </c>
      <c r="AC170" t="s">
        <v>40</v>
      </c>
      <c r="AD170" t="s">
        <v>230</v>
      </c>
      <c r="AE170">
        <v>1</v>
      </c>
      <c r="AF170">
        <v>0</v>
      </c>
      <c r="AG170" s="2">
        <v>5.9687500000000004E-2</v>
      </c>
      <c r="AH170" s="2">
        <v>5.9687500000000004E-2</v>
      </c>
      <c r="AI170">
        <v>20</v>
      </c>
      <c r="AJ170">
        <v>117</v>
      </c>
    </row>
    <row r="171" spans="1:36" x14ac:dyDescent="0.25">
      <c r="A171" t="s">
        <v>57</v>
      </c>
      <c r="B171" s="1">
        <v>43966.755636574075</v>
      </c>
      <c r="C171" t="s">
        <v>37</v>
      </c>
      <c r="D171" t="s">
        <v>45</v>
      </c>
      <c r="E171">
        <v>0</v>
      </c>
      <c r="F171">
        <v>557</v>
      </c>
      <c r="G171" s="2">
        <v>2.7916666666666669E-2</v>
      </c>
      <c r="H171">
        <v>168</v>
      </c>
      <c r="I171">
        <v>180</v>
      </c>
      <c r="J171" t="s">
        <v>39</v>
      </c>
      <c r="K171" t="s">
        <v>39</v>
      </c>
      <c r="L171" t="s">
        <v>39</v>
      </c>
      <c r="M171" t="s">
        <v>39</v>
      </c>
      <c r="N171" t="s">
        <v>39</v>
      </c>
      <c r="O171" t="s">
        <v>39</v>
      </c>
      <c r="P171" t="s">
        <v>39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 t="s">
        <v>39</v>
      </c>
      <c r="X171" t="s">
        <v>39</v>
      </c>
      <c r="Y171" s="3">
        <v>1.675</v>
      </c>
      <c r="Z171" s="4">
        <v>0</v>
      </c>
      <c r="AA171">
        <v>0</v>
      </c>
      <c r="AB171" s="4">
        <v>0</v>
      </c>
      <c r="AC171" t="s">
        <v>40</v>
      </c>
      <c r="AD171" t="s">
        <v>230</v>
      </c>
      <c r="AE171">
        <v>1</v>
      </c>
      <c r="AF171">
        <v>0</v>
      </c>
      <c r="AG171" s="2">
        <v>0</v>
      </c>
      <c r="AH171" s="2">
        <v>2.7916666666666669E-2</v>
      </c>
      <c r="AI171" t="s">
        <v>39</v>
      </c>
      <c r="AJ171" t="s">
        <v>39</v>
      </c>
    </row>
    <row r="172" spans="1:36" x14ac:dyDescent="0.25">
      <c r="A172" t="s">
        <v>57</v>
      </c>
      <c r="B172" s="1">
        <v>43964.791087962964</v>
      </c>
      <c r="C172" t="s">
        <v>37</v>
      </c>
      <c r="D172" t="s">
        <v>45</v>
      </c>
      <c r="E172">
        <v>0</v>
      </c>
      <c r="F172">
        <v>608</v>
      </c>
      <c r="G172" s="2">
        <v>3.2245370370370369E-2</v>
      </c>
      <c r="H172">
        <v>163</v>
      </c>
      <c r="I172">
        <v>187</v>
      </c>
      <c r="J172" t="s">
        <v>39</v>
      </c>
      <c r="K172" t="s">
        <v>39</v>
      </c>
      <c r="L172" t="s">
        <v>39</v>
      </c>
      <c r="M172" t="s">
        <v>39</v>
      </c>
      <c r="N172" t="s">
        <v>39</v>
      </c>
      <c r="O172" t="s">
        <v>39</v>
      </c>
      <c r="P172" t="s">
        <v>39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 t="s">
        <v>39</v>
      </c>
      <c r="X172" t="s">
        <v>39</v>
      </c>
      <c r="Y172" s="3">
        <v>1.934722222222222</v>
      </c>
      <c r="Z172" s="4">
        <v>0</v>
      </c>
      <c r="AA172">
        <v>0</v>
      </c>
      <c r="AB172" s="4">
        <v>0</v>
      </c>
      <c r="AC172" t="s">
        <v>40</v>
      </c>
      <c r="AD172" t="s">
        <v>230</v>
      </c>
      <c r="AE172">
        <v>1</v>
      </c>
      <c r="AF172">
        <v>0</v>
      </c>
      <c r="AG172" s="2">
        <v>0</v>
      </c>
      <c r="AH172" s="2">
        <v>3.2245370370370369E-2</v>
      </c>
      <c r="AI172" t="s">
        <v>39</v>
      </c>
      <c r="AJ172" t="s">
        <v>39</v>
      </c>
    </row>
    <row r="173" spans="1:36" x14ac:dyDescent="0.25">
      <c r="A173" t="s">
        <v>36</v>
      </c>
      <c r="B173" s="1">
        <v>43963.288541666669</v>
      </c>
      <c r="C173" t="s">
        <v>37</v>
      </c>
      <c r="D173" t="s">
        <v>231</v>
      </c>
      <c r="E173">
        <v>0</v>
      </c>
      <c r="F173">
        <v>331</v>
      </c>
      <c r="G173" s="2">
        <v>4.0069444444444442E-2</v>
      </c>
      <c r="H173">
        <v>115</v>
      </c>
      <c r="I173">
        <v>152</v>
      </c>
      <c r="J173" t="s">
        <v>39</v>
      </c>
      <c r="K173" t="s">
        <v>39</v>
      </c>
      <c r="L173" t="s">
        <v>39</v>
      </c>
      <c r="M173" t="s">
        <v>39</v>
      </c>
      <c r="N173" t="s">
        <v>39</v>
      </c>
      <c r="O173" t="s">
        <v>39</v>
      </c>
      <c r="P173" t="s">
        <v>39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 t="s">
        <v>39</v>
      </c>
      <c r="X173" t="s">
        <v>39</v>
      </c>
      <c r="Y173" s="3">
        <v>2.4041666666666668</v>
      </c>
      <c r="Z173" s="4">
        <v>0</v>
      </c>
      <c r="AA173">
        <v>0</v>
      </c>
      <c r="AB173" s="4">
        <v>0</v>
      </c>
      <c r="AC173" t="s">
        <v>40</v>
      </c>
      <c r="AD173" t="s">
        <v>230</v>
      </c>
      <c r="AE173">
        <v>1</v>
      </c>
      <c r="AF173">
        <v>0</v>
      </c>
      <c r="AG173" s="2">
        <v>0</v>
      </c>
      <c r="AH173" s="2">
        <v>4.0069444444444442E-2</v>
      </c>
      <c r="AI173" t="s">
        <v>39</v>
      </c>
      <c r="AJ173" t="s">
        <v>39</v>
      </c>
    </row>
    <row r="174" spans="1:36" x14ac:dyDescent="0.25">
      <c r="A174" t="s">
        <v>45</v>
      </c>
      <c r="B174" s="1">
        <v>43962.291493055556</v>
      </c>
      <c r="C174" t="s">
        <v>37</v>
      </c>
      <c r="D174" t="s">
        <v>49</v>
      </c>
      <c r="E174">
        <v>6.02</v>
      </c>
      <c r="F174">
        <v>473</v>
      </c>
      <c r="G174" s="2">
        <v>2.4247685185185181E-2</v>
      </c>
      <c r="H174">
        <v>166</v>
      </c>
      <c r="I174">
        <v>183</v>
      </c>
      <c r="J174" t="s">
        <v>39</v>
      </c>
      <c r="K174" t="s">
        <v>39</v>
      </c>
      <c r="L174" t="s">
        <v>39</v>
      </c>
      <c r="M174" s="4">
        <v>0.24166666666666667</v>
      </c>
      <c r="N174" s="4">
        <v>9.1666666666666674E-2</v>
      </c>
      <c r="O174">
        <v>63</v>
      </c>
      <c r="P174">
        <v>67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 t="s">
        <v>39</v>
      </c>
      <c r="X174" t="s">
        <v>39</v>
      </c>
      <c r="Y174" s="3">
        <v>1.4548611111111109</v>
      </c>
      <c r="Z174" s="4">
        <v>0</v>
      </c>
      <c r="AA174">
        <v>0</v>
      </c>
      <c r="AB174" s="4">
        <v>0</v>
      </c>
      <c r="AC174" t="s">
        <v>40</v>
      </c>
      <c r="AD174" t="s">
        <v>232</v>
      </c>
      <c r="AE174">
        <v>4</v>
      </c>
      <c r="AF174">
        <v>0</v>
      </c>
      <c r="AG174" s="2">
        <v>2.2361111111111113E-2</v>
      </c>
      <c r="AH174" s="2">
        <v>2.4247685185185181E-2</v>
      </c>
      <c r="AI174">
        <v>22</v>
      </c>
      <c r="AJ174">
        <v>55</v>
      </c>
    </row>
    <row r="175" spans="1:36" x14ac:dyDescent="0.25">
      <c r="A175" t="s">
        <v>45</v>
      </c>
      <c r="B175" s="1">
        <v>43961.372789351852</v>
      </c>
      <c r="C175" t="s">
        <v>37</v>
      </c>
      <c r="D175" t="s">
        <v>49</v>
      </c>
      <c r="E175">
        <v>12.82</v>
      </c>
      <c r="F175" s="5">
        <v>1125</v>
      </c>
      <c r="G175" s="2">
        <v>5.4803240740740743E-2</v>
      </c>
      <c r="H175">
        <v>171</v>
      </c>
      <c r="I175">
        <v>182</v>
      </c>
      <c r="J175" t="s">
        <v>39</v>
      </c>
      <c r="K175" t="s">
        <v>39</v>
      </c>
      <c r="L175" t="s">
        <v>39</v>
      </c>
      <c r="M175" s="4">
        <v>0.25625000000000003</v>
      </c>
      <c r="N175" s="4">
        <v>9.930555555555555E-2</v>
      </c>
      <c r="O175">
        <v>188</v>
      </c>
      <c r="P175">
        <v>192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 t="s">
        <v>39</v>
      </c>
      <c r="X175" t="s">
        <v>39</v>
      </c>
      <c r="Y175" s="2">
        <v>5.4803240740740743E-2</v>
      </c>
      <c r="Z175" s="4">
        <v>0</v>
      </c>
      <c r="AA175">
        <v>0</v>
      </c>
      <c r="AB175" s="4">
        <v>0</v>
      </c>
      <c r="AC175" t="s">
        <v>40</v>
      </c>
      <c r="AD175" t="s">
        <v>230</v>
      </c>
      <c r="AE175">
        <v>1</v>
      </c>
      <c r="AF175">
        <v>0</v>
      </c>
      <c r="AG175" s="2">
        <v>5.4803240740740743E-2</v>
      </c>
      <c r="AH175" s="2">
        <v>5.4803240740740743E-2</v>
      </c>
      <c r="AI175">
        <v>20</v>
      </c>
      <c r="AJ175">
        <v>117</v>
      </c>
    </row>
    <row r="176" spans="1:36" x14ac:dyDescent="0.25">
      <c r="A176" t="s">
        <v>45</v>
      </c>
      <c r="B176" s="1">
        <v>43959.284583333334</v>
      </c>
      <c r="C176" t="s">
        <v>37</v>
      </c>
      <c r="D176" t="s">
        <v>49</v>
      </c>
      <c r="E176">
        <v>4.71</v>
      </c>
      <c r="F176">
        <v>538</v>
      </c>
      <c r="G176" s="2">
        <v>2.8900462962962961E-2</v>
      </c>
      <c r="H176">
        <v>164</v>
      </c>
      <c r="I176">
        <v>184</v>
      </c>
      <c r="J176" t="s">
        <v>39</v>
      </c>
      <c r="K176" t="s">
        <v>39</v>
      </c>
      <c r="L176" t="s">
        <v>39</v>
      </c>
      <c r="M176" s="4">
        <v>0.36805555555555558</v>
      </c>
      <c r="N176" s="4">
        <v>4.1666666666666664E-2</v>
      </c>
      <c r="O176">
        <v>75</v>
      </c>
      <c r="P176">
        <v>75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 t="s">
        <v>39</v>
      </c>
      <c r="X176" t="s">
        <v>39</v>
      </c>
      <c r="Y176" s="3">
        <v>1.7340277777777777</v>
      </c>
      <c r="Z176" s="4">
        <v>0</v>
      </c>
      <c r="AA176">
        <v>0</v>
      </c>
      <c r="AB176" s="4">
        <v>0</v>
      </c>
      <c r="AC176" t="s">
        <v>40</v>
      </c>
      <c r="AD176" t="s">
        <v>233</v>
      </c>
      <c r="AE176">
        <v>21</v>
      </c>
      <c r="AF176">
        <v>0</v>
      </c>
      <c r="AG176" s="2">
        <v>2.5046296296296299E-2</v>
      </c>
      <c r="AH176" s="2">
        <v>2.8900462962962961E-2</v>
      </c>
      <c r="AI176">
        <v>18</v>
      </c>
      <c r="AJ176">
        <v>36</v>
      </c>
    </row>
    <row r="177" spans="1:36" x14ac:dyDescent="0.25">
      <c r="A177" t="s">
        <v>36</v>
      </c>
      <c r="B177" s="1">
        <v>43958.778483796297</v>
      </c>
      <c r="C177" t="s">
        <v>37</v>
      </c>
      <c r="D177" t="s">
        <v>231</v>
      </c>
      <c r="E177">
        <v>0</v>
      </c>
      <c r="F177">
        <v>290</v>
      </c>
      <c r="G177" s="2">
        <v>3.6759259259259255E-2</v>
      </c>
      <c r="H177">
        <v>113</v>
      </c>
      <c r="I177">
        <v>158</v>
      </c>
      <c r="J177" t="s">
        <v>39</v>
      </c>
      <c r="K177" t="s">
        <v>39</v>
      </c>
      <c r="L177" t="s">
        <v>39</v>
      </c>
      <c r="M177" t="s">
        <v>39</v>
      </c>
      <c r="N177" t="s">
        <v>39</v>
      </c>
      <c r="O177" t="s">
        <v>39</v>
      </c>
      <c r="P177" t="s">
        <v>39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 t="s">
        <v>39</v>
      </c>
      <c r="X177" t="s">
        <v>39</v>
      </c>
      <c r="Y177" s="3">
        <v>2.2055555555555553</v>
      </c>
      <c r="Z177" s="4">
        <v>0</v>
      </c>
      <c r="AA177">
        <v>0</v>
      </c>
      <c r="AB177" s="4">
        <v>0</v>
      </c>
      <c r="AC177" t="s">
        <v>40</v>
      </c>
      <c r="AD177" t="s">
        <v>230</v>
      </c>
      <c r="AE177">
        <v>1</v>
      </c>
      <c r="AF177">
        <v>0</v>
      </c>
      <c r="AG177" s="2">
        <v>0</v>
      </c>
      <c r="AH177" s="2">
        <v>3.6759259259259255E-2</v>
      </c>
      <c r="AI177" t="s">
        <v>39</v>
      </c>
      <c r="AJ177" t="s">
        <v>39</v>
      </c>
    </row>
    <row r="178" spans="1:36" x14ac:dyDescent="0.25">
      <c r="A178" t="s">
        <v>45</v>
      </c>
      <c r="B178" s="1">
        <v>43957.278900462959</v>
      </c>
      <c r="C178" t="s">
        <v>37</v>
      </c>
      <c r="D178" t="s">
        <v>49</v>
      </c>
      <c r="E178">
        <v>9.24</v>
      </c>
      <c r="F178">
        <v>822</v>
      </c>
      <c r="G178" s="2">
        <v>3.923611111111111E-2</v>
      </c>
      <c r="H178">
        <v>173</v>
      </c>
      <c r="I178">
        <v>184</v>
      </c>
      <c r="J178" t="s">
        <v>39</v>
      </c>
      <c r="K178" t="s">
        <v>39</v>
      </c>
      <c r="L178" t="s">
        <v>39</v>
      </c>
      <c r="M178" s="4">
        <v>0.25486111111111109</v>
      </c>
      <c r="N178" s="4">
        <v>0.16874999999999998</v>
      </c>
      <c r="O178">
        <v>104</v>
      </c>
      <c r="P178">
        <v>107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 t="s">
        <v>39</v>
      </c>
      <c r="X178" t="s">
        <v>39</v>
      </c>
      <c r="Y178" s="3">
        <v>2.3541666666666665</v>
      </c>
      <c r="Z178" s="4">
        <v>0</v>
      </c>
      <c r="AA178">
        <v>0</v>
      </c>
      <c r="AB178" s="4">
        <v>0</v>
      </c>
      <c r="AC178" t="s">
        <v>40</v>
      </c>
      <c r="AD178" t="s">
        <v>234</v>
      </c>
      <c r="AE178">
        <v>10</v>
      </c>
      <c r="AF178">
        <v>0</v>
      </c>
      <c r="AG178" s="2">
        <v>3.9212962962962963E-2</v>
      </c>
      <c r="AH178" s="2">
        <v>3.923611111111111E-2</v>
      </c>
      <c r="AI178">
        <v>12</v>
      </c>
      <c r="AJ178">
        <v>56</v>
      </c>
    </row>
    <row r="179" spans="1:36" x14ac:dyDescent="0.25">
      <c r="A179" t="s">
        <v>36</v>
      </c>
      <c r="B179" s="1">
        <v>43956.271631944444</v>
      </c>
      <c r="C179" t="s">
        <v>37</v>
      </c>
      <c r="D179" t="s">
        <v>231</v>
      </c>
      <c r="E179">
        <v>0</v>
      </c>
      <c r="F179">
        <v>212</v>
      </c>
      <c r="G179" s="2">
        <v>4.1932870370370377E-2</v>
      </c>
      <c r="H179">
        <v>100</v>
      </c>
      <c r="I179">
        <v>122</v>
      </c>
      <c r="J179" t="s">
        <v>39</v>
      </c>
      <c r="K179" t="s">
        <v>39</v>
      </c>
      <c r="L179" t="s">
        <v>39</v>
      </c>
      <c r="M179" t="s">
        <v>39</v>
      </c>
      <c r="N179" t="s">
        <v>39</v>
      </c>
      <c r="O179" t="s">
        <v>39</v>
      </c>
      <c r="P179" t="s">
        <v>39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 t="s">
        <v>39</v>
      </c>
      <c r="X179" t="s">
        <v>39</v>
      </c>
      <c r="Y179" s="2">
        <v>4.1932870370370377E-2</v>
      </c>
      <c r="Z179" s="4">
        <v>0</v>
      </c>
      <c r="AA179">
        <v>0</v>
      </c>
      <c r="AB179" s="4">
        <v>0</v>
      </c>
      <c r="AC179" t="s">
        <v>40</v>
      </c>
      <c r="AD179" t="s">
        <v>230</v>
      </c>
      <c r="AE179">
        <v>1</v>
      </c>
      <c r="AF179">
        <v>0</v>
      </c>
      <c r="AG179" s="2">
        <v>0</v>
      </c>
      <c r="AH179" s="2">
        <v>4.1932870370370377E-2</v>
      </c>
      <c r="AI179" t="s">
        <v>39</v>
      </c>
      <c r="AJ179" t="s">
        <v>39</v>
      </c>
    </row>
    <row r="180" spans="1:36" x14ac:dyDescent="0.25">
      <c r="A180" t="s">
        <v>45</v>
      </c>
      <c r="B180" s="1">
        <v>43955.733194444445</v>
      </c>
      <c r="C180" t="s">
        <v>37</v>
      </c>
      <c r="D180" t="s">
        <v>49</v>
      </c>
      <c r="E180">
        <v>6</v>
      </c>
      <c r="F180">
        <v>503</v>
      </c>
      <c r="G180" s="2">
        <v>2.5624999999999998E-2</v>
      </c>
      <c r="H180">
        <v>167</v>
      </c>
      <c r="I180">
        <v>183</v>
      </c>
      <c r="J180" t="s">
        <v>39</v>
      </c>
      <c r="K180" t="s">
        <v>39</v>
      </c>
      <c r="L180" t="s">
        <v>39</v>
      </c>
      <c r="M180" s="4">
        <v>0.25625000000000003</v>
      </c>
      <c r="N180" s="4">
        <v>7.5694444444444439E-2</v>
      </c>
      <c r="O180">
        <v>65</v>
      </c>
      <c r="P180">
        <v>69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 t="s">
        <v>39</v>
      </c>
      <c r="X180" t="s">
        <v>39</v>
      </c>
      <c r="Y180" s="3">
        <v>1.5374999999999999</v>
      </c>
      <c r="Z180" s="4">
        <v>0</v>
      </c>
      <c r="AA180">
        <v>0</v>
      </c>
      <c r="AB180" s="4">
        <v>0</v>
      </c>
      <c r="AC180" t="s">
        <v>40</v>
      </c>
      <c r="AD180" t="s">
        <v>235</v>
      </c>
      <c r="AE180">
        <v>5</v>
      </c>
      <c r="AF180">
        <v>0</v>
      </c>
      <c r="AG180" s="2">
        <v>2.2881944444444444E-2</v>
      </c>
      <c r="AH180" s="2">
        <v>2.5624999999999998E-2</v>
      </c>
      <c r="AI180">
        <v>22</v>
      </c>
      <c r="AJ180">
        <v>55</v>
      </c>
    </row>
    <row r="181" spans="1:36" x14ac:dyDescent="0.25">
      <c r="A181" t="s">
        <v>45</v>
      </c>
      <c r="B181" s="1">
        <v>43954.364861111113</v>
      </c>
      <c r="C181" t="s">
        <v>37</v>
      </c>
      <c r="D181" t="s">
        <v>49</v>
      </c>
      <c r="E181">
        <v>10.3</v>
      </c>
      <c r="F181">
        <v>860</v>
      </c>
      <c r="G181" s="2">
        <v>4.1678240740740745E-2</v>
      </c>
      <c r="H181">
        <v>172</v>
      </c>
      <c r="I181">
        <v>184</v>
      </c>
      <c r="J181" t="s">
        <v>39</v>
      </c>
      <c r="K181" t="s">
        <v>39</v>
      </c>
      <c r="L181" t="s">
        <v>39</v>
      </c>
      <c r="M181" s="4">
        <v>0.24305555555555555</v>
      </c>
      <c r="N181" s="4">
        <v>0.13680555555555554</v>
      </c>
      <c r="O181">
        <v>110</v>
      </c>
      <c r="P181">
        <v>109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 t="s">
        <v>39</v>
      </c>
      <c r="X181" t="s">
        <v>39</v>
      </c>
      <c r="Y181" s="2">
        <v>4.1678240740740745E-2</v>
      </c>
      <c r="Z181" s="4">
        <v>0</v>
      </c>
      <c r="AA181">
        <v>0</v>
      </c>
      <c r="AB181" s="4">
        <v>0</v>
      </c>
      <c r="AC181" t="s">
        <v>40</v>
      </c>
      <c r="AD181" t="s">
        <v>236</v>
      </c>
      <c r="AE181">
        <v>11</v>
      </c>
      <c r="AF181">
        <v>0</v>
      </c>
      <c r="AG181" s="2">
        <v>4.1643518518518517E-2</v>
      </c>
      <c r="AH181" s="2">
        <v>4.1678240740740745E-2</v>
      </c>
      <c r="AI181">
        <v>14</v>
      </c>
      <c r="AJ181">
        <v>60</v>
      </c>
    </row>
    <row r="182" spans="1:36" x14ac:dyDescent="0.25">
      <c r="A182" t="s">
        <v>45</v>
      </c>
      <c r="B182" s="1">
        <v>43952.348043981481</v>
      </c>
      <c r="C182" t="s">
        <v>37</v>
      </c>
      <c r="D182" t="s">
        <v>49</v>
      </c>
      <c r="E182">
        <v>11.6</v>
      </c>
      <c r="F182" s="5">
        <v>1036</v>
      </c>
      <c r="G182" s="2">
        <v>5.0439814814814819E-2</v>
      </c>
      <c r="H182">
        <v>171</v>
      </c>
      <c r="I182">
        <v>183</v>
      </c>
      <c r="J182" t="s">
        <v>39</v>
      </c>
      <c r="K182" t="s">
        <v>39</v>
      </c>
      <c r="L182" t="s">
        <v>39</v>
      </c>
      <c r="M182" s="4">
        <v>0.26111111111111113</v>
      </c>
      <c r="N182" s="4">
        <v>0.19166666666666665</v>
      </c>
      <c r="O182">
        <v>178</v>
      </c>
      <c r="P182">
        <v>184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 t="s">
        <v>39</v>
      </c>
      <c r="X182" t="s">
        <v>39</v>
      </c>
      <c r="Y182" s="2">
        <v>5.0439814814814819E-2</v>
      </c>
      <c r="Z182" s="4">
        <v>0</v>
      </c>
      <c r="AA182">
        <v>0</v>
      </c>
      <c r="AB182" s="4">
        <v>0</v>
      </c>
      <c r="AC182" t="s">
        <v>40</v>
      </c>
      <c r="AD182" t="s">
        <v>230</v>
      </c>
      <c r="AE182">
        <v>1</v>
      </c>
      <c r="AF182">
        <v>0</v>
      </c>
      <c r="AG182" s="2">
        <v>5.0439814814814819E-2</v>
      </c>
      <c r="AH182" s="2">
        <v>5.0439814814814819E-2</v>
      </c>
      <c r="AI182">
        <v>20</v>
      </c>
      <c r="AJ182">
        <v>116</v>
      </c>
    </row>
    <row r="183" spans="1:36" x14ac:dyDescent="0.25">
      <c r="A183" t="s">
        <v>36</v>
      </c>
      <c r="B183" s="1">
        <v>43951.779895833337</v>
      </c>
      <c r="C183" t="s">
        <v>37</v>
      </c>
      <c r="D183" t="s">
        <v>231</v>
      </c>
      <c r="E183">
        <v>0</v>
      </c>
      <c r="F183">
        <v>216</v>
      </c>
      <c r="G183" s="2">
        <v>2.8668981481481479E-2</v>
      </c>
      <c r="H183">
        <v>111</v>
      </c>
      <c r="I183">
        <v>161</v>
      </c>
      <c r="J183" t="s">
        <v>39</v>
      </c>
      <c r="K183" t="s">
        <v>39</v>
      </c>
      <c r="L183" t="s">
        <v>39</v>
      </c>
      <c r="M183" t="s">
        <v>39</v>
      </c>
      <c r="N183" t="s">
        <v>39</v>
      </c>
      <c r="O183" t="s">
        <v>39</v>
      </c>
      <c r="P183" t="s">
        <v>39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 t="s">
        <v>39</v>
      </c>
      <c r="X183" t="s">
        <v>39</v>
      </c>
      <c r="Y183" s="3">
        <v>1.7201388888888889</v>
      </c>
      <c r="Z183" s="4">
        <v>0</v>
      </c>
      <c r="AA183">
        <v>0</v>
      </c>
      <c r="AB183" s="4">
        <v>0</v>
      </c>
      <c r="AC183" t="s">
        <v>40</v>
      </c>
      <c r="AD183" t="s">
        <v>230</v>
      </c>
      <c r="AE183">
        <v>1</v>
      </c>
      <c r="AF183">
        <v>0</v>
      </c>
      <c r="AG183" s="2">
        <v>0</v>
      </c>
      <c r="AH183" s="2">
        <v>2.8668981481481479E-2</v>
      </c>
      <c r="AI183" t="s">
        <v>39</v>
      </c>
      <c r="AJ183" t="s">
        <v>39</v>
      </c>
    </row>
    <row r="184" spans="1:36" x14ac:dyDescent="0.25">
      <c r="A184" t="s">
        <v>45</v>
      </c>
      <c r="B184" s="1">
        <v>43950.272013888891</v>
      </c>
      <c r="C184" t="s">
        <v>37</v>
      </c>
      <c r="D184" t="s">
        <v>49</v>
      </c>
      <c r="E184">
        <v>6.41</v>
      </c>
      <c r="F184">
        <v>586</v>
      </c>
      <c r="G184" s="2">
        <v>3.5925925925925924E-2</v>
      </c>
      <c r="H184">
        <v>153</v>
      </c>
      <c r="I184">
        <v>182</v>
      </c>
      <c r="J184" t="s">
        <v>39</v>
      </c>
      <c r="K184" t="s">
        <v>39</v>
      </c>
      <c r="L184" t="s">
        <v>39</v>
      </c>
      <c r="M184" s="4">
        <v>0.33611111111111108</v>
      </c>
      <c r="N184" s="4">
        <v>0.15763888888888888</v>
      </c>
      <c r="O184">
        <v>18</v>
      </c>
      <c r="P184">
        <v>30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 t="s">
        <v>39</v>
      </c>
      <c r="X184" t="s">
        <v>39</v>
      </c>
      <c r="Y184" s="3">
        <v>2.1555555555555554</v>
      </c>
      <c r="Z184" s="4">
        <v>0</v>
      </c>
      <c r="AA184">
        <v>0</v>
      </c>
      <c r="AB184" s="4">
        <v>0</v>
      </c>
      <c r="AC184" t="s">
        <v>40</v>
      </c>
      <c r="AD184" t="s">
        <v>237</v>
      </c>
      <c r="AE184">
        <v>22</v>
      </c>
      <c r="AF184">
        <v>0</v>
      </c>
      <c r="AG184" s="2">
        <v>2.8217592592592589E-2</v>
      </c>
      <c r="AH184" s="2">
        <v>3.5925925925925924E-2</v>
      </c>
      <c r="AI184">
        <v>12</v>
      </c>
      <c r="AJ184">
        <v>31</v>
      </c>
    </row>
    <row r="185" spans="1:36" x14ac:dyDescent="0.25">
      <c r="A185" t="s">
        <v>36</v>
      </c>
      <c r="B185" s="1">
        <v>43949.270138888889</v>
      </c>
      <c r="C185" t="s">
        <v>37</v>
      </c>
      <c r="D185" t="s">
        <v>231</v>
      </c>
      <c r="E185">
        <v>0</v>
      </c>
      <c r="F185">
        <v>179</v>
      </c>
      <c r="G185" s="2">
        <v>3.9050925925925926E-2</v>
      </c>
      <c r="H185">
        <v>98</v>
      </c>
      <c r="I185">
        <v>120</v>
      </c>
      <c r="J185" t="s">
        <v>39</v>
      </c>
      <c r="K185" t="s">
        <v>39</v>
      </c>
      <c r="L185" t="s">
        <v>39</v>
      </c>
      <c r="M185" t="s">
        <v>39</v>
      </c>
      <c r="N185" t="s">
        <v>39</v>
      </c>
      <c r="O185" t="s">
        <v>39</v>
      </c>
      <c r="P185" t="s">
        <v>39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 t="s">
        <v>39</v>
      </c>
      <c r="X185" t="s">
        <v>39</v>
      </c>
      <c r="Y185" s="3">
        <v>2.3430555555555554</v>
      </c>
      <c r="Z185" s="4">
        <v>0</v>
      </c>
      <c r="AA185">
        <v>0</v>
      </c>
      <c r="AB185" s="4">
        <v>0</v>
      </c>
      <c r="AC185" t="s">
        <v>40</v>
      </c>
      <c r="AD185" t="s">
        <v>230</v>
      </c>
      <c r="AE185">
        <v>1</v>
      </c>
      <c r="AF185">
        <v>0</v>
      </c>
      <c r="AG185" s="2">
        <v>0</v>
      </c>
      <c r="AH185" s="2">
        <v>3.9050925925925926E-2</v>
      </c>
      <c r="AI185" t="s">
        <v>39</v>
      </c>
      <c r="AJ185" t="s">
        <v>39</v>
      </c>
    </row>
    <row r="186" spans="1:36" x14ac:dyDescent="0.25">
      <c r="A186" t="s">
        <v>45</v>
      </c>
      <c r="B186" s="1">
        <v>43948.270891203705</v>
      </c>
      <c r="C186" t="s">
        <v>37</v>
      </c>
      <c r="D186" t="s">
        <v>49</v>
      </c>
      <c r="E186">
        <v>7</v>
      </c>
      <c r="F186">
        <v>577</v>
      </c>
      <c r="G186" s="2">
        <v>3.1446759259259258E-2</v>
      </c>
      <c r="H186">
        <v>162</v>
      </c>
      <c r="I186">
        <v>182</v>
      </c>
      <c r="J186" t="s">
        <v>39</v>
      </c>
      <c r="K186" t="s">
        <v>39</v>
      </c>
      <c r="L186" t="s">
        <v>39</v>
      </c>
      <c r="M186" s="4">
        <v>0.26944444444444443</v>
      </c>
      <c r="N186" s="4">
        <v>0.10625</v>
      </c>
      <c r="O186">
        <v>24</v>
      </c>
      <c r="P186">
        <v>40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 t="s">
        <v>39</v>
      </c>
      <c r="X186" t="s">
        <v>39</v>
      </c>
      <c r="Y186" s="3">
        <v>1.8868055555555554</v>
      </c>
      <c r="Z186" s="4">
        <v>0</v>
      </c>
      <c r="AA186">
        <v>0</v>
      </c>
      <c r="AB186" s="4">
        <v>0</v>
      </c>
      <c r="AC186" t="s">
        <v>40</v>
      </c>
      <c r="AD186" t="s">
        <v>238</v>
      </c>
      <c r="AE186">
        <v>9</v>
      </c>
      <c r="AF186">
        <v>0</v>
      </c>
      <c r="AG186" s="2">
        <v>2.837962962962963E-2</v>
      </c>
      <c r="AH186" s="2">
        <v>3.1446759259259258E-2</v>
      </c>
      <c r="AI186">
        <v>12</v>
      </c>
      <c r="AJ186">
        <v>28</v>
      </c>
    </row>
    <row r="187" spans="1:36" x14ac:dyDescent="0.25">
      <c r="A187" t="s">
        <v>45</v>
      </c>
      <c r="B187" s="1">
        <v>43946.316770833335</v>
      </c>
      <c r="C187" t="s">
        <v>37</v>
      </c>
      <c r="D187" t="s">
        <v>49</v>
      </c>
      <c r="E187">
        <v>9.44</v>
      </c>
      <c r="F187">
        <v>871</v>
      </c>
      <c r="G187" s="2">
        <v>4.1678240740740745E-2</v>
      </c>
      <c r="H187">
        <v>173</v>
      </c>
      <c r="I187">
        <v>186</v>
      </c>
      <c r="J187" t="s">
        <v>39</v>
      </c>
      <c r="K187" t="s">
        <v>39</v>
      </c>
      <c r="L187" t="s">
        <v>39</v>
      </c>
      <c r="M187" s="4">
        <v>0.26458333333333334</v>
      </c>
      <c r="N187" s="4">
        <v>0.10486111111111111</v>
      </c>
      <c r="O187">
        <v>143</v>
      </c>
      <c r="P187">
        <v>147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 t="s">
        <v>39</v>
      </c>
      <c r="X187" t="s">
        <v>39</v>
      </c>
      <c r="Y187" s="2">
        <v>4.1678240740740745E-2</v>
      </c>
      <c r="Z187" s="4">
        <v>0</v>
      </c>
      <c r="AA187">
        <v>0</v>
      </c>
      <c r="AB187" s="4">
        <v>0</v>
      </c>
      <c r="AC187" t="s">
        <v>40</v>
      </c>
      <c r="AD187" t="s">
        <v>239</v>
      </c>
      <c r="AE187">
        <v>10</v>
      </c>
      <c r="AF187">
        <v>0</v>
      </c>
      <c r="AG187" s="2">
        <v>4.1365740740740745E-2</v>
      </c>
      <c r="AH187" s="2">
        <v>4.1678240740740745E-2</v>
      </c>
      <c r="AI187">
        <v>21</v>
      </c>
      <c r="AJ187">
        <v>71</v>
      </c>
    </row>
    <row r="188" spans="1:36" x14ac:dyDescent="0.25">
      <c r="A188" t="s">
        <v>45</v>
      </c>
      <c r="B188" s="1">
        <v>43945.727314814816</v>
      </c>
      <c r="C188" t="s">
        <v>37</v>
      </c>
      <c r="D188" t="s">
        <v>49</v>
      </c>
      <c r="E188">
        <v>8</v>
      </c>
      <c r="F188">
        <v>708</v>
      </c>
      <c r="G188" s="2">
        <v>3.3784722222222223E-2</v>
      </c>
      <c r="H188">
        <v>173</v>
      </c>
      <c r="I188">
        <v>184</v>
      </c>
      <c r="J188" t="s">
        <v>39</v>
      </c>
      <c r="K188" t="s">
        <v>39</v>
      </c>
      <c r="L188" t="s">
        <v>39</v>
      </c>
      <c r="M188" s="4">
        <v>0.25347222222222221</v>
      </c>
      <c r="N188" s="4">
        <v>0.11180555555555556</v>
      </c>
      <c r="O188">
        <v>117</v>
      </c>
      <c r="P188">
        <v>116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 t="s">
        <v>39</v>
      </c>
      <c r="X188" t="s">
        <v>39</v>
      </c>
      <c r="Y188" s="3">
        <v>2.0270833333333331</v>
      </c>
      <c r="Z188" s="4">
        <v>0</v>
      </c>
      <c r="AA188">
        <v>0</v>
      </c>
      <c r="AB188" s="4">
        <v>0</v>
      </c>
      <c r="AC188" t="s">
        <v>40</v>
      </c>
      <c r="AD188" t="s">
        <v>240</v>
      </c>
      <c r="AE188">
        <v>8</v>
      </c>
      <c r="AF188">
        <v>0</v>
      </c>
      <c r="AG188" s="2">
        <v>3.3761574074074076E-2</v>
      </c>
      <c r="AH188" s="2">
        <v>3.3784722222222223E-2</v>
      </c>
      <c r="AI188">
        <v>21</v>
      </c>
      <c r="AJ188">
        <v>60</v>
      </c>
    </row>
    <row r="189" spans="1:36" x14ac:dyDescent="0.25">
      <c r="A189" t="s">
        <v>36</v>
      </c>
      <c r="B189" s="1">
        <v>43944.270856481482</v>
      </c>
      <c r="C189" t="s">
        <v>37</v>
      </c>
      <c r="D189" t="s">
        <v>231</v>
      </c>
      <c r="E189">
        <v>0</v>
      </c>
      <c r="F189">
        <v>355</v>
      </c>
      <c r="G189" s="2">
        <v>3.8946759259259257E-2</v>
      </c>
      <c r="H189">
        <v>119</v>
      </c>
      <c r="I189">
        <v>161</v>
      </c>
      <c r="J189" t="s">
        <v>39</v>
      </c>
      <c r="K189" t="s">
        <v>39</v>
      </c>
      <c r="L189" t="s">
        <v>39</v>
      </c>
      <c r="M189" t="s">
        <v>39</v>
      </c>
      <c r="N189" t="s">
        <v>39</v>
      </c>
      <c r="O189" t="s">
        <v>39</v>
      </c>
      <c r="P189" t="s">
        <v>39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 t="s">
        <v>39</v>
      </c>
      <c r="X189" t="s">
        <v>39</v>
      </c>
      <c r="Y189" s="3">
        <v>2.3368055555555558</v>
      </c>
      <c r="Z189" s="4">
        <v>0</v>
      </c>
      <c r="AA189">
        <v>0</v>
      </c>
      <c r="AB189" s="4">
        <v>0</v>
      </c>
      <c r="AC189" t="s">
        <v>40</v>
      </c>
      <c r="AD189" t="s">
        <v>230</v>
      </c>
      <c r="AE189">
        <v>1</v>
      </c>
      <c r="AF189">
        <v>0</v>
      </c>
      <c r="AG189" s="2">
        <v>0</v>
      </c>
      <c r="AH189" s="2">
        <v>3.8946759259259257E-2</v>
      </c>
      <c r="AI189" t="s">
        <v>39</v>
      </c>
      <c r="AJ189" t="s">
        <v>39</v>
      </c>
    </row>
    <row r="190" spans="1:36" x14ac:dyDescent="0.25">
      <c r="A190" t="s">
        <v>45</v>
      </c>
      <c r="B190" s="1">
        <v>43943.271273148152</v>
      </c>
      <c r="C190" t="s">
        <v>37</v>
      </c>
      <c r="D190" t="s">
        <v>49</v>
      </c>
      <c r="E190">
        <v>9.01</v>
      </c>
      <c r="F190">
        <v>758</v>
      </c>
      <c r="G190" s="2">
        <v>3.7870370370370367E-2</v>
      </c>
      <c r="H190">
        <v>169</v>
      </c>
      <c r="I190">
        <v>184</v>
      </c>
      <c r="J190" t="s">
        <v>39</v>
      </c>
      <c r="K190" t="s">
        <v>39</v>
      </c>
      <c r="L190" t="s">
        <v>39</v>
      </c>
      <c r="M190" s="4">
        <v>0.25208333333333333</v>
      </c>
      <c r="N190" s="4">
        <v>0.13055555555555556</v>
      </c>
      <c r="O190">
        <v>138</v>
      </c>
      <c r="P190">
        <v>140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 t="s">
        <v>39</v>
      </c>
      <c r="X190" t="s">
        <v>39</v>
      </c>
      <c r="Y190" s="3">
        <v>2.2722222222222221</v>
      </c>
      <c r="Z190" s="4">
        <v>0</v>
      </c>
      <c r="AA190">
        <v>0</v>
      </c>
      <c r="AB190" s="4">
        <v>0</v>
      </c>
      <c r="AC190" t="s">
        <v>40</v>
      </c>
      <c r="AD190" t="s">
        <v>241</v>
      </c>
      <c r="AE190">
        <v>13</v>
      </c>
      <c r="AF190">
        <v>0</v>
      </c>
      <c r="AG190" s="2">
        <v>3.7835648148148153E-2</v>
      </c>
      <c r="AH190" s="2">
        <v>3.7870370370370367E-2</v>
      </c>
      <c r="AI190">
        <v>21</v>
      </c>
      <c r="AJ190">
        <v>59</v>
      </c>
    </row>
    <row r="191" spans="1:36" x14ac:dyDescent="0.25">
      <c r="A191" t="s">
        <v>45</v>
      </c>
      <c r="B191" s="1">
        <v>43941.291655092595</v>
      </c>
      <c r="C191" t="s">
        <v>37</v>
      </c>
      <c r="D191" t="s">
        <v>49</v>
      </c>
      <c r="E191">
        <v>5</v>
      </c>
      <c r="F191">
        <v>426</v>
      </c>
      <c r="G191" s="2">
        <v>2.1527777777777781E-2</v>
      </c>
      <c r="H191">
        <v>168</v>
      </c>
      <c r="I191">
        <v>187</v>
      </c>
      <c r="J191" t="s">
        <v>39</v>
      </c>
      <c r="K191" t="s">
        <v>39</v>
      </c>
      <c r="L191" t="s">
        <v>39</v>
      </c>
      <c r="M191" s="4">
        <v>0.25833333333333336</v>
      </c>
      <c r="N191" s="4">
        <v>0.17569444444444446</v>
      </c>
      <c r="O191">
        <v>11</v>
      </c>
      <c r="P191">
        <v>25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 t="s">
        <v>39</v>
      </c>
      <c r="X191" t="s">
        <v>39</v>
      </c>
      <c r="Y191" s="3">
        <v>1.2916666666666667</v>
      </c>
      <c r="Z191" s="4">
        <v>0</v>
      </c>
      <c r="AA191">
        <v>0</v>
      </c>
      <c r="AB191" s="4">
        <v>0</v>
      </c>
      <c r="AC191" t="s">
        <v>40</v>
      </c>
      <c r="AD191" t="s">
        <v>242</v>
      </c>
      <c r="AE191">
        <v>7</v>
      </c>
      <c r="AF191">
        <v>0</v>
      </c>
      <c r="AG191" s="2">
        <v>1.8287037037037036E-2</v>
      </c>
      <c r="AH191" s="2">
        <v>2.1527777777777781E-2</v>
      </c>
      <c r="AI191">
        <v>12</v>
      </c>
      <c r="AJ191">
        <v>30</v>
      </c>
    </row>
    <row r="192" spans="1:36" x14ac:dyDescent="0.25">
      <c r="A192" t="s">
        <v>45</v>
      </c>
      <c r="B192" s="1">
        <v>43939.303969907407</v>
      </c>
      <c r="C192" t="s">
        <v>37</v>
      </c>
      <c r="D192" t="s">
        <v>49</v>
      </c>
      <c r="E192">
        <v>9.69</v>
      </c>
      <c r="F192">
        <v>881</v>
      </c>
      <c r="G192" s="2">
        <v>4.1689814814814818E-2</v>
      </c>
      <c r="H192">
        <v>174</v>
      </c>
      <c r="I192">
        <v>184</v>
      </c>
      <c r="J192" t="s">
        <v>39</v>
      </c>
      <c r="K192" t="s">
        <v>39</v>
      </c>
      <c r="L192" t="s">
        <v>39</v>
      </c>
      <c r="M192" s="4">
        <v>0.25833333333333336</v>
      </c>
      <c r="N192" s="4">
        <v>0.10069444444444443</v>
      </c>
      <c r="O192">
        <v>147</v>
      </c>
      <c r="P192">
        <v>151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 t="s">
        <v>39</v>
      </c>
      <c r="X192" t="s">
        <v>39</v>
      </c>
      <c r="Y192" s="2">
        <v>4.1689814814814818E-2</v>
      </c>
      <c r="Z192" s="4">
        <v>0</v>
      </c>
      <c r="AA192">
        <v>0</v>
      </c>
      <c r="AB192" s="4">
        <v>0</v>
      </c>
      <c r="AC192" t="s">
        <v>40</v>
      </c>
      <c r="AD192" t="s">
        <v>243</v>
      </c>
      <c r="AE192">
        <v>10</v>
      </c>
      <c r="AF192">
        <v>0</v>
      </c>
      <c r="AG192" s="2">
        <v>4.1666666666666664E-2</v>
      </c>
      <c r="AH192" s="2">
        <v>4.1689814814814818E-2</v>
      </c>
      <c r="AI192">
        <v>22</v>
      </c>
      <c r="AJ192">
        <v>73</v>
      </c>
    </row>
    <row r="193" spans="1:36" x14ac:dyDescent="0.25">
      <c r="A193" t="s">
        <v>45</v>
      </c>
      <c r="B193" s="1">
        <v>43938.285000000003</v>
      </c>
      <c r="C193" t="s">
        <v>37</v>
      </c>
      <c r="D193" t="s">
        <v>49</v>
      </c>
      <c r="E193">
        <v>5.16</v>
      </c>
      <c r="F193">
        <v>433</v>
      </c>
      <c r="G193" s="2">
        <v>2.0856481481481479E-2</v>
      </c>
      <c r="H193">
        <v>172</v>
      </c>
      <c r="I193">
        <v>187</v>
      </c>
      <c r="J193" t="s">
        <v>39</v>
      </c>
      <c r="K193" t="s">
        <v>39</v>
      </c>
      <c r="L193" t="s">
        <v>39</v>
      </c>
      <c r="M193" s="4">
        <v>0.24236111111111111</v>
      </c>
      <c r="N193" s="4">
        <v>0.19513888888888889</v>
      </c>
      <c r="O193">
        <v>27</v>
      </c>
      <c r="P193">
        <v>30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 t="s">
        <v>39</v>
      </c>
      <c r="X193" t="s">
        <v>39</v>
      </c>
      <c r="Y193" s="3">
        <v>1.2513888888888889</v>
      </c>
      <c r="Z193" s="4">
        <v>0</v>
      </c>
      <c r="AA193">
        <v>0</v>
      </c>
      <c r="AB193" s="4">
        <v>0</v>
      </c>
      <c r="AC193" t="s">
        <v>40</v>
      </c>
      <c r="AD193" t="s">
        <v>230</v>
      </c>
      <c r="AE193">
        <v>1</v>
      </c>
      <c r="AF193">
        <v>0</v>
      </c>
      <c r="AG193" s="2">
        <v>2.0844907407407406E-2</v>
      </c>
      <c r="AH193" s="2">
        <v>2.0856481481481479E-2</v>
      </c>
      <c r="AI193">
        <v>12</v>
      </c>
      <c r="AJ193">
        <v>29</v>
      </c>
    </row>
    <row r="194" spans="1:36" x14ac:dyDescent="0.25">
      <c r="A194" t="s">
        <v>45</v>
      </c>
      <c r="B194" s="1">
        <v>43937.271504629629</v>
      </c>
      <c r="C194" t="s">
        <v>37</v>
      </c>
      <c r="D194" t="s">
        <v>231</v>
      </c>
      <c r="E194">
        <v>0</v>
      </c>
      <c r="F194">
        <v>267</v>
      </c>
      <c r="G194" s="2">
        <v>3.0439814814814819E-2</v>
      </c>
      <c r="H194">
        <v>117</v>
      </c>
      <c r="I194">
        <v>150</v>
      </c>
      <c r="J194" t="s">
        <v>39</v>
      </c>
      <c r="K194" t="s">
        <v>39</v>
      </c>
      <c r="L194" t="s">
        <v>39</v>
      </c>
      <c r="M194" t="s">
        <v>39</v>
      </c>
      <c r="N194" t="s">
        <v>39</v>
      </c>
      <c r="O194" t="s">
        <v>39</v>
      </c>
      <c r="P194" t="s">
        <v>39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 t="s">
        <v>39</v>
      </c>
      <c r="X194" t="s">
        <v>39</v>
      </c>
      <c r="Y194" s="3">
        <v>1.8263888888888891</v>
      </c>
      <c r="Z194" s="4">
        <v>0</v>
      </c>
      <c r="AA194">
        <v>0</v>
      </c>
      <c r="AB194" s="4">
        <v>0</v>
      </c>
      <c r="AC194" t="s">
        <v>40</v>
      </c>
      <c r="AD194" t="s">
        <v>230</v>
      </c>
      <c r="AE194">
        <v>1</v>
      </c>
      <c r="AF194">
        <v>0</v>
      </c>
      <c r="AG194" s="2">
        <v>0</v>
      </c>
      <c r="AH194" s="2">
        <v>3.0439814814814819E-2</v>
      </c>
      <c r="AI194" t="s">
        <v>39</v>
      </c>
      <c r="AJ194" t="s">
        <v>39</v>
      </c>
    </row>
    <row r="195" spans="1:36" x14ac:dyDescent="0.25">
      <c r="A195" t="s">
        <v>45</v>
      </c>
      <c r="B195" s="1">
        <v>43936.289710648147</v>
      </c>
      <c r="C195" t="s">
        <v>37</v>
      </c>
      <c r="D195" t="s">
        <v>49</v>
      </c>
      <c r="E195">
        <v>5.23</v>
      </c>
      <c r="F195">
        <v>456</v>
      </c>
      <c r="G195" s="2">
        <v>2.2291666666666668E-2</v>
      </c>
      <c r="H195">
        <v>172</v>
      </c>
      <c r="I195">
        <v>191</v>
      </c>
      <c r="J195" t="s">
        <v>39</v>
      </c>
      <c r="K195" t="s">
        <v>39</v>
      </c>
      <c r="L195" t="s">
        <v>39</v>
      </c>
      <c r="M195" s="4">
        <v>0.25555555555555559</v>
      </c>
      <c r="N195" s="4">
        <v>0.18333333333333335</v>
      </c>
      <c r="O195">
        <v>18</v>
      </c>
      <c r="P195">
        <v>33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 t="s">
        <v>39</v>
      </c>
      <c r="X195" t="s">
        <v>39</v>
      </c>
      <c r="Y195" s="3">
        <v>1.3375000000000001</v>
      </c>
      <c r="Z195" s="4">
        <v>0</v>
      </c>
      <c r="AA195">
        <v>0</v>
      </c>
      <c r="AB195" s="4">
        <v>0</v>
      </c>
      <c r="AC195" t="s">
        <v>40</v>
      </c>
      <c r="AD195" t="s">
        <v>69</v>
      </c>
      <c r="AE195">
        <v>12</v>
      </c>
      <c r="AF195">
        <v>0</v>
      </c>
      <c r="AG195" s="2">
        <v>2.0370370370370369E-2</v>
      </c>
      <c r="AH195" s="2">
        <v>2.2291666666666668E-2</v>
      </c>
      <c r="AI195">
        <v>12</v>
      </c>
      <c r="AJ195">
        <v>30</v>
      </c>
    </row>
    <row r="196" spans="1:36" x14ac:dyDescent="0.25">
      <c r="A196" t="s">
        <v>45</v>
      </c>
      <c r="B196" s="1">
        <v>43935.311724537038</v>
      </c>
      <c r="C196" t="s">
        <v>37</v>
      </c>
      <c r="D196" t="s">
        <v>244</v>
      </c>
      <c r="E196">
        <v>0</v>
      </c>
      <c r="F196">
        <v>403</v>
      </c>
      <c r="G196" s="2">
        <v>3.0358796296296297E-2</v>
      </c>
      <c r="H196">
        <v>138</v>
      </c>
      <c r="I196">
        <v>170</v>
      </c>
      <c r="J196" t="s">
        <v>39</v>
      </c>
      <c r="K196" t="s">
        <v>39</v>
      </c>
      <c r="L196" t="s">
        <v>39</v>
      </c>
      <c r="M196" t="s">
        <v>39</v>
      </c>
      <c r="N196" t="s">
        <v>39</v>
      </c>
      <c r="O196" t="s">
        <v>39</v>
      </c>
      <c r="P196" t="s">
        <v>39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 t="s">
        <v>39</v>
      </c>
      <c r="X196" t="s">
        <v>39</v>
      </c>
      <c r="Y196" s="3">
        <v>1.8215277777777779</v>
      </c>
      <c r="Z196" s="4">
        <v>0</v>
      </c>
      <c r="AA196">
        <v>0</v>
      </c>
      <c r="AB196" s="4">
        <v>0</v>
      </c>
      <c r="AC196" t="s">
        <v>40</v>
      </c>
      <c r="AD196" t="s">
        <v>230</v>
      </c>
      <c r="AE196">
        <v>1</v>
      </c>
      <c r="AF196">
        <v>0</v>
      </c>
      <c r="AG196" s="2">
        <v>0</v>
      </c>
      <c r="AH196" s="2">
        <v>3.0358796296296297E-2</v>
      </c>
      <c r="AI196" t="s">
        <v>39</v>
      </c>
      <c r="AJ196" t="s">
        <v>39</v>
      </c>
    </row>
    <row r="197" spans="1:36" x14ac:dyDescent="0.25">
      <c r="A197" t="s">
        <v>45</v>
      </c>
      <c r="B197" s="1">
        <v>43934.2815625</v>
      </c>
      <c r="C197" t="s">
        <v>37</v>
      </c>
      <c r="D197" t="s">
        <v>49</v>
      </c>
      <c r="E197">
        <v>5.32</v>
      </c>
      <c r="F197">
        <v>470</v>
      </c>
      <c r="G197" s="2">
        <v>2.0844907407407406E-2</v>
      </c>
      <c r="H197">
        <v>180</v>
      </c>
      <c r="I197">
        <v>194</v>
      </c>
      <c r="J197" t="s">
        <v>39</v>
      </c>
      <c r="K197" t="s">
        <v>39</v>
      </c>
      <c r="L197" t="s">
        <v>39</v>
      </c>
      <c r="M197" s="4">
        <v>0.23541666666666669</v>
      </c>
      <c r="N197" s="4">
        <v>0.21736111111111112</v>
      </c>
      <c r="O197">
        <v>42</v>
      </c>
      <c r="P197">
        <v>48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 t="s">
        <v>39</v>
      </c>
      <c r="X197" t="s">
        <v>39</v>
      </c>
      <c r="Y197" s="3">
        <v>1.2506944444444443</v>
      </c>
      <c r="Z197" s="4">
        <v>0</v>
      </c>
      <c r="AA197">
        <v>0</v>
      </c>
      <c r="AB197" s="4">
        <v>0</v>
      </c>
      <c r="AC197" t="s">
        <v>40</v>
      </c>
      <c r="AD197" t="s">
        <v>230</v>
      </c>
      <c r="AE197">
        <v>1</v>
      </c>
      <c r="AF197">
        <v>0</v>
      </c>
      <c r="AG197" s="2">
        <v>2.0844907407407406E-2</v>
      </c>
      <c r="AH197" s="2">
        <v>2.0844907407407406E-2</v>
      </c>
      <c r="AI197">
        <v>12</v>
      </c>
      <c r="AJ197">
        <v>38</v>
      </c>
    </row>
    <row r="198" spans="1:36" x14ac:dyDescent="0.25">
      <c r="A198" t="s">
        <v>45</v>
      </c>
      <c r="B198" s="1">
        <v>43932.353043981479</v>
      </c>
      <c r="C198" t="s">
        <v>37</v>
      </c>
      <c r="D198" t="s">
        <v>49</v>
      </c>
      <c r="E198">
        <v>5.23</v>
      </c>
      <c r="F198">
        <v>465</v>
      </c>
      <c r="G198" s="2">
        <v>2.0844907407407406E-2</v>
      </c>
      <c r="H198">
        <v>179</v>
      </c>
      <c r="I198">
        <v>192</v>
      </c>
      <c r="J198" t="s">
        <v>39</v>
      </c>
      <c r="K198" t="s">
        <v>39</v>
      </c>
      <c r="L198" t="s">
        <v>39</v>
      </c>
      <c r="M198" s="4">
        <v>0.2388888888888889</v>
      </c>
      <c r="N198" s="4">
        <v>4.4444444444444446E-2</v>
      </c>
      <c r="O198">
        <v>45</v>
      </c>
      <c r="P198">
        <v>50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 t="s">
        <v>39</v>
      </c>
      <c r="X198" t="s">
        <v>39</v>
      </c>
      <c r="Y198" s="3">
        <v>1.2506944444444443</v>
      </c>
      <c r="Z198" s="4">
        <v>0</v>
      </c>
      <c r="AA198">
        <v>0</v>
      </c>
      <c r="AB198" s="4">
        <v>0</v>
      </c>
      <c r="AC198" t="s">
        <v>40</v>
      </c>
      <c r="AD198" t="s">
        <v>230</v>
      </c>
      <c r="AE198">
        <v>1</v>
      </c>
      <c r="AF198">
        <v>0</v>
      </c>
      <c r="AG198" s="2">
        <v>2.0844907407407406E-2</v>
      </c>
      <c r="AH198" s="2">
        <v>2.0844907407407406E-2</v>
      </c>
      <c r="AI198">
        <v>22</v>
      </c>
      <c r="AJ198">
        <v>45</v>
      </c>
    </row>
    <row r="199" spans="1:36" x14ac:dyDescent="0.25">
      <c r="A199" t="s">
        <v>45</v>
      </c>
      <c r="B199" s="1">
        <v>43929.324004629627</v>
      </c>
      <c r="C199" t="s">
        <v>37</v>
      </c>
      <c r="D199" t="s">
        <v>49</v>
      </c>
      <c r="E199">
        <v>5.19</v>
      </c>
      <c r="F199">
        <v>346</v>
      </c>
      <c r="G199" s="2">
        <v>2.8321759259259258E-2</v>
      </c>
      <c r="H199" t="s">
        <v>39</v>
      </c>
      <c r="I199" t="s">
        <v>39</v>
      </c>
      <c r="J199" t="s">
        <v>39</v>
      </c>
      <c r="K199" t="s">
        <v>39</v>
      </c>
      <c r="L199" t="s">
        <v>39</v>
      </c>
      <c r="M199" s="4">
        <v>0.32777777777777778</v>
      </c>
      <c r="N199" s="4">
        <v>4.3750000000000004E-2</v>
      </c>
      <c r="O199">
        <v>21</v>
      </c>
      <c r="P199">
        <v>20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 t="s">
        <v>39</v>
      </c>
      <c r="X199" t="s">
        <v>39</v>
      </c>
      <c r="Y199" s="3">
        <v>1.6993055555555554</v>
      </c>
      <c r="Z199" s="4">
        <v>0</v>
      </c>
      <c r="AA199">
        <v>0</v>
      </c>
      <c r="AB199" s="4">
        <v>0</v>
      </c>
      <c r="AC199" t="s">
        <v>40</v>
      </c>
      <c r="AD199" t="s">
        <v>245</v>
      </c>
      <c r="AE199">
        <v>14</v>
      </c>
      <c r="AF199">
        <v>0</v>
      </c>
      <c r="AG199" s="2">
        <v>2.8310185185185185E-2</v>
      </c>
      <c r="AH199" s="2">
        <v>2.8321759259259258E-2</v>
      </c>
      <c r="AI199">
        <v>18</v>
      </c>
      <c r="AJ199">
        <v>26</v>
      </c>
    </row>
    <row r="200" spans="1:36" x14ac:dyDescent="0.25">
      <c r="A200" t="s">
        <v>45</v>
      </c>
      <c r="B200" s="1">
        <v>43927.353113425925</v>
      </c>
      <c r="C200" t="s">
        <v>37</v>
      </c>
      <c r="D200" t="s">
        <v>49</v>
      </c>
      <c r="E200">
        <v>3.57</v>
      </c>
      <c r="F200">
        <v>312</v>
      </c>
      <c r="G200" s="2">
        <v>2.3298611111111107E-2</v>
      </c>
      <c r="H200">
        <v>139</v>
      </c>
      <c r="I200">
        <v>178</v>
      </c>
      <c r="J200" t="s">
        <v>39</v>
      </c>
      <c r="K200" t="s">
        <v>39</v>
      </c>
      <c r="L200" t="s">
        <v>39</v>
      </c>
      <c r="M200" s="4">
        <v>0.39166666666666666</v>
      </c>
      <c r="N200" s="4">
        <v>2.4305555555555556E-2</v>
      </c>
      <c r="O200">
        <v>16</v>
      </c>
      <c r="P200">
        <v>16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 t="s">
        <v>39</v>
      </c>
      <c r="X200" t="s">
        <v>39</v>
      </c>
      <c r="Y200" s="3">
        <v>1.3979166666666665</v>
      </c>
      <c r="Z200" s="4">
        <v>0</v>
      </c>
      <c r="AA200">
        <v>0</v>
      </c>
      <c r="AB200" s="4">
        <v>0</v>
      </c>
      <c r="AC200" t="s">
        <v>40</v>
      </c>
      <c r="AD200" t="s">
        <v>246</v>
      </c>
      <c r="AE200">
        <v>8</v>
      </c>
      <c r="AF200">
        <v>0</v>
      </c>
      <c r="AG200" s="2">
        <v>2.2372685185185186E-2</v>
      </c>
      <c r="AH200" s="2">
        <v>2.3298611111111107E-2</v>
      </c>
      <c r="AI200">
        <v>18</v>
      </c>
      <c r="AJ200">
        <v>25</v>
      </c>
    </row>
    <row r="201" spans="1:36" x14ac:dyDescent="0.25">
      <c r="A201" t="s">
        <v>45</v>
      </c>
      <c r="B201" s="1">
        <v>43904.288055555553</v>
      </c>
      <c r="C201" t="s">
        <v>37</v>
      </c>
      <c r="D201" t="s">
        <v>49</v>
      </c>
      <c r="E201">
        <v>10.01</v>
      </c>
      <c r="F201">
        <v>711</v>
      </c>
      <c r="G201" s="2">
        <v>4.5567129629629631E-2</v>
      </c>
      <c r="H201" t="s">
        <v>39</v>
      </c>
      <c r="I201" t="s">
        <v>39</v>
      </c>
      <c r="J201" t="s">
        <v>39</v>
      </c>
      <c r="K201" t="s">
        <v>39</v>
      </c>
      <c r="L201" t="s">
        <v>39</v>
      </c>
      <c r="M201" s="4">
        <v>0.27291666666666664</v>
      </c>
      <c r="N201" s="4">
        <v>7.2222222222222229E-2</v>
      </c>
      <c r="O201">
        <v>133</v>
      </c>
      <c r="P201">
        <v>134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 t="s">
        <v>39</v>
      </c>
      <c r="X201" t="s">
        <v>39</v>
      </c>
      <c r="Y201" s="2">
        <v>4.5567129629629631E-2</v>
      </c>
      <c r="Z201" s="4">
        <v>0</v>
      </c>
      <c r="AA201">
        <v>0</v>
      </c>
      <c r="AB201" s="4">
        <v>0</v>
      </c>
      <c r="AC201" t="s">
        <v>40</v>
      </c>
      <c r="AD201" t="s">
        <v>230</v>
      </c>
      <c r="AE201">
        <v>1</v>
      </c>
      <c r="AF201">
        <v>0</v>
      </c>
      <c r="AG201" s="2">
        <v>4.5567129629629631E-2</v>
      </c>
      <c r="AH201" s="2">
        <v>4.5567129629629631E-2</v>
      </c>
      <c r="AI201">
        <v>21</v>
      </c>
      <c r="AJ201">
        <v>60</v>
      </c>
    </row>
    <row r="202" spans="1:36" x14ac:dyDescent="0.25">
      <c r="A202" t="s">
        <v>45</v>
      </c>
      <c r="B202" s="1">
        <v>43899.795393518521</v>
      </c>
      <c r="C202" t="s">
        <v>37</v>
      </c>
      <c r="D202" t="s">
        <v>49</v>
      </c>
      <c r="E202">
        <v>6.17</v>
      </c>
      <c r="F202">
        <v>449</v>
      </c>
      <c r="G202" s="2">
        <v>2.4652777777777777E-2</v>
      </c>
      <c r="H202" t="s">
        <v>39</v>
      </c>
      <c r="I202" t="s">
        <v>39</v>
      </c>
      <c r="J202" t="s">
        <v>39</v>
      </c>
      <c r="K202" t="s">
        <v>39</v>
      </c>
      <c r="L202" t="s">
        <v>39</v>
      </c>
      <c r="M202" s="4">
        <v>0.23958333333333334</v>
      </c>
      <c r="N202" s="4">
        <v>0.22152777777777777</v>
      </c>
      <c r="O202">
        <v>13</v>
      </c>
      <c r="P202">
        <v>15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 t="s">
        <v>39</v>
      </c>
      <c r="X202" t="s">
        <v>39</v>
      </c>
      <c r="Y202" s="3">
        <v>1.4791666666666667</v>
      </c>
      <c r="Z202" s="4">
        <v>0</v>
      </c>
      <c r="AA202">
        <v>0</v>
      </c>
      <c r="AB202" s="4">
        <v>0</v>
      </c>
      <c r="AC202" t="s">
        <v>40</v>
      </c>
      <c r="AD202" t="s">
        <v>247</v>
      </c>
      <c r="AE202">
        <v>6</v>
      </c>
      <c r="AF202">
        <v>0</v>
      </c>
      <c r="AG202" s="2">
        <v>2.4641203703703703E-2</v>
      </c>
      <c r="AH202" s="2">
        <v>2.4652777777777777E-2</v>
      </c>
      <c r="AI202">
        <v>13</v>
      </c>
      <c r="AJ202">
        <v>21</v>
      </c>
    </row>
    <row r="203" spans="1:36" x14ac:dyDescent="0.25">
      <c r="A203" t="s">
        <v>45</v>
      </c>
      <c r="B203" s="1">
        <v>43894.798530092594</v>
      </c>
      <c r="C203" t="s">
        <v>37</v>
      </c>
      <c r="D203" t="s">
        <v>49</v>
      </c>
      <c r="E203">
        <v>3.3</v>
      </c>
      <c r="F203">
        <v>193</v>
      </c>
      <c r="G203" s="2">
        <v>2.1608796296296296E-2</v>
      </c>
      <c r="H203" t="s">
        <v>39</v>
      </c>
      <c r="I203" t="s">
        <v>39</v>
      </c>
      <c r="J203" t="s">
        <v>39</v>
      </c>
      <c r="K203" t="s">
        <v>39</v>
      </c>
      <c r="L203" t="s">
        <v>39</v>
      </c>
      <c r="M203" s="4">
        <v>0.39374999999999999</v>
      </c>
      <c r="N203" s="4">
        <v>0.26111111111111113</v>
      </c>
      <c r="O203">
        <v>7</v>
      </c>
      <c r="P203">
        <v>10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 t="s">
        <v>39</v>
      </c>
      <c r="X203" t="s">
        <v>39</v>
      </c>
      <c r="Y203" s="3">
        <v>1.2965277777777777</v>
      </c>
      <c r="Z203" s="4">
        <v>0</v>
      </c>
      <c r="AA203">
        <v>0</v>
      </c>
      <c r="AB203" s="4">
        <v>0</v>
      </c>
      <c r="AC203" t="s">
        <v>40</v>
      </c>
      <c r="AD203" t="s">
        <v>230</v>
      </c>
      <c r="AE203">
        <v>1</v>
      </c>
      <c r="AF203">
        <v>0</v>
      </c>
      <c r="AG203" s="2">
        <v>2.1597222222222223E-2</v>
      </c>
      <c r="AH203" s="2">
        <v>2.3113425925925926E-2</v>
      </c>
      <c r="AI203">
        <v>13</v>
      </c>
      <c r="AJ203">
        <v>20</v>
      </c>
    </row>
    <row r="204" spans="1:36" x14ac:dyDescent="0.25">
      <c r="A204" t="s">
        <v>45</v>
      </c>
      <c r="B204" s="1">
        <v>43892.797337962962</v>
      </c>
      <c r="C204" t="s">
        <v>37</v>
      </c>
      <c r="D204" t="s">
        <v>49</v>
      </c>
      <c r="E204">
        <v>4.5</v>
      </c>
      <c r="F204">
        <v>333</v>
      </c>
      <c r="G204" s="2">
        <v>1.9178240740740742E-2</v>
      </c>
      <c r="H204" t="s">
        <v>39</v>
      </c>
      <c r="I204" t="s">
        <v>39</v>
      </c>
      <c r="J204" t="s">
        <v>39</v>
      </c>
      <c r="K204" t="s">
        <v>39</v>
      </c>
      <c r="L204" t="s">
        <v>39</v>
      </c>
      <c r="M204" s="4">
        <v>0.25555555555555559</v>
      </c>
      <c r="N204" s="4">
        <v>0.13194444444444445</v>
      </c>
      <c r="O204">
        <v>17</v>
      </c>
      <c r="P204">
        <v>14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 t="s">
        <v>39</v>
      </c>
      <c r="X204" t="s">
        <v>39</v>
      </c>
      <c r="Y204" s="3">
        <v>1.1506944444444445</v>
      </c>
      <c r="Z204" s="4">
        <v>0</v>
      </c>
      <c r="AA204">
        <v>0</v>
      </c>
      <c r="AB204" s="4">
        <v>0</v>
      </c>
      <c r="AC204" t="s">
        <v>40</v>
      </c>
      <c r="AD204" t="s">
        <v>248</v>
      </c>
      <c r="AE204">
        <v>18</v>
      </c>
      <c r="AF204">
        <v>0</v>
      </c>
      <c r="AG204" s="2">
        <v>1.7523148148148149E-2</v>
      </c>
      <c r="AH204" s="2">
        <v>2.7824074074074074E-2</v>
      </c>
      <c r="AI204">
        <v>17</v>
      </c>
      <c r="AJ204">
        <v>26</v>
      </c>
    </row>
    <row r="205" spans="1:36" x14ac:dyDescent="0.25">
      <c r="A205" t="s">
        <v>45</v>
      </c>
      <c r="B205" s="1">
        <v>43890.283553240741</v>
      </c>
      <c r="C205" t="s">
        <v>37</v>
      </c>
      <c r="D205" t="s">
        <v>49</v>
      </c>
      <c r="E205">
        <v>10</v>
      </c>
      <c r="F205">
        <v>733</v>
      </c>
      <c r="G205" s="2">
        <v>4.2175925925925922E-2</v>
      </c>
      <c r="H205" t="s">
        <v>39</v>
      </c>
      <c r="I205" t="s">
        <v>39</v>
      </c>
      <c r="J205" t="s">
        <v>39</v>
      </c>
      <c r="K205" t="s">
        <v>39</v>
      </c>
      <c r="L205" t="s">
        <v>39</v>
      </c>
      <c r="M205" s="4">
        <v>0.25277777777777777</v>
      </c>
      <c r="N205" s="4">
        <v>9.8611111111111108E-2</v>
      </c>
      <c r="O205">
        <v>142</v>
      </c>
      <c r="P205">
        <v>145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 t="s">
        <v>39</v>
      </c>
      <c r="X205" t="s">
        <v>39</v>
      </c>
      <c r="Y205" s="2">
        <v>4.2175925925925922E-2</v>
      </c>
      <c r="Z205" s="4">
        <v>0</v>
      </c>
      <c r="AA205">
        <v>0</v>
      </c>
      <c r="AB205" s="4">
        <v>0</v>
      </c>
      <c r="AC205" t="s">
        <v>40</v>
      </c>
      <c r="AD205" t="s">
        <v>230</v>
      </c>
      <c r="AE205">
        <v>1</v>
      </c>
      <c r="AF205">
        <v>0</v>
      </c>
      <c r="AG205" s="2">
        <v>4.2175925925925922E-2</v>
      </c>
      <c r="AH205" s="2">
        <v>4.2175925925925922E-2</v>
      </c>
      <c r="AI205">
        <v>22</v>
      </c>
      <c r="AJ205">
        <v>60</v>
      </c>
    </row>
    <row r="206" spans="1:36" x14ac:dyDescent="0.25">
      <c r="A206" t="s">
        <v>45</v>
      </c>
      <c r="B206" s="1">
        <v>43887.801261574074</v>
      </c>
      <c r="C206" t="s">
        <v>37</v>
      </c>
      <c r="D206" t="s">
        <v>49</v>
      </c>
      <c r="E206">
        <v>3.47</v>
      </c>
      <c r="F206">
        <v>192</v>
      </c>
      <c r="G206" s="2">
        <v>2.4710648148148148E-2</v>
      </c>
      <c r="H206" t="s">
        <v>39</v>
      </c>
      <c r="I206" t="s">
        <v>39</v>
      </c>
      <c r="J206" t="s">
        <v>39</v>
      </c>
      <c r="K206" t="s">
        <v>39</v>
      </c>
      <c r="L206" t="s">
        <v>39</v>
      </c>
      <c r="M206" s="4">
        <v>0.42777777777777781</v>
      </c>
      <c r="N206" s="4">
        <v>0.26805555555555555</v>
      </c>
      <c r="O206">
        <v>61</v>
      </c>
      <c r="P206">
        <v>61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 t="s">
        <v>39</v>
      </c>
      <c r="X206" t="s">
        <v>39</v>
      </c>
      <c r="Y206" s="3">
        <v>1.4826388888888891</v>
      </c>
      <c r="Z206" s="4">
        <v>0</v>
      </c>
      <c r="AA206">
        <v>0</v>
      </c>
      <c r="AB206" s="4">
        <v>0</v>
      </c>
      <c r="AC206" t="s">
        <v>40</v>
      </c>
      <c r="AD206" t="s">
        <v>249</v>
      </c>
      <c r="AE206">
        <v>7</v>
      </c>
      <c r="AF206">
        <v>0</v>
      </c>
      <c r="AG206" s="2">
        <v>2.34375E-2</v>
      </c>
      <c r="AH206" s="2">
        <v>2.4710648148148148E-2</v>
      </c>
      <c r="AI206">
        <v>17</v>
      </c>
      <c r="AJ206">
        <v>28</v>
      </c>
    </row>
    <row r="207" spans="1:36" x14ac:dyDescent="0.25">
      <c r="A207" t="s">
        <v>45</v>
      </c>
      <c r="B207" s="1">
        <v>43885.799872685187</v>
      </c>
      <c r="C207" t="s">
        <v>37</v>
      </c>
      <c r="D207" t="s">
        <v>49</v>
      </c>
      <c r="E207">
        <v>1.53</v>
      </c>
      <c r="F207">
        <v>80</v>
      </c>
      <c r="G207" s="2">
        <v>1.2916666666666667E-2</v>
      </c>
      <c r="H207" t="s">
        <v>39</v>
      </c>
      <c r="I207" t="s">
        <v>39</v>
      </c>
      <c r="J207" t="s">
        <v>39</v>
      </c>
      <c r="K207" t="s">
        <v>39</v>
      </c>
      <c r="L207" t="s">
        <v>39</v>
      </c>
      <c r="M207" s="4">
        <v>0.50624999999999998</v>
      </c>
      <c r="N207" s="4">
        <v>0.36944444444444446</v>
      </c>
      <c r="O207">
        <v>13</v>
      </c>
      <c r="P207" t="s">
        <v>39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 t="s">
        <v>39</v>
      </c>
      <c r="X207" t="s">
        <v>39</v>
      </c>
      <c r="Y207" s="4">
        <v>0.77500000000000002</v>
      </c>
      <c r="Z207" s="4">
        <v>0</v>
      </c>
      <c r="AA207">
        <v>0</v>
      </c>
      <c r="AB207" s="4">
        <v>0</v>
      </c>
      <c r="AC207" t="s">
        <v>40</v>
      </c>
      <c r="AD207" t="s">
        <v>230</v>
      </c>
      <c r="AE207">
        <v>1</v>
      </c>
      <c r="AF207">
        <v>0</v>
      </c>
      <c r="AG207" s="2">
        <v>1.2916666666666667E-2</v>
      </c>
      <c r="AH207" s="2">
        <v>1.2916666666666667E-2</v>
      </c>
      <c r="AI207">
        <v>14</v>
      </c>
      <c r="AJ207">
        <v>29</v>
      </c>
    </row>
    <row r="208" spans="1:36" x14ac:dyDescent="0.25">
      <c r="A208" t="s">
        <v>45</v>
      </c>
      <c r="B208" s="1">
        <v>43885.785740740743</v>
      </c>
      <c r="C208" t="s">
        <v>37</v>
      </c>
      <c r="D208" t="s">
        <v>49</v>
      </c>
      <c r="E208">
        <v>3.06</v>
      </c>
      <c r="F208">
        <v>192</v>
      </c>
      <c r="G208" s="2">
        <v>1.3958333333333335E-2</v>
      </c>
      <c r="H208" t="s">
        <v>39</v>
      </c>
      <c r="I208" t="s">
        <v>39</v>
      </c>
      <c r="J208" t="s">
        <v>39</v>
      </c>
      <c r="K208" t="s">
        <v>39</v>
      </c>
      <c r="L208" t="s">
        <v>39</v>
      </c>
      <c r="M208" s="4">
        <v>0.27361111111111108</v>
      </c>
      <c r="N208" s="4">
        <v>0.16874999999999998</v>
      </c>
      <c r="O208">
        <v>6</v>
      </c>
      <c r="P208">
        <v>6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 t="s">
        <v>39</v>
      </c>
      <c r="X208" t="s">
        <v>39</v>
      </c>
      <c r="Y208" s="4">
        <v>0.83750000000000002</v>
      </c>
      <c r="Z208" s="4">
        <v>0</v>
      </c>
      <c r="AA208">
        <v>0</v>
      </c>
      <c r="AB208" s="4">
        <v>0</v>
      </c>
      <c r="AC208" t="s">
        <v>40</v>
      </c>
      <c r="AD208" t="s">
        <v>250</v>
      </c>
      <c r="AE208">
        <v>20</v>
      </c>
      <c r="AF208">
        <v>0</v>
      </c>
      <c r="AG208" s="2">
        <v>1.3900462962962962E-2</v>
      </c>
      <c r="AH208" s="2">
        <v>1.3958333333333335E-2</v>
      </c>
      <c r="AI208">
        <v>14</v>
      </c>
      <c r="AJ208">
        <v>18</v>
      </c>
    </row>
    <row r="209" spans="1:36" x14ac:dyDescent="0.25">
      <c r="A209" t="s">
        <v>45</v>
      </c>
      <c r="B209" s="1">
        <v>43885.774467592593</v>
      </c>
      <c r="C209" t="s">
        <v>37</v>
      </c>
      <c r="D209" t="s">
        <v>49</v>
      </c>
      <c r="E209">
        <v>2</v>
      </c>
      <c r="F209">
        <v>149</v>
      </c>
      <c r="G209" s="2">
        <v>8.1249999999999985E-3</v>
      </c>
      <c r="H209" t="s">
        <v>39</v>
      </c>
      <c r="I209" t="s">
        <v>39</v>
      </c>
      <c r="J209" t="s">
        <v>39</v>
      </c>
      <c r="K209" t="s">
        <v>39</v>
      </c>
      <c r="L209" t="s">
        <v>39</v>
      </c>
      <c r="M209" s="4">
        <v>0.24374999999999999</v>
      </c>
      <c r="N209" s="4">
        <v>0.16805555555555554</v>
      </c>
      <c r="O209">
        <v>3</v>
      </c>
      <c r="P209">
        <v>18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 t="s">
        <v>39</v>
      </c>
      <c r="X209" t="s">
        <v>39</v>
      </c>
      <c r="Y209" s="4">
        <v>0.48749999999999999</v>
      </c>
      <c r="Z209" s="4">
        <v>0</v>
      </c>
      <c r="AA209">
        <v>0</v>
      </c>
      <c r="AB209" s="4">
        <v>0</v>
      </c>
      <c r="AC209" t="s">
        <v>40</v>
      </c>
      <c r="AD209" t="s">
        <v>230</v>
      </c>
      <c r="AE209">
        <v>1</v>
      </c>
      <c r="AF209">
        <v>0</v>
      </c>
      <c r="AG209" s="2">
        <v>8.1249999999999985E-3</v>
      </c>
      <c r="AH209" s="2">
        <v>8.1249999999999985E-3</v>
      </c>
      <c r="AI209">
        <v>12</v>
      </c>
      <c r="AJ209">
        <v>28</v>
      </c>
    </row>
    <row r="210" spans="1:36" x14ac:dyDescent="0.25">
      <c r="A210" t="s">
        <v>45</v>
      </c>
      <c r="B210" s="1">
        <v>43882.547430555554</v>
      </c>
      <c r="C210" t="s">
        <v>37</v>
      </c>
      <c r="D210" t="s">
        <v>45</v>
      </c>
      <c r="E210">
        <v>0</v>
      </c>
      <c r="F210" t="s">
        <v>39</v>
      </c>
      <c r="G210" s="6">
        <v>8.5648148148148158E-5</v>
      </c>
      <c r="H210" t="s">
        <v>39</v>
      </c>
      <c r="I210" t="s">
        <v>39</v>
      </c>
      <c r="J210" t="s">
        <v>39</v>
      </c>
      <c r="K210" t="s">
        <v>39</v>
      </c>
      <c r="L210" t="s">
        <v>39</v>
      </c>
      <c r="M210" t="s">
        <v>39</v>
      </c>
      <c r="N210" t="s">
        <v>39</v>
      </c>
      <c r="O210" t="s">
        <v>39</v>
      </c>
      <c r="P210" t="s">
        <v>39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 t="s">
        <v>39</v>
      </c>
      <c r="X210" t="s">
        <v>39</v>
      </c>
      <c r="Y210" s="6">
        <v>8.5648148148148158E-5</v>
      </c>
      <c r="Z210" s="4">
        <v>0</v>
      </c>
      <c r="AA210">
        <v>0</v>
      </c>
      <c r="AB210" s="4">
        <v>0</v>
      </c>
      <c r="AC210" t="s">
        <v>40</v>
      </c>
      <c r="AD210" t="s">
        <v>230</v>
      </c>
      <c r="AE210">
        <v>1</v>
      </c>
      <c r="AF210">
        <v>0</v>
      </c>
      <c r="AG210" s="2">
        <v>0</v>
      </c>
      <c r="AH210" s="6">
        <v>8.5648148148148158E-5</v>
      </c>
      <c r="AI210" t="s">
        <v>39</v>
      </c>
      <c r="AJ210" t="s">
        <v>39</v>
      </c>
    </row>
    <row r="211" spans="1:36" x14ac:dyDescent="0.25">
      <c r="A211" t="s">
        <v>45</v>
      </c>
      <c r="B211" s="1">
        <v>43880.797256944446</v>
      </c>
      <c r="C211" t="s">
        <v>37</v>
      </c>
      <c r="D211" t="s">
        <v>49</v>
      </c>
      <c r="E211">
        <v>5.37</v>
      </c>
      <c r="F211">
        <v>362</v>
      </c>
      <c r="G211" s="2">
        <v>3.3310185185185186E-2</v>
      </c>
      <c r="H211" t="s">
        <v>39</v>
      </c>
      <c r="I211" t="s">
        <v>39</v>
      </c>
      <c r="J211" t="s">
        <v>39</v>
      </c>
      <c r="K211" t="s">
        <v>39</v>
      </c>
      <c r="L211" t="s">
        <v>39</v>
      </c>
      <c r="M211" s="4">
        <v>0.37222222222222223</v>
      </c>
      <c r="N211" s="4">
        <v>0.16527777777777777</v>
      </c>
      <c r="O211">
        <v>148</v>
      </c>
      <c r="P211">
        <v>138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 t="s">
        <v>39</v>
      </c>
      <c r="X211" t="s">
        <v>39</v>
      </c>
      <c r="Y211" s="3">
        <v>1.9986111111111111</v>
      </c>
      <c r="Z211" s="4">
        <v>0</v>
      </c>
      <c r="AA211">
        <v>0</v>
      </c>
      <c r="AB211" s="4">
        <v>0</v>
      </c>
      <c r="AC211" t="s">
        <v>40</v>
      </c>
      <c r="AD211" t="s">
        <v>251</v>
      </c>
      <c r="AE211">
        <v>24</v>
      </c>
      <c r="AF211">
        <v>0</v>
      </c>
      <c r="AG211" s="2">
        <v>3.3263888888888891E-2</v>
      </c>
      <c r="AH211" s="2">
        <v>3.3310185185185186E-2</v>
      </c>
      <c r="AI211">
        <v>13</v>
      </c>
      <c r="AJ211">
        <v>61</v>
      </c>
    </row>
    <row r="212" spans="1:36" x14ac:dyDescent="0.25">
      <c r="A212" t="s">
        <v>45</v>
      </c>
      <c r="B212" s="1">
        <v>43876.290972222225</v>
      </c>
      <c r="C212" t="s">
        <v>37</v>
      </c>
      <c r="D212" t="s">
        <v>49</v>
      </c>
      <c r="E212">
        <v>10</v>
      </c>
      <c r="F212">
        <v>726</v>
      </c>
      <c r="G212" s="2">
        <v>4.3391203703703703E-2</v>
      </c>
      <c r="H212" t="s">
        <v>39</v>
      </c>
      <c r="I212" t="s">
        <v>39</v>
      </c>
      <c r="J212" t="s">
        <v>39</v>
      </c>
      <c r="K212" t="s">
        <v>39</v>
      </c>
      <c r="L212" t="s">
        <v>39</v>
      </c>
      <c r="M212" s="4">
        <v>0.26041666666666669</v>
      </c>
      <c r="N212" s="4">
        <v>8.819444444444445E-2</v>
      </c>
      <c r="O212">
        <v>125</v>
      </c>
      <c r="P212">
        <v>129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 t="s">
        <v>39</v>
      </c>
      <c r="X212" t="s">
        <v>39</v>
      </c>
      <c r="Y212" s="2">
        <v>4.3391203703703703E-2</v>
      </c>
      <c r="Z212" s="4">
        <v>0</v>
      </c>
      <c r="AA212">
        <v>0</v>
      </c>
      <c r="AB212" s="4">
        <v>0</v>
      </c>
      <c r="AC212" t="s">
        <v>40</v>
      </c>
      <c r="AD212" t="s">
        <v>230</v>
      </c>
      <c r="AE212">
        <v>1</v>
      </c>
      <c r="AF212">
        <v>0</v>
      </c>
      <c r="AG212" s="2">
        <v>4.3391203703703703E-2</v>
      </c>
      <c r="AH212" s="2">
        <v>4.3391203703703703E-2</v>
      </c>
      <c r="AI212">
        <v>22</v>
      </c>
      <c r="AJ212">
        <v>59</v>
      </c>
    </row>
    <row r="213" spans="1:36" x14ac:dyDescent="0.25">
      <c r="A213" t="s">
        <v>45</v>
      </c>
      <c r="B213" s="1">
        <v>43873.803043981483</v>
      </c>
      <c r="C213" t="s">
        <v>37</v>
      </c>
      <c r="D213" t="s">
        <v>49</v>
      </c>
      <c r="E213">
        <v>4.17</v>
      </c>
      <c r="F213">
        <v>293</v>
      </c>
      <c r="G213" s="2">
        <v>2.3020833333333334E-2</v>
      </c>
      <c r="H213" t="s">
        <v>39</v>
      </c>
      <c r="I213" t="s">
        <v>39</v>
      </c>
      <c r="J213" t="s">
        <v>39</v>
      </c>
      <c r="K213" t="s">
        <v>39</v>
      </c>
      <c r="L213" t="s">
        <v>39</v>
      </c>
      <c r="M213" s="4">
        <v>0.33124999999999999</v>
      </c>
      <c r="N213" s="4">
        <v>0.18611111111111112</v>
      </c>
      <c r="O213">
        <v>138</v>
      </c>
      <c r="P213">
        <v>145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 t="s">
        <v>39</v>
      </c>
      <c r="X213" t="s">
        <v>39</v>
      </c>
      <c r="Y213" s="3">
        <v>1.3812499999999999</v>
      </c>
      <c r="Z213" s="4">
        <v>0</v>
      </c>
      <c r="AA213">
        <v>0</v>
      </c>
      <c r="AB213" s="4">
        <v>0</v>
      </c>
      <c r="AC213" t="s">
        <v>40</v>
      </c>
      <c r="AD213" t="s">
        <v>252</v>
      </c>
      <c r="AE213">
        <v>15</v>
      </c>
      <c r="AF213">
        <v>0</v>
      </c>
      <c r="AG213" s="2">
        <v>2.1712962962962962E-2</v>
      </c>
      <c r="AH213" s="2">
        <v>2.3344907407407408E-2</v>
      </c>
      <c r="AI213">
        <v>19</v>
      </c>
      <c r="AJ213">
        <v>63</v>
      </c>
    </row>
    <row r="214" spans="1:36" x14ac:dyDescent="0.25">
      <c r="A214" t="s">
        <v>45</v>
      </c>
      <c r="B214" s="1">
        <v>43871.798611111109</v>
      </c>
      <c r="C214" t="s">
        <v>37</v>
      </c>
      <c r="D214" t="s">
        <v>49</v>
      </c>
      <c r="E214">
        <v>6.22</v>
      </c>
      <c r="F214">
        <v>449</v>
      </c>
      <c r="G214" s="2">
        <v>3.079861111111111E-2</v>
      </c>
      <c r="H214" t="s">
        <v>39</v>
      </c>
      <c r="I214" t="s">
        <v>39</v>
      </c>
      <c r="J214" t="s">
        <v>39</v>
      </c>
      <c r="K214" t="s">
        <v>39</v>
      </c>
      <c r="L214" t="s">
        <v>39</v>
      </c>
      <c r="M214" s="4">
        <v>0.29722222222222222</v>
      </c>
      <c r="N214" s="4">
        <v>0.14722222222222223</v>
      </c>
      <c r="O214">
        <v>6</v>
      </c>
      <c r="P214">
        <v>7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 t="s">
        <v>39</v>
      </c>
      <c r="X214" t="s">
        <v>39</v>
      </c>
      <c r="Y214" s="3">
        <v>1.8479166666666667</v>
      </c>
      <c r="Z214" s="4">
        <v>0</v>
      </c>
      <c r="AA214">
        <v>0</v>
      </c>
      <c r="AB214" s="4">
        <v>0</v>
      </c>
      <c r="AC214" t="s">
        <v>40</v>
      </c>
      <c r="AD214" t="s">
        <v>253</v>
      </c>
      <c r="AE214">
        <v>19</v>
      </c>
      <c r="AF214">
        <v>0</v>
      </c>
      <c r="AG214" s="2">
        <v>3.0763888888888886E-2</v>
      </c>
      <c r="AH214" s="2">
        <v>3.079861111111111E-2</v>
      </c>
      <c r="AI214">
        <v>13</v>
      </c>
      <c r="AJ214">
        <v>20</v>
      </c>
    </row>
    <row r="215" spans="1:36" x14ac:dyDescent="0.25">
      <c r="A215" t="s">
        <v>45</v>
      </c>
      <c r="B215" s="1">
        <v>43870.324178240742</v>
      </c>
      <c r="C215" t="s">
        <v>37</v>
      </c>
      <c r="D215" t="s">
        <v>49</v>
      </c>
      <c r="E215">
        <v>7.36</v>
      </c>
      <c r="F215">
        <v>516</v>
      </c>
      <c r="G215" s="2">
        <v>3.515046296296296E-2</v>
      </c>
      <c r="H215" t="s">
        <v>39</v>
      </c>
      <c r="I215" t="s">
        <v>39</v>
      </c>
      <c r="J215" t="s">
        <v>39</v>
      </c>
      <c r="K215" t="s">
        <v>39</v>
      </c>
      <c r="L215" t="s">
        <v>39</v>
      </c>
      <c r="M215" s="4">
        <v>0.28680555555555554</v>
      </c>
      <c r="N215" s="4">
        <v>0.12708333333333333</v>
      </c>
      <c r="O215">
        <v>27</v>
      </c>
      <c r="P215">
        <v>31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 t="s">
        <v>39</v>
      </c>
      <c r="X215" t="s">
        <v>39</v>
      </c>
      <c r="Y215" s="3">
        <v>2.1090277777777779</v>
      </c>
      <c r="Z215" s="4">
        <v>0</v>
      </c>
      <c r="AA215">
        <v>0</v>
      </c>
      <c r="AB215" s="4">
        <v>0</v>
      </c>
      <c r="AC215" t="s">
        <v>40</v>
      </c>
      <c r="AD215" t="s">
        <v>102</v>
      </c>
      <c r="AE215">
        <v>10</v>
      </c>
      <c r="AF215">
        <v>0</v>
      </c>
      <c r="AG215" s="2">
        <v>3.5115740740740746E-2</v>
      </c>
      <c r="AH215" s="2">
        <v>3.515046296296296E-2</v>
      </c>
      <c r="AI215">
        <v>12</v>
      </c>
      <c r="AJ215">
        <v>29</v>
      </c>
    </row>
    <row r="216" spans="1:36" x14ac:dyDescent="0.25">
      <c r="A216" t="s">
        <v>45</v>
      </c>
      <c r="B216" s="1">
        <v>43866.797951388886</v>
      </c>
      <c r="C216" t="s">
        <v>37</v>
      </c>
      <c r="D216" t="s">
        <v>49</v>
      </c>
      <c r="E216">
        <v>5.18</v>
      </c>
      <c r="F216">
        <v>363</v>
      </c>
      <c r="G216" s="2">
        <v>2.7893518518518515E-2</v>
      </c>
      <c r="H216" t="s">
        <v>39</v>
      </c>
      <c r="I216" t="s">
        <v>39</v>
      </c>
      <c r="J216" t="s">
        <v>39</v>
      </c>
      <c r="K216" t="s">
        <v>39</v>
      </c>
      <c r="L216" t="s">
        <v>39</v>
      </c>
      <c r="M216" s="4">
        <v>0.32291666666666669</v>
      </c>
      <c r="N216" s="4">
        <v>0.18541666666666667</v>
      </c>
      <c r="O216">
        <v>158</v>
      </c>
      <c r="P216">
        <v>151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 t="s">
        <v>39</v>
      </c>
      <c r="X216" t="s">
        <v>39</v>
      </c>
      <c r="Y216" s="3">
        <v>1.6736111111111109</v>
      </c>
      <c r="Z216" s="4">
        <v>0</v>
      </c>
      <c r="AA216">
        <v>0</v>
      </c>
      <c r="AB216" s="4">
        <v>0</v>
      </c>
      <c r="AC216" t="s">
        <v>40</v>
      </c>
      <c r="AD216" t="s">
        <v>254</v>
      </c>
      <c r="AE216">
        <v>17</v>
      </c>
      <c r="AF216">
        <v>0</v>
      </c>
      <c r="AG216" s="2">
        <v>2.6261574074074076E-2</v>
      </c>
      <c r="AH216" s="2">
        <v>2.7893518518518515E-2</v>
      </c>
      <c r="AI216">
        <v>16</v>
      </c>
      <c r="AJ216">
        <v>55</v>
      </c>
    </row>
    <row r="217" spans="1:36" x14ac:dyDescent="0.25">
      <c r="A217" t="s">
        <v>45</v>
      </c>
      <c r="B217" s="1">
        <v>43863.330983796295</v>
      </c>
      <c r="C217" t="s">
        <v>37</v>
      </c>
      <c r="D217" t="s">
        <v>49</v>
      </c>
      <c r="E217">
        <v>9.2799999999999994</v>
      </c>
      <c r="F217">
        <v>658</v>
      </c>
      <c r="G217" s="2">
        <v>4.3692129629629629E-2</v>
      </c>
      <c r="H217" t="s">
        <v>39</v>
      </c>
      <c r="I217" t="s">
        <v>39</v>
      </c>
      <c r="J217" t="s">
        <v>39</v>
      </c>
      <c r="K217" t="s">
        <v>39</v>
      </c>
      <c r="L217" t="s">
        <v>39</v>
      </c>
      <c r="M217" s="4">
        <v>0.28263888888888888</v>
      </c>
      <c r="N217" s="4">
        <v>0.21111111111111111</v>
      </c>
      <c r="O217">
        <v>92</v>
      </c>
      <c r="P217">
        <v>92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 t="s">
        <v>39</v>
      </c>
      <c r="X217" t="s">
        <v>39</v>
      </c>
      <c r="Y217" s="2">
        <v>4.3692129629629629E-2</v>
      </c>
      <c r="Z217" s="4">
        <v>0</v>
      </c>
      <c r="AA217">
        <v>0</v>
      </c>
      <c r="AB217" s="4">
        <v>0</v>
      </c>
      <c r="AC217" t="s">
        <v>40</v>
      </c>
      <c r="AD217" t="s">
        <v>230</v>
      </c>
      <c r="AE217">
        <v>1</v>
      </c>
      <c r="AF217">
        <v>0</v>
      </c>
      <c r="AG217" s="2">
        <v>4.3680555555555556E-2</v>
      </c>
      <c r="AH217" s="2">
        <v>4.3692129629629629E-2</v>
      </c>
      <c r="AI217">
        <v>12</v>
      </c>
      <c r="AJ217">
        <v>56</v>
      </c>
    </row>
    <row r="218" spans="1:36" x14ac:dyDescent="0.25">
      <c r="A218" t="s">
        <v>45</v>
      </c>
      <c r="B218" s="1">
        <v>43859.794768518521</v>
      </c>
      <c r="C218" t="s">
        <v>37</v>
      </c>
      <c r="D218" t="s">
        <v>49</v>
      </c>
      <c r="E218">
        <v>6.13</v>
      </c>
      <c r="F218">
        <v>450</v>
      </c>
      <c r="G218" s="2">
        <v>2.4699074074074078E-2</v>
      </c>
      <c r="H218" t="s">
        <v>39</v>
      </c>
      <c r="I218" t="s">
        <v>39</v>
      </c>
      <c r="J218" t="s">
        <v>39</v>
      </c>
      <c r="K218" t="s">
        <v>39</v>
      </c>
      <c r="L218" t="s">
        <v>39</v>
      </c>
      <c r="M218" s="4">
        <v>0.24166666666666667</v>
      </c>
      <c r="N218" s="4">
        <v>0.21041666666666667</v>
      </c>
      <c r="O218">
        <v>15</v>
      </c>
      <c r="P218">
        <v>16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 t="s">
        <v>39</v>
      </c>
      <c r="X218" t="s">
        <v>39</v>
      </c>
      <c r="Y218" s="3">
        <v>1.4819444444444445</v>
      </c>
      <c r="Z218" s="4">
        <v>0</v>
      </c>
      <c r="AA218">
        <v>0</v>
      </c>
      <c r="AB218" s="4">
        <v>0</v>
      </c>
      <c r="AC218" t="s">
        <v>40</v>
      </c>
      <c r="AD218" t="s">
        <v>230</v>
      </c>
      <c r="AE218">
        <v>1</v>
      </c>
      <c r="AF218">
        <v>0</v>
      </c>
      <c r="AG218" s="2">
        <v>2.4699074074074078E-2</v>
      </c>
      <c r="AH218" s="2">
        <v>2.4699074074074078E-2</v>
      </c>
      <c r="AI218">
        <v>13</v>
      </c>
      <c r="AJ218">
        <v>20</v>
      </c>
    </row>
    <row r="219" spans="1:36" x14ac:dyDescent="0.25">
      <c r="A219" t="s">
        <v>45</v>
      </c>
      <c r="B219" s="1">
        <v>43857.816782407404</v>
      </c>
      <c r="C219" t="s">
        <v>37</v>
      </c>
      <c r="D219" t="s">
        <v>49</v>
      </c>
      <c r="E219">
        <v>0.65</v>
      </c>
      <c r="F219">
        <v>49</v>
      </c>
      <c r="G219" s="6">
        <v>2.9814814814814812E-3</v>
      </c>
      <c r="H219" t="s">
        <v>39</v>
      </c>
      <c r="I219" t="s">
        <v>39</v>
      </c>
      <c r="J219" t="s">
        <v>39</v>
      </c>
      <c r="K219" t="s">
        <v>39</v>
      </c>
      <c r="L219" t="s">
        <v>39</v>
      </c>
      <c r="M219" s="4">
        <v>0.27291666666666664</v>
      </c>
      <c r="N219" s="4">
        <v>0.22916666666666666</v>
      </c>
      <c r="O219">
        <v>8</v>
      </c>
      <c r="P219">
        <v>7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 t="s">
        <v>39</v>
      </c>
      <c r="X219" t="s">
        <v>39</v>
      </c>
      <c r="Y219" s="6">
        <v>2.9814814814814812E-3</v>
      </c>
      <c r="Z219" s="4">
        <v>0</v>
      </c>
      <c r="AA219">
        <v>0</v>
      </c>
      <c r="AB219" s="4">
        <v>0</v>
      </c>
      <c r="AC219" t="s">
        <v>40</v>
      </c>
      <c r="AD219" t="s">
        <v>230</v>
      </c>
      <c r="AE219">
        <v>1</v>
      </c>
      <c r="AF219">
        <v>0</v>
      </c>
      <c r="AG219" s="6">
        <v>2.9814814814814812E-3</v>
      </c>
      <c r="AH219" s="6">
        <v>2.9814814814814812E-3</v>
      </c>
      <c r="AI219">
        <v>17</v>
      </c>
      <c r="AJ219">
        <v>26</v>
      </c>
    </row>
    <row r="220" spans="1:36" x14ac:dyDescent="0.25">
      <c r="A220" t="s">
        <v>45</v>
      </c>
      <c r="B220" s="1">
        <v>43857.811273148145</v>
      </c>
      <c r="C220" t="s">
        <v>37</v>
      </c>
      <c r="D220" t="s">
        <v>49</v>
      </c>
      <c r="E220">
        <v>0.99</v>
      </c>
      <c r="F220">
        <v>73</v>
      </c>
      <c r="G220" s="6">
        <v>2.8437499999999995E-3</v>
      </c>
      <c r="H220" t="s">
        <v>39</v>
      </c>
      <c r="I220" t="s">
        <v>39</v>
      </c>
      <c r="J220" t="s">
        <v>39</v>
      </c>
      <c r="K220" t="s">
        <v>39</v>
      </c>
      <c r="L220" t="s">
        <v>39</v>
      </c>
      <c r="M220" s="4">
        <v>0.17152777777777775</v>
      </c>
      <c r="N220" s="4">
        <v>0.15208333333333332</v>
      </c>
      <c r="O220">
        <v>8</v>
      </c>
      <c r="P220">
        <v>17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 t="s">
        <v>39</v>
      </c>
      <c r="X220" t="s">
        <v>39</v>
      </c>
      <c r="Y220" s="6">
        <v>2.8437499999999995E-3</v>
      </c>
      <c r="Z220" s="4">
        <v>0</v>
      </c>
      <c r="AA220">
        <v>0</v>
      </c>
      <c r="AB220" s="4">
        <v>0</v>
      </c>
      <c r="AC220" t="s">
        <v>40</v>
      </c>
      <c r="AD220" t="s">
        <v>230</v>
      </c>
      <c r="AE220">
        <v>1</v>
      </c>
      <c r="AF220">
        <v>0</v>
      </c>
      <c r="AG220" s="6">
        <v>2.8437499999999995E-3</v>
      </c>
      <c r="AH220" s="6">
        <v>2.8437499999999995E-3</v>
      </c>
      <c r="AI220">
        <v>17</v>
      </c>
      <c r="AJ220">
        <v>27</v>
      </c>
    </row>
    <row r="221" spans="1:36" x14ac:dyDescent="0.25">
      <c r="A221" t="s">
        <v>45</v>
      </c>
      <c r="B221" s="1">
        <v>43857.805428240739</v>
      </c>
      <c r="C221" t="s">
        <v>37</v>
      </c>
      <c r="D221" t="s">
        <v>49</v>
      </c>
      <c r="E221">
        <v>0.63</v>
      </c>
      <c r="F221">
        <v>47</v>
      </c>
      <c r="G221" s="6">
        <v>2.8020833333333335E-3</v>
      </c>
      <c r="H221" t="s">
        <v>39</v>
      </c>
      <c r="I221" t="s">
        <v>39</v>
      </c>
      <c r="J221" t="s">
        <v>39</v>
      </c>
      <c r="K221" t="s">
        <v>39</v>
      </c>
      <c r="L221" t="s">
        <v>39</v>
      </c>
      <c r="M221" s="4">
        <v>0.26805555555555555</v>
      </c>
      <c r="N221" s="4">
        <v>0.24652777777777779</v>
      </c>
      <c r="O221">
        <v>8</v>
      </c>
      <c r="P221">
        <v>9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 t="s">
        <v>39</v>
      </c>
      <c r="X221" t="s">
        <v>39</v>
      </c>
      <c r="Y221" s="6">
        <v>2.8020833333333335E-3</v>
      </c>
      <c r="Z221" s="4">
        <v>0</v>
      </c>
      <c r="AA221">
        <v>0</v>
      </c>
      <c r="AB221" s="4">
        <v>0</v>
      </c>
      <c r="AC221" t="s">
        <v>40</v>
      </c>
      <c r="AD221" t="s">
        <v>230</v>
      </c>
      <c r="AE221">
        <v>1</v>
      </c>
      <c r="AF221">
        <v>0</v>
      </c>
      <c r="AG221" s="2">
        <v>2.8009259259259259E-3</v>
      </c>
      <c r="AH221" s="6">
        <v>2.8020833333333335E-3</v>
      </c>
      <c r="AI221">
        <v>17</v>
      </c>
      <c r="AJ221">
        <v>27</v>
      </c>
    </row>
    <row r="222" spans="1:36" x14ac:dyDescent="0.25">
      <c r="A222" t="s">
        <v>45</v>
      </c>
      <c r="B222" s="1">
        <v>43852.795520833337</v>
      </c>
      <c r="C222" t="s">
        <v>37</v>
      </c>
      <c r="D222" t="s">
        <v>49</v>
      </c>
      <c r="E222">
        <v>5.32</v>
      </c>
      <c r="F222">
        <v>380</v>
      </c>
      <c r="G222" s="2">
        <v>2.4120370370370372E-2</v>
      </c>
      <c r="H222" t="s">
        <v>39</v>
      </c>
      <c r="I222" t="s">
        <v>39</v>
      </c>
      <c r="J222" t="s">
        <v>39</v>
      </c>
      <c r="K222" t="s">
        <v>39</v>
      </c>
      <c r="L222" t="s">
        <v>39</v>
      </c>
      <c r="M222" s="4">
        <v>0.2722222222222222</v>
      </c>
      <c r="N222" s="4">
        <v>0.18472222222222223</v>
      </c>
      <c r="O222">
        <v>107</v>
      </c>
      <c r="P222">
        <v>117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 t="s">
        <v>39</v>
      </c>
      <c r="X222" t="s">
        <v>39</v>
      </c>
      <c r="Y222" s="3">
        <v>1.4472222222222222</v>
      </c>
      <c r="Z222" s="4">
        <v>0</v>
      </c>
      <c r="AA222">
        <v>0</v>
      </c>
      <c r="AB222" s="4">
        <v>0</v>
      </c>
      <c r="AC222" t="s">
        <v>40</v>
      </c>
      <c r="AD222" t="s">
        <v>255</v>
      </c>
      <c r="AE222">
        <v>15</v>
      </c>
      <c r="AF222">
        <v>0</v>
      </c>
      <c r="AG222" s="2">
        <v>2.4085648148148148E-2</v>
      </c>
      <c r="AH222" s="2">
        <v>2.8344907407407412E-2</v>
      </c>
      <c r="AI222">
        <v>13</v>
      </c>
      <c r="AJ222">
        <v>54</v>
      </c>
    </row>
    <row r="223" spans="1:36" x14ac:dyDescent="0.25">
      <c r="A223" t="s">
        <v>45</v>
      </c>
      <c r="B223" s="1">
        <v>43850.795717592591</v>
      </c>
      <c r="C223" t="s">
        <v>37</v>
      </c>
      <c r="D223" t="s">
        <v>49</v>
      </c>
      <c r="E223">
        <v>6.96</v>
      </c>
      <c r="F223">
        <v>503</v>
      </c>
      <c r="G223" s="2">
        <v>3.2835648148148149E-2</v>
      </c>
      <c r="H223" t="s">
        <v>39</v>
      </c>
      <c r="I223" t="s">
        <v>39</v>
      </c>
      <c r="J223" t="s">
        <v>39</v>
      </c>
      <c r="K223" t="s">
        <v>39</v>
      </c>
      <c r="L223" t="s">
        <v>39</v>
      </c>
      <c r="M223" s="4">
        <v>0.28263888888888888</v>
      </c>
      <c r="N223" s="4">
        <v>0.17500000000000002</v>
      </c>
      <c r="O223">
        <v>56</v>
      </c>
      <c r="P223">
        <v>49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 t="s">
        <v>39</v>
      </c>
      <c r="X223" t="s">
        <v>39</v>
      </c>
      <c r="Y223" s="3">
        <v>1.9701388888888889</v>
      </c>
      <c r="Z223" s="4">
        <v>0</v>
      </c>
      <c r="AA223">
        <v>0</v>
      </c>
      <c r="AB223" s="4">
        <v>0</v>
      </c>
      <c r="AC223" t="s">
        <v>40</v>
      </c>
      <c r="AD223" t="s">
        <v>256</v>
      </c>
      <c r="AE223">
        <v>15</v>
      </c>
      <c r="AF223">
        <v>0</v>
      </c>
      <c r="AG223" s="2">
        <v>3.184027777777778E-2</v>
      </c>
      <c r="AH223" s="2">
        <v>3.2835648148148149E-2</v>
      </c>
      <c r="AI223">
        <v>9</v>
      </c>
      <c r="AJ223">
        <v>24</v>
      </c>
    </row>
    <row r="224" spans="1:36" x14ac:dyDescent="0.25">
      <c r="A224" t="s">
        <v>45</v>
      </c>
      <c r="B224" s="1">
        <v>43848.31009259259</v>
      </c>
      <c r="C224" t="s">
        <v>37</v>
      </c>
      <c r="D224" t="s">
        <v>49</v>
      </c>
      <c r="E224">
        <v>7.71</v>
      </c>
      <c r="F224">
        <v>565</v>
      </c>
      <c r="G224" s="2">
        <v>3.4942129629629635E-2</v>
      </c>
      <c r="H224" t="s">
        <v>39</v>
      </c>
      <c r="I224" t="s">
        <v>39</v>
      </c>
      <c r="J224" t="s">
        <v>39</v>
      </c>
      <c r="K224" t="s">
        <v>39</v>
      </c>
      <c r="L224" t="s">
        <v>39</v>
      </c>
      <c r="M224" s="4">
        <v>0.27152777777777776</v>
      </c>
      <c r="N224" s="4">
        <v>0.15625</v>
      </c>
      <c r="O224">
        <v>117</v>
      </c>
      <c r="P224">
        <v>122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 t="s">
        <v>39</v>
      </c>
      <c r="X224" t="s">
        <v>39</v>
      </c>
      <c r="Y224" s="3">
        <v>2.0965277777777778</v>
      </c>
      <c r="Z224" s="4">
        <v>0</v>
      </c>
      <c r="AA224">
        <v>0</v>
      </c>
      <c r="AB224" s="4">
        <v>0</v>
      </c>
      <c r="AC224" t="s">
        <v>40</v>
      </c>
      <c r="AD224" t="s">
        <v>230</v>
      </c>
      <c r="AE224">
        <v>1</v>
      </c>
      <c r="AF224">
        <v>0</v>
      </c>
      <c r="AG224" s="2">
        <v>3.4942129629629635E-2</v>
      </c>
      <c r="AH224" s="2">
        <v>3.4942129629629635E-2</v>
      </c>
      <c r="AI224">
        <v>22</v>
      </c>
      <c r="AJ224">
        <v>65</v>
      </c>
    </row>
    <row r="225" spans="1:36" x14ac:dyDescent="0.25">
      <c r="A225" t="s">
        <v>45</v>
      </c>
      <c r="B225" s="1">
        <v>43845.821620370371</v>
      </c>
      <c r="C225" t="s">
        <v>37</v>
      </c>
      <c r="D225" t="s">
        <v>49</v>
      </c>
      <c r="E225">
        <v>0.41</v>
      </c>
      <c r="F225">
        <v>30</v>
      </c>
      <c r="G225" s="6">
        <v>1.5370370370370371E-3</v>
      </c>
      <c r="H225" t="s">
        <v>39</v>
      </c>
      <c r="I225" t="s">
        <v>39</v>
      </c>
      <c r="J225" t="s">
        <v>39</v>
      </c>
      <c r="K225" t="s">
        <v>39</v>
      </c>
      <c r="L225" t="s">
        <v>39</v>
      </c>
      <c r="M225" s="4">
        <v>0.22500000000000001</v>
      </c>
      <c r="N225" s="4">
        <v>0.20902777777777778</v>
      </c>
      <c r="O225" t="s">
        <v>39</v>
      </c>
      <c r="P225" t="s">
        <v>39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 t="s">
        <v>39</v>
      </c>
      <c r="X225" t="s">
        <v>39</v>
      </c>
      <c r="Y225" s="6">
        <v>1.5370370370370371E-3</v>
      </c>
      <c r="Z225" s="4">
        <v>0</v>
      </c>
      <c r="AA225">
        <v>0</v>
      </c>
      <c r="AB225" s="4">
        <v>0</v>
      </c>
      <c r="AC225" t="s">
        <v>40</v>
      </c>
      <c r="AD225" t="s">
        <v>230</v>
      </c>
      <c r="AE225">
        <v>1</v>
      </c>
      <c r="AF225">
        <v>0</v>
      </c>
      <c r="AG225" s="6">
        <v>1.5370370370370371E-3</v>
      </c>
      <c r="AH225" s="6">
        <v>1.5370370370370371E-3</v>
      </c>
      <c r="AI225">
        <v>14</v>
      </c>
      <c r="AJ225">
        <v>15</v>
      </c>
    </row>
    <row r="226" spans="1:36" x14ac:dyDescent="0.25">
      <c r="A226" t="s">
        <v>45</v>
      </c>
      <c r="B226" s="1">
        <v>43845.795659722222</v>
      </c>
      <c r="C226" t="s">
        <v>37</v>
      </c>
      <c r="D226" t="s">
        <v>49</v>
      </c>
      <c r="E226">
        <v>5.66</v>
      </c>
      <c r="F226">
        <v>410</v>
      </c>
      <c r="G226" s="2">
        <v>2.4502314814814814E-2</v>
      </c>
      <c r="H226" t="s">
        <v>39</v>
      </c>
      <c r="I226" t="s">
        <v>39</v>
      </c>
      <c r="J226" t="s">
        <v>39</v>
      </c>
      <c r="K226" t="s">
        <v>39</v>
      </c>
      <c r="L226" t="s">
        <v>39</v>
      </c>
      <c r="M226" s="4">
        <v>0.25972222222222224</v>
      </c>
      <c r="N226" s="4">
        <v>0.17708333333333334</v>
      </c>
      <c r="O226" t="s">
        <v>39</v>
      </c>
      <c r="P226" t="s">
        <v>39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 t="s">
        <v>39</v>
      </c>
      <c r="X226" t="s">
        <v>39</v>
      </c>
      <c r="Y226" s="3">
        <v>1.4701388888888889</v>
      </c>
      <c r="Z226" s="4">
        <v>0</v>
      </c>
      <c r="AA226">
        <v>0</v>
      </c>
      <c r="AB226" s="4">
        <v>0</v>
      </c>
      <c r="AC226" t="s">
        <v>40</v>
      </c>
      <c r="AD226" t="s">
        <v>257</v>
      </c>
      <c r="AE226">
        <v>11</v>
      </c>
      <c r="AF226">
        <v>0</v>
      </c>
      <c r="AG226" s="2">
        <v>2.2812499999999999E-2</v>
      </c>
      <c r="AH226" s="2">
        <v>2.4502314814814814E-2</v>
      </c>
      <c r="AI226">
        <v>14</v>
      </c>
      <c r="AJ226">
        <v>15</v>
      </c>
    </row>
    <row r="227" spans="1:36" x14ac:dyDescent="0.25">
      <c r="A227" t="s">
        <v>45</v>
      </c>
      <c r="B227" s="1">
        <v>43843.801111111112</v>
      </c>
      <c r="C227" t="s">
        <v>37</v>
      </c>
      <c r="D227" t="s">
        <v>258</v>
      </c>
      <c r="E227">
        <v>5.42</v>
      </c>
      <c r="F227">
        <v>398</v>
      </c>
      <c r="G227" s="2">
        <v>2.1203703703703707E-2</v>
      </c>
      <c r="H227" t="s">
        <v>39</v>
      </c>
      <c r="I227" t="s">
        <v>39</v>
      </c>
      <c r="J227" t="s">
        <v>39</v>
      </c>
      <c r="K227" t="s">
        <v>39</v>
      </c>
      <c r="L227" t="s">
        <v>39</v>
      </c>
      <c r="M227" s="4">
        <v>0.23472222222222219</v>
      </c>
      <c r="N227" s="4">
        <v>0.15</v>
      </c>
      <c r="O227">
        <v>41</v>
      </c>
      <c r="P227">
        <v>40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 t="s">
        <v>39</v>
      </c>
      <c r="X227" t="s">
        <v>39</v>
      </c>
      <c r="Y227" s="3">
        <v>1.2722222222222224</v>
      </c>
      <c r="Z227" s="4">
        <v>0</v>
      </c>
      <c r="AA227">
        <v>0</v>
      </c>
      <c r="AB227" s="4">
        <v>0</v>
      </c>
      <c r="AC227" t="s">
        <v>40</v>
      </c>
      <c r="AD227" t="s">
        <v>230</v>
      </c>
      <c r="AE227">
        <v>1</v>
      </c>
      <c r="AF227">
        <v>0</v>
      </c>
      <c r="AG227" s="2">
        <v>2.1203703703703707E-2</v>
      </c>
      <c r="AH227" s="2">
        <v>2.2511574074074073E-2</v>
      </c>
      <c r="AI227">
        <v>15</v>
      </c>
      <c r="AJ227">
        <v>24</v>
      </c>
    </row>
    <row r="228" spans="1:36" x14ac:dyDescent="0.25">
      <c r="A228" t="s">
        <v>45</v>
      </c>
      <c r="B228" s="1">
        <v>43843.795520833337</v>
      </c>
      <c r="C228" t="s">
        <v>37</v>
      </c>
      <c r="D228" t="s">
        <v>258</v>
      </c>
      <c r="E228">
        <v>0.69</v>
      </c>
      <c r="F228">
        <v>51</v>
      </c>
      <c r="G228" s="6">
        <v>3.1782407407407402E-3</v>
      </c>
      <c r="H228" t="s">
        <v>39</v>
      </c>
      <c r="I228" t="s">
        <v>39</v>
      </c>
      <c r="J228" t="s">
        <v>39</v>
      </c>
      <c r="K228" t="s">
        <v>39</v>
      </c>
      <c r="L228" t="s">
        <v>39</v>
      </c>
      <c r="M228" s="4">
        <v>0.27708333333333335</v>
      </c>
      <c r="N228" s="4">
        <v>0.24583333333333335</v>
      </c>
      <c r="O228">
        <v>7</v>
      </c>
      <c r="P228">
        <v>6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 t="s">
        <v>39</v>
      </c>
      <c r="X228" t="s">
        <v>39</v>
      </c>
      <c r="Y228" s="6">
        <v>3.1782407407407402E-3</v>
      </c>
      <c r="Z228" s="4">
        <v>0</v>
      </c>
      <c r="AA228">
        <v>0</v>
      </c>
      <c r="AB228" s="4">
        <v>0</v>
      </c>
      <c r="AC228" t="s">
        <v>40</v>
      </c>
      <c r="AD228" t="s">
        <v>230</v>
      </c>
      <c r="AE228">
        <v>1</v>
      </c>
      <c r="AF228">
        <v>0</v>
      </c>
      <c r="AG228" s="6">
        <v>3.1782407407407402E-3</v>
      </c>
      <c r="AH228" s="6">
        <v>3.1782407407407402E-3</v>
      </c>
      <c r="AI228">
        <v>9</v>
      </c>
      <c r="AJ228">
        <v>20</v>
      </c>
    </row>
    <row r="229" spans="1:36" x14ac:dyDescent="0.25">
      <c r="A229" t="s">
        <v>45</v>
      </c>
      <c r="B229" s="1">
        <v>43841.313032407408</v>
      </c>
      <c r="C229" t="s">
        <v>37</v>
      </c>
      <c r="D229" t="s">
        <v>258</v>
      </c>
      <c r="E229">
        <v>1.75</v>
      </c>
      <c r="F229">
        <v>92</v>
      </c>
      <c r="G229" s="2">
        <v>1.539351851851852E-2</v>
      </c>
      <c r="H229" t="s">
        <v>39</v>
      </c>
      <c r="I229" t="s">
        <v>39</v>
      </c>
      <c r="J229" t="s">
        <v>39</v>
      </c>
      <c r="K229" t="s">
        <v>39</v>
      </c>
      <c r="L229" t="s">
        <v>39</v>
      </c>
      <c r="M229" s="4">
        <v>0.52708333333333335</v>
      </c>
      <c r="N229" s="4">
        <v>0.35347222222222219</v>
      </c>
      <c r="O229">
        <v>18</v>
      </c>
      <c r="P229">
        <v>15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 t="s">
        <v>39</v>
      </c>
      <c r="X229" t="s">
        <v>39</v>
      </c>
      <c r="Y229" s="4">
        <v>0.92361111111111116</v>
      </c>
      <c r="Z229" s="4">
        <v>0</v>
      </c>
      <c r="AA229">
        <v>0</v>
      </c>
      <c r="AB229" s="4">
        <v>0</v>
      </c>
      <c r="AC229" t="s">
        <v>40</v>
      </c>
      <c r="AD229" t="s">
        <v>230</v>
      </c>
      <c r="AE229">
        <v>1</v>
      </c>
      <c r="AF229">
        <v>0</v>
      </c>
      <c r="AG229" s="2">
        <v>1.539351851851852E-2</v>
      </c>
      <c r="AH229" s="2">
        <v>1.539351851851852E-2</v>
      </c>
      <c r="AI229">
        <v>14</v>
      </c>
      <c r="AJ229">
        <v>28</v>
      </c>
    </row>
    <row r="230" spans="1:36" x14ac:dyDescent="0.25">
      <c r="A230" t="s">
        <v>45</v>
      </c>
      <c r="B230" s="1">
        <v>43841.285381944443</v>
      </c>
      <c r="C230" t="s">
        <v>37</v>
      </c>
      <c r="D230" t="s">
        <v>258</v>
      </c>
      <c r="E230">
        <v>4.8099999999999996</v>
      </c>
      <c r="F230">
        <v>343</v>
      </c>
      <c r="G230" s="2">
        <v>2.7071759259259257E-2</v>
      </c>
      <c r="H230" t="s">
        <v>39</v>
      </c>
      <c r="I230" t="s">
        <v>39</v>
      </c>
      <c r="J230" t="s">
        <v>39</v>
      </c>
      <c r="K230" t="s">
        <v>39</v>
      </c>
      <c r="L230" t="s">
        <v>39</v>
      </c>
      <c r="M230" s="4">
        <v>0.33819444444444446</v>
      </c>
      <c r="N230" s="4">
        <v>0.18194444444444444</v>
      </c>
      <c r="O230">
        <v>6</v>
      </c>
      <c r="P230">
        <v>5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 t="s">
        <v>39</v>
      </c>
      <c r="X230" t="s">
        <v>39</v>
      </c>
      <c r="Y230" s="3">
        <v>1.6243055555555557</v>
      </c>
      <c r="Z230" s="4">
        <v>0</v>
      </c>
      <c r="AA230">
        <v>0</v>
      </c>
      <c r="AB230" s="4">
        <v>0</v>
      </c>
      <c r="AC230" t="s">
        <v>40</v>
      </c>
      <c r="AD230" t="s">
        <v>259</v>
      </c>
      <c r="AE230">
        <v>16</v>
      </c>
      <c r="AF230">
        <v>0</v>
      </c>
      <c r="AG230" s="2">
        <v>2.4745370370370372E-2</v>
      </c>
      <c r="AH230" s="2">
        <v>2.7071759259259257E-2</v>
      </c>
      <c r="AI230">
        <v>14</v>
      </c>
      <c r="AJ230">
        <v>18</v>
      </c>
    </row>
    <row r="231" spans="1:36" x14ac:dyDescent="0.25">
      <c r="A231" t="s">
        <v>45</v>
      </c>
      <c r="B231" s="1">
        <v>43841.278564814813</v>
      </c>
      <c r="C231" t="s">
        <v>37</v>
      </c>
      <c r="D231" t="s">
        <v>258</v>
      </c>
      <c r="E231">
        <v>1.42</v>
      </c>
      <c r="F231">
        <v>104</v>
      </c>
      <c r="G231" s="6">
        <v>5.7789351851851856E-3</v>
      </c>
      <c r="H231" t="s">
        <v>39</v>
      </c>
      <c r="I231" t="s">
        <v>39</v>
      </c>
      <c r="J231" t="s">
        <v>39</v>
      </c>
      <c r="K231" t="s">
        <v>39</v>
      </c>
      <c r="L231" t="s">
        <v>39</v>
      </c>
      <c r="M231" s="4">
        <v>0.24444444444444446</v>
      </c>
      <c r="N231" s="4">
        <v>0.16874999999999998</v>
      </c>
      <c r="O231">
        <v>8</v>
      </c>
      <c r="P231">
        <v>19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 t="s">
        <v>39</v>
      </c>
      <c r="X231" t="s">
        <v>39</v>
      </c>
      <c r="Y231" s="6">
        <v>5.7789351851851856E-3</v>
      </c>
      <c r="Z231" s="4">
        <v>0</v>
      </c>
      <c r="AA231">
        <v>0</v>
      </c>
      <c r="AB231" s="4">
        <v>0</v>
      </c>
      <c r="AC231" t="s">
        <v>40</v>
      </c>
      <c r="AD231" t="s">
        <v>230</v>
      </c>
      <c r="AE231">
        <v>1</v>
      </c>
      <c r="AF231">
        <v>0</v>
      </c>
      <c r="AG231" s="2">
        <v>5.7754629629629623E-3</v>
      </c>
      <c r="AH231" s="6">
        <v>5.7789351851851856E-3</v>
      </c>
      <c r="AI231">
        <v>14</v>
      </c>
      <c r="AJ231">
        <v>28</v>
      </c>
    </row>
    <row r="232" spans="1:36" x14ac:dyDescent="0.25">
      <c r="A232" t="s">
        <v>45</v>
      </c>
      <c r="B232" s="1">
        <v>43836.803923611114</v>
      </c>
      <c r="C232" t="s">
        <v>37</v>
      </c>
      <c r="D232" t="s">
        <v>258</v>
      </c>
      <c r="E232">
        <v>4.04</v>
      </c>
      <c r="F232">
        <v>287</v>
      </c>
      <c r="G232" s="2">
        <v>1.8819444444444448E-2</v>
      </c>
      <c r="H232" t="s">
        <v>39</v>
      </c>
      <c r="I232" t="s">
        <v>39</v>
      </c>
      <c r="J232" t="s">
        <v>39</v>
      </c>
      <c r="K232" t="s">
        <v>39</v>
      </c>
      <c r="L232" t="s">
        <v>39</v>
      </c>
      <c r="M232" s="4">
        <v>0.27986111111111112</v>
      </c>
      <c r="N232" s="4">
        <v>0.15694444444444444</v>
      </c>
      <c r="O232">
        <v>43</v>
      </c>
      <c r="P232">
        <v>36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 t="s">
        <v>39</v>
      </c>
      <c r="X232" t="s">
        <v>39</v>
      </c>
      <c r="Y232" s="3">
        <v>1.1291666666666667</v>
      </c>
      <c r="Z232" s="4">
        <v>0</v>
      </c>
      <c r="AA232">
        <v>0</v>
      </c>
      <c r="AB232" s="4">
        <v>0</v>
      </c>
      <c r="AC232" t="s">
        <v>40</v>
      </c>
      <c r="AD232" t="s">
        <v>260</v>
      </c>
      <c r="AE232">
        <v>23</v>
      </c>
      <c r="AF232">
        <v>0</v>
      </c>
      <c r="AG232" s="2">
        <v>1.8368055555555554E-2</v>
      </c>
      <c r="AH232" s="2">
        <v>1.8819444444444448E-2</v>
      </c>
      <c r="AI232">
        <v>17</v>
      </c>
      <c r="AJ232">
        <v>26</v>
      </c>
    </row>
    <row r="233" spans="1:36" x14ac:dyDescent="0.25">
      <c r="A233" t="s">
        <v>45</v>
      </c>
      <c r="B233" s="1">
        <v>43836.799895833334</v>
      </c>
      <c r="C233" t="s">
        <v>37</v>
      </c>
      <c r="D233" t="s">
        <v>258</v>
      </c>
      <c r="E233">
        <v>0.63</v>
      </c>
      <c r="F233">
        <v>45</v>
      </c>
      <c r="G233" s="6">
        <v>2.6041666666666665E-3</v>
      </c>
      <c r="H233" t="s">
        <v>39</v>
      </c>
      <c r="I233" t="s">
        <v>39</v>
      </c>
      <c r="J233" t="s">
        <v>39</v>
      </c>
      <c r="K233" t="s">
        <v>39</v>
      </c>
      <c r="L233" t="s">
        <v>39</v>
      </c>
      <c r="M233" s="4">
        <v>0.24930555555555556</v>
      </c>
      <c r="N233" s="4">
        <v>0.21527777777777779</v>
      </c>
      <c r="O233">
        <v>2</v>
      </c>
      <c r="P233" t="s">
        <v>39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 t="s">
        <v>39</v>
      </c>
      <c r="X233" t="s">
        <v>39</v>
      </c>
      <c r="Y233" s="6">
        <v>2.6041666666666665E-3</v>
      </c>
      <c r="Z233" s="4">
        <v>0</v>
      </c>
      <c r="AA233">
        <v>0</v>
      </c>
      <c r="AB233" s="4">
        <v>0</v>
      </c>
      <c r="AC233" t="s">
        <v>40</v>
      </c>
      <c r="AD233" t="s">
        <v>230</v>
      </c>
      <c r="AE233">
        <v>1</v>
      </c>
      <c r="AF233">
        <v>0</v>
      </c>
      <c r="AG233" s="2">
        <v>2.6041666666666665E-3</v>
      </c>
      <c r="AH233" s="6">
        <v>2.6041666666666665E-3</v>
      </c>
      <c r="AI233">
        <v>17</v>
      </c>
      <c r="AJ233">
        <v>21</v>
      </c>
    </row>
    <row r="234" spans="1:36" x14ac:dyDescent="0.25">
      <c r="A234" t="s">
        <v>45</v>
      </c>
      <c r="B234" s="1">
        <v>43801.761307870373</v>
      </c>
      <c r="C234" t="s">
        <v>37</v>
      </c>
      <c r="D234" t="s">
        <v>258</v>
      </c>
      <c r="E234">
        <v>8</v>
      </c>
      <c r="F234">
        <v>567</v>
      </c>
      <c r="G234" s="2">
        <v>3.3831018518518517E-2</v>
      </c>
      <c r="H234" t="s">
        <v>39</v>
      </c>
      <c r="I234" t="s">
        <v>39</v>
      </c>
      <c r="J234" t="s">
        <v>39</v>
      </c>
      <c r="K234" t="s">
        <v>39</v>
      </c>
      <c r="L234" t="s">
        <v>39</v>
      </c>
      <c r="M234" s="4">
        <v>0.25347222222222221</v>
      </c>
      <c r="N234" s="4">
        <v>0.19305555555555554</v>
      </c>
      <c r="O234">
        <v>26</v>
      </c>
      <c r="P234">
        <v>30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 t="s">
        <v>39</v>
      </c>
      <c r="X234" t="s">
        <v>39</v>
      </c>
      <c r="Y234" s="3">
        <v>2.0298611111111113</v>
      </c>
      <c r="Z234" s="4">
        <v>0</v>
      </c>
      <c r="AA234">
        <v>0</v>
      </c>
      <c r="AB234" s="4">
        <v>0</v>
      </c>
      <c r="AC234" t="s">
        <v>40</v>
      </c>
      <c r="AD234" t="s">
        <v>261</v>
      </c>
      <c r="AE234">
        <v>11</v>
      </c>
      <c r="AF234">
        <v>0</v>
      </c>
      <c r="AG234" s="2">
        <v>3.380787037037037E-2</v>
      </c>
      <c r="AH234" s="2">
        <v>3.3831018518518517E-2</v>
      </c>
      <c r="AI234">
        <v>12</v>
      </c>
      <c r="AJ234">
        <v>29</v>
      </c>
    </row>
    <row r="235" spans="1:36" x14ac:dyDescent="0.25">
      <c r="A235" t="s">
        <v>45</v>
      </c>
      <c r="B235" s="1">
        <v>43789.838958333334</v>
      </c>
      <c r="C235" t="s">
        <v>37</v>
      </c>
      <c r="D235" t="s">
        <v>258</v>
      </c>
      <c r="E235">
        <v>4</v>
      </c>
      <c r="F235">
        <v>292</v>
      </c>
      <c r="G235" s="2">
        <v>1.5370370370370369E-2</v>
      </c>
      <c r="H235" t="s">
        <v>39</v>
      </c>
      <c r="I235" t="s">
        <v>39</v>
      </c>
      <c r="J235" t="s">
        <v>39</v>
      </c>
      <c r="K235" t="s">
        <v>39</v>
      </c>
      <c r="L235" t="s">
        <v>39</v>
      </c>
      <c r="M235" s="4">
        <v>0.23055555555555554</v>
      </c>
      <c r="N235" s="4">
        <v>0.21388888888888891</v>
      </c>
      <c r="O235">
        <v>44</v>
      </c>
      <c r="P235">
        <v>42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 t="s">
        <v>39</v>
      </c>
      <c r="X235" t="s">
        <v>39</v>
      </c>
      <c r="Y235" s="4">
        <v>0.92222222222222217</v>
      </c>
      <c r="Z235" s="4">
        <v>0</v>
      </c>
      <c r="AA235">
        <v>0</v>
      </c>
      <c r="AB235" s="4">
        <v>0</v>
      </c>
      <c r="AC235" t="s">
        <v>40</v>
      </c>
      <c r="AD235" t="s">
        <v>230</v>
      </c>
      <c r="AE235">
        <v>1</v>
      </c>
      <c r="AF235">
        <v>0</v>
      </c>
      <c r="AG235" s="2">
        <v>1.5370370370370369E-2</v>
      </c>
      <c r="AH235" s="2">
        <v>1.5370370370370369E-2</v>
      </c>
      <c r="AI235">
        <v>17</v>
      </c>
      <c r="AJ235">
        <v>27</v>
      </c>
    </row>
    <row r="236" spans="1:36" x14ac:dyDescent="0.25">
      <c r="A236" t="s">
        <v>45</v>
      </c>
      <c r="B236" s="1">
        <v>43782.841087962966</v>
      </c>
      <c r="C236" t="s">
        <v>37</v>
      </c>
      <c r="D236" t="s">
        <v>258</v>
      </c>
      <c r="E236">
        <v>5</v>
      </c>
      <c r="F236">
        <v>360</v>
      </c>
      <c r="G236" s="2">
        <v>1.834490740740741E-2</v>
      </c>
      <c r="H236" t="s">
        <v>39</v>
      </c>
      <c r="I236" t="s">
        <v>39</v>
      </c>
      <c r="J236" t="s">
        <v>39</v>
      </c>
      <c r="K236" t="s">
        <v>39</v>
      </c>
      <c r="L236" t="s">
        <v>39</v>
      </c>
      <c r="M236" s="4">
        <v>0.22013888888888888</v>
      </c>
      <c r="N236" s="4">
        <v>0.19583333333333333</v>
      </c>
      <c r="O236">
        <v>51</v>
      </c>
      <c r="P236">
        <v>44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 t="s">
        <v>39</v>
      </c>
      <c r="X236" t="s">
        <v>39</v>
      </c>
      <c r="Y236" s="3">
        <v>1.1006944444444444</v>
      </c>
      <c r="Z236" s="4">
        <v>0</v>
      </c>
      <c r="AA236">
        <v>0</v>
      </c>
      <c r="AB236" s="4">
        <v>0</v>
      </c>
      <c r="AC236" t="s">
        <v>40</v>
      </c>
      <c r="AD236" t="s">
        <v>262</v>
      </c>
      <c r="AE236">
        <v>6</v>
      </c>
      <c r="AF236">
        <v>0</v>
      </c>
      <c r="AG236" s="2">
        <v>1.8333333333333333E-2</v>
      </c>
      <c r="AH236" s="2">
        <v>1.834490740740741E-2</v>
      </c>
      <c r="AI236">
        <v>17</v>
      </c>
      <c r="AJ236">
        <v>26</v>
      </c>
    </row>
    <row r="237" spans="1:36" x14ac:dyDescent="0.25">
      <c r="A237" t="s">
        <v>45</v>
      </c>
      <c r="B237" s="1">
        <v>43781.920891203707</v>
      </c>
      <c r="C237" t="s">
        <v>37</v>
      </c>
      <c r="D237" t="s">
        <v>263</v>
      </c>
      <c r="E237">
        <v>0</v>
      </c>
      <c r="F237" t="s">
        <v>39</v>
      </c>
      <c r="G237" s="2">
        <v>3.9421296296296295E-2</v>
      </c>
      <c r="H237" t="s">
        <v>39</v>
      </c>
      <c r="I237" t="s">
        <v>39</v>
      </c>
      <c r="J237" t="s">
        <v>39</v>
      </c>
      <c r="K237" t="s">
        <v>39</v>
      </c>
      <c r="L237" t="s">
        <v>39</v>
      </c>
      <c r="M237" t="s">
        <v>39</v>
      </c>
      <c r="N237" t="s">
        <v>39</v>
      </c>
      <c r="O237" t="s">
        <v>39</v>
      </c>
      <c r="P237" t="s">
        <v>39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 t="s">
        <v>39</v>
      </c>
      <c r="X237" t="s">
        <v>39</v>
      </c>
      <c r="Y237" s="3">
        <v>2.3652777777777776</v>
      </c>
      <c r="Z237" s="4">
        <v>0</v>
      </c>
      <c r="AA237">
        <v>0</v>
      </c>
      <c r="AB237" s="4">
        <v>0</v>
      </c>
      <c r="AC237" t="s">
        <v>40</v>
      </c>
      <c r="AD237" t="s">
        <v>230</v>
      </c>
      <c r="AE237">
        <v>1</v>
      </c>
      <c r="AF237">
        <v>0</v>
      </c>
      <c r="AG237" s="2">
        <v>0</v>
      </c>
      <c r="AH237" s="2">
        <v>3.9421296296296295E-2</v>
      </c>
      <c r="AI237" t="s">
        <v>39</v>
      </c>
      <c r="AJ237" t="s">
        <v>39</v>
      </c>
    </row>
    <row r="238" spans="1:36" x14ac:dyDescent="0.25">
      <c r="A238" t="s">
        <v>45</v>
      </c>
      <c r="B238" s="1">
        <v>43780.842731481483</v>
      </c>
      <c r="C238" t="s">
        <v>37</v>
      </c>
      <c r="D238" t="s">
        <v>258</v>
      </c>
      <c r="E238">
        <v>6</v>
      </c>
      <c r="F238">
        <v>437</v>
      </c>
      <c r="G238" s="2">
        <v>2.4027777777777776E-2</v>
      </c>
      <c r="H238" t="s">
        <v>39</v>
      </c>
      <c r="I238" t="s">
        <v>39</v>
      </c>
      <c r="J238" t="s">
        <v>39</v>
      </c>
      <c r="K238" t="s">
        <v>39</v>
      </c>
      <c r="L238" t="s">
        <v>39</v>
      </c>
      <c r="M238" s="4">
        <v>0.24027777777777778</v>
      </c>
      <c r="N238" s="4">
        <v>0.20486111111111113</v>
      </c>
      <c r="O238">
        <v>70</v>
      </c>
      <c r="P238">
        <v>67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 t="s">
        <v>39</v>
      </c>
      <c r="X238" t="s">
        <v>39</v>
      </c>
      <c r="Y238" s="3">
        <v>1.4416666666666667</v>
      </c>
      <c r="Z238" s="4">
        <v>0</v>
      </c>
      <c r="AA238">
        <v>0</v>
      </c>
      <c r="AB238" s="4">
        <v>0</v>
      </c>
      <c r="AC238" t="s">
        <v>40</v>
      </c>
      <c r="AD238" t="s">
        <v>264</v>
      </c>
      <c r="AE238">
        <v>8</v>
      </c>
      <c r="AF238">
        <v>0</v>
      </c>
      <c r="AG238" s="2">
        <v>2.4027777777777776E-2</v>
      </c>
      <c r="AH238" s="2">
        <v>2.4027777777777776E-2</v>
      </c>
      <c r="AI238">
        <v>15</v>
      </c>
      <c r="AJ238">
        <v>27</v>
      </c>
    </row>
    <row r="239" spans="1:36" x14ac:dyDescent="0.25">
      <c r="A239" t="s">
        <v>45</v>
      </c>
      <c r="B239" s="1">
        <v>43777.81459490741</v>
      </c>
      <c r="C239" t="s">
        <v>37</v>
      </c>
      <c r="D239" t="s">
        <v>49</v>
      </c>
      <c r="E239">
        <v>0.97</v>
      </c>
      <c r="F239">
        <v>65</v>
      </c>
      <c r="G239" s="6">
        <v>3.4201388888888888E-3</v>
      </c>
      <c r="H239" t="s">
        <v>39</v>
      </c>
      <c r="I239" t="s">
        <v>39</v>
      </c>
      <c r="J239" t="s">
        <v>39</v>
      </c>
      <c r="K239">
        <v>151</v>
      </c>
      <c r="L239">
        <v>173</v>
      </c>
      <c r="M239" s="4">
        <v>0.21249999999999999</v>
      </c>
      <c r="N239" s="4">
        <v>9.9999999999999992E-2</v>
      </c>
      <c r="O239" t="s">
        <v>39</v>
      </c>
      <c r="P239" t="s">
        <v>39</v>
      </c>
      <c r="Q239">
        <v>1.3</v>
      </c>
      <c r="R239">
        <v>0</v>
      </c>
      <c r="S239">
        <v>0</v>
      </c>
      <c r="T239">
        <v>0</v>
      </c>
      <c r="U239">
        <v>0</v>
      </c>
      <c r="V239">
        <v>0</v>
      </c>
      <c r="W239" t="s">
        <v>39</v>
      </c>
      <c r="X239" t="s">
        <v>39</v>
      </c>
      <c r="Y239" s="6">
        <v>3.4201388888888888E-3</v>
      </c>
      <c r="Z239" s="4">
        <v>0</v>
      </c>
      <c r="AA239">
        <v>0</v>
      </c>
      <c r="AB239" s="4">
        <v>0</v>
      </c>
      <c r="AC239" t="s">
        <v>40</v>
      </c>
      <c r="AD239" t="s">
        <v>230</v>
      </c>
      <c r="AE239">
        <v>1</v>
      </c>
      <c r="AF239">
        <v>0</v>
      </c>
      <c r="AG239" s="2">
        <v>3.1249999999999997E-3</v>
      </c>
      <c r="AH239" s="6">
        <v>3.4907407407407404E-3</v>
      </c>
      <c r="AI239">
        <v>11</v>
      </c>
      <c r="AJ239">
        <v>13</v>
      </c>
    </row>
    <row r="240" spans="1:36" x14ac:dyDescent="0.25">
      <c r="A240" t="s">
        <v>45</v>
      </c>
      <c r="B240" s="1">
        <v>43777.803113425929</v>
      </c>
      <c r="C240" t="s">
        <v>37</v>
      </c>
      <c r="D240" t="s">
        <v>49</v>
      </c>
      <c r="E240">
        <v>2.31</v>
      </c>
      <c r="F240">
        <v>172</v>
      </c>
      <c r="G240" s="2">
        <v>7.69675925925926E-3</v>
      </c>
      <c r="H240" t="s">
        <v>39</v>
      </c>
      <c r="I240" t="s">
        <v>39</v>
      </c>
      <c r="J240" t="s">
        <v>39</v>
      </c>
      <c r="K240">
        <v>169</v>
      </c>
      <c r="L240">
        <v>177</v>
      </c>
      <c r="M240" s="4">
        <v>0.19930555555555554</v>
      </c>
      <c r="N240" s="4">
        <v>0.16458333333333333</v>
      </c>
      <c r="O240" t="s">
        <v>39</v>
      </c>
      <c r="P240" t="s">
        <v>39</v>
      </c>
      <c r="Q240">
        <v>1.24</v>
      </c>
      <c r="R240">
        <v>0</v>
      </c>
      <c r="S240">
        <v>0</v>
      </c>
      <c r="T240">
        <v>0</v>
      </c>
      <c r="U240">
        <v>0</v>
      </c>
      <c r="V240">
        <v>0</v>
      </c>
      <c r="W240" t="s">
        <v>39</v>
      </c>
      <c r="X240" t="s">
        <v>39</v>
      </c>
      <c r="Y240" s="4">
        <v>0.46180555555555558</v>
      </c>
      <c r="Z240" s="4">
        <v>0</v>
      </c>
      <c r="AA240">
        <v>0</v>
      </c>
      <c r="AB240" s="4">
        <v>0</v>
      </c>
      <c r="AC240" t="s">
        <v>40</v>
      </c>
      <c r="AD240" t="s">
        <v>265</v>
      </c>
      <c r="AE240">
        <v>3</v>
      </c>
      <c r="AF240">
        <v>0</v>
      </c>
      <c r="AG240" s="2">
        <v>7.6157407407407415E-3</v>
      </c>
      <c r="AH240" s="2">
        <v>1.0011574074074074E-2</v>
      </c>
      <c r="AI240">
        <v>11</v>
      </c>
      <c r="AJ240">
        <v>13</v>
      </c>
    </row>
    <row r="241" spans="1:36" x14ac:dyDescent="0.25">
      <c r="A241" t="s">
        <v>45</v>
      </c>
      <c r="B241" s="1">
        <v>43777.795949074076</v>
      </c>
      <c r="C241" t="s">
        <v>37</v>
      </c>
      <c r="D241" t="s">
        <v>49</v>
      </c>
      <c r="E241">
        <v>1.02</v>
      </c>
      <c r="F241">
        <v>73</v>
      </c>
      <c r="G241" s="6">
        <v>4.0671296296296297E-3</v>
      </c>
      <c r="H241" t="s">
        <v>39</v>
      </c>
      <c r="I241" t="s">
        <v>39</v>
      </c>
      <c r="J241" t="s">
        <v>39</v>
      </c>
      <c r="K241">
        <v>159</v>
      </c>
      <c r="L241">
        <v>164</v>
      </c>
      <c r="M241" s="4">
        <v>0.23958333333333334</v>
      </c>
      <c r="N241" s="4">
        <v>0.2298611111111111</v>
      </c>
      <c r="O241" t="s">
        <v>39</v>
      </c>
      <c r="P241" t="s">
        <v>39</v>
      </c>
      <c r="Q241">
        <v>1.0900000000000001</v>
      </c>
      <c r="R241">
        <v>0</v>
      </c>
      <c r="S241">
        <v>0</v>
      </c>
      <c r="T241">
        <v>0</v>
      </c>
      <c r="U241">
        <v>0</v>
      </c>
      <c r="V241">
        <v>0</v>
      </c>
      <c r="W241" t="s">
        <v>39</v>
      </c>
      <c r="X241" t="s">
        <v>39</v>
      </c>
      <c r="Y241" s="6">
        <v>4.0671296296296297E-3</v>
      </c>
      <c r="Z241" s="4">
        <v>0</v>
      </c>
      <c r="AA241">
        <v>0</v>
      </c>
      <c r="AB241" s="4">
        <v>0</v>
      </c>
      <c r="AC241" t="s">
        <v>40</v>
      </c>
      <c r="AD241" t="s">
        <v>266</v>
      </c>
      <c r="AE241">
        <v>2</v>
      </c>
      <c r="AF241">
        <v>0</v>
      </c>
      <c r="AG241" s="6">
        <v>4.0567129629629625E-3</v>
      </c>
      <c r="AH241" s="6">
        <v>4.0671296296296297E-3</v>
      </c>
      <c r="AI241">
        <v>10</v>
      </c>
      <c r="AJ241">
        <v>13</v>
      </c>
    </row>
    <row r="242" spans="1:36" x14ac:dyDescent="0.25">
      <c r="A242" t="s">
        <v>45</v>
      </c>
      <c r="B242" s="1">
        <v>43775.752534722225</v>
      </c>
      <c r="C242" t="s">
        <v>37</v>
      </c>
      <c r="D242" t="s">
        <v>49</v>
      </c>
      <c r="E242">
        <v>2.34</v>
      </c>
      <c r="F242">
        <v>79</v>
      </c>
      <c r="G242" s="2">
        <v>7.9398148148148145E-3</v>
      </c>
      <c r="H242" t="s">
        <v>39</v>
      </c>
      <c r="I242" t="s">
        <v>39</v>
      </c>
      <c r="J242" t="s">
        <v>39</v>
      </c>
      <c r="K242">
        <v>173</v>
      </c>
      <c r="L242">
        <v>185</v>
      </c>
      <c r="M242" s="4">
        <v>0.20347222222222219</v>
      </c>
      <c r="N242" s="4">
        <v>0.1173611111111111</v>
      </c>
      <c r="O242" t="s">
        <v>39</v>
      </c>
      <c r="P242" t="s">
        <v>39</v>
      </c>
      <c r="Q242">
        <v>1.19</v>
      </c>
      <c r="R242">
        <v>0</v>
      </c>
      <c r="S242">
        <v>0</v>
      </c>
      <c r="T242">
        <v>0</v>
      </c>
      <c r="U242">
        <v>0</v>
      </c>
      <c r="V242">
        <v>0</v>
      </c>
      <c r="W242" t="s">
        <v>39</v>
      </c>
      <c r="X242" t="s">
        <v>39</v>
      </c>
      <c r="Y242" s="4">
        <v>0.47638888888888892</v>
      </c>
      <c r="Z242" s="4">
        <v>0</v>
      </c>
      <c r="AA242">
        <v>0</v>
      </c>
      <c r="AB242" s="4">
        <v>0</v>
      </c>
      <c r="AC242" t="s">
        <v>40</v>
      </c>
      <c r="AD242" t="s">
        <v>267</v>
      </c>
      <c r="AE242">
        <v>3</v>
      </c>
      <c r="AF242">
        <v>0</v>
      </c>
      <c r="AG242" s="2">
        <v>7.4189814814814813E-3</v>
      </c>
      <c r="AH242" s="2">
        <v>8.3333333333333332E-3</v>
      </c>
      <c r="AI242">
        <v>11</v>
      </c>
      <c r="AJ242">
        <v>13</v>
      </c>
    </row>
    <row r="243" spans="1:36" x14ac:dyDescent="0.25">
      <c r="A243" t="s">
        <v>45</v>
      </c>
      <c r="B243" s="1">
        <v>43775.751319444447</v>
      </c>
      <c r="C243" t="s">
        <v>37</v>
      </c>
      <c r="D243" t="s">
        <v>49</v>
      </c>
      <c r="E243">
        <v>0.16</v>
      </c>
      <c r="F243" t="s">
        <v>39</v>
      </c>
      <c r="G243" s="6">
        <v>6.0069444444444439E-4</v>
      </c>
      <c r="H243" t="s">
        <v>39</v>
      </c>
      <c r="I243" t="s">
        <v>39</v>
      </c>
      <c r="J243" t="s">
        <v>39</v>
      </c>
      <c r="K243">
        <v>118</v>
      </c>
      <c r="L243">
        <v>118</v>
      </c>
      <c r="M243" s="4">
        <v>0.22222222222222221</v>
      </c>
      <c r="N243" t="s">
        <v>39</v>
      </c>
      <c r="O243" t="s">
        <v>39</v>
      </c>
      <c r="P243" t="s">
        <v>39</v>
      </c>
      <c r="Q243">
        <v>1.59</v>
      </c>
      <c r="R243">
        <v>0</v>
      </c>
      <c r="S243">
        <v>0</v>
      </c>
      <c r="T243">
        <v>0</v>
      </c>
      <c r="U243">
        <v>0</v>
      </c>
      <c r="V243">
        <v>0</v>
      </c>
      <c r="W243" t="s">
        <v>39</v>
      </c>
      <c r="X243" t="s">
        <v>39</v>
      </c>
      <c r="Y243" s="6">
        <v>6.0069444444444439E-4</v>
      </c>
      <c r="Z243" s="4">
        <v>0</v>
      </c>
      <c r="AA243">
        <v>0</v>
      </c>
      <c r="AB243" s="4">
        <v>0</v>
      </c>
      <c r="AC243" t="s">
        <v>40</v>
      </c>
      <c r="AD243" t="s">
        <v>230</v>
      </c>
      <c r="AE243">
        <v>1</v>
      </c>
      <c r="AF243">
        <v>0</v>
      </c>
      <c r="AG243" s="2">
        <v>0</v>
      </c>
      <c r="AH243" s="6">
        <v>6.5625000000000004E-4</v>
      </c>
      <c r="AI243">
        <v>11</v>
      </c>
      <c r="AJ243">
        <v>13</v>
      </c>
    </row>
    <row r="244" spans="1:36" x14ac:dyDescent="0.25">
      <c r="A244" t="s">
        <v>45</v>
      </c>
      <c r="B244" s="1">
        <v>43775.745289351849</v>
      </c>
      <c r="C244" t="s">
        <v>37</v>
      </c>
      <c r="D244" t="s">
        <v>49</v>
      </c>
      <c r="E244">
        <v>0.4</v>
      </c>
      <c r="F244">
        <v>14</v>
      </c>
      <c r="G244" s="6">
        <v>1.6122685185185187E-3</v>
      </c>
      <c r="H244" t="s">
        <v>39</v>
      </c>
      <c r="I244" t="s">
        <v>39</v>
      </c>
      <c r="J244" t="s">
        <v>39</v>
      </c>
      <c r="K244">
        <v>157</v>
      </c>
      <c r="L244">
        <v>171</v>
      </c>
      <c r="M244" s="4">
        <v>0.24305555555555555</v>
      </c>
      <c r="N244" s="4">
        <v>0.2076388888888889</v>
      </c>
      <c r="O244" t="s">
        <v>39</v>
      </c>
      <c r="P244" t="s">
        <v>39</v>
      </c>
      <c r="Q244">
        <v>1.0900000000000001</v>
      </c>
      <c r="R244">
        <v>0</v>
      </c>
      <c r="S244">
        <v>0</v>
      </c>
      <c r="T244">
        <v>0</v>
      </c>
      <c r="U244">
        <v>0</v>
      </c>
      <c r="V244">
        <v>0</v>
      </c>
      <c r="W244" t="s">
        <v>39</v>
      </c>
      <c r="X244" t="s">
        <v>39</v>
      </c>
      <c r="Y244" s="6">
        <v>1.6122685185185187E-3</v>
      </c>
      <c r="Z244" s="4">
        <v>0</v>
      </c>
      <c r="AA244">
        <v>0</v>
      </c>
      <c r="AB244" s="4">
        <v>0</v>
      </c>
      <c r="AC244" t="s">
        <v>40</v>
      </c>
      <c r="AD244" t="s">
        <v>230</v>
      </c>
      <c r="AE244">
        <v>1</v>
      </c>
      <c r="AF244">
        <v>0</v>
      </c>
      <c r="AG244" s="2">
        <v>1.6087962962962963E-3</v>
      </c>
      <c r="AH244" s="6">
        <v>1.6122685185185187E-3</v>
      </c>
      <c r="AI244">
        <v>11</v>
      </c>
      <c r="AJ244">
        <v>13</v>
      </c>
    </row>
    <row r="245" spans="1:36" x14ac:dyDescent="0.25">
      <c r="A245" t="s">
        <v>45</v>
      </c>
      <c r="B245" s="1">
        <v>43774.741655092592</v>
      </c>
      <c r="C245" t="s">
        <v>37</v>
      </c>
      <c r="D245" t="s">
        <v>49</v>
      </c>
      <c r="E245">
        <v>5.09</v>
      </c>
      <c r="F245">
        <v>186</v>
      </c>
      <c r="G245" s="2">
        <v>2.0868055555555556E-2</v>
      </c>
      <c r="H245" t="s">
        <v>39</v>
      </c>
      <c r="I245" t="s">
        <v>39</v>
      </c>
      <c r="J245" t="s">
        <v>39</v>
      </c>
      <c r="K245">
        <v>164</v>
      </c>
      <c r="L245">
        <v>171</v>
      </c>
      <c r="M245" s="4">
        <v>0.24583333333333335</v>
      </c>
      <c r="N245" s="4">
        <v>0.18819444444444444</v>
      </c>
      <c r="O245">
        <v>1</v>
      </c>
      <c r="P245">
        <v>1</v>
      </c>
      <c r="Q245">
        <v>1.03</v>
      </c>
      <c r="R245">
        <v>0</v>
      </c>
      <c r="S245">
        <v>0</v>
      </c>
      <c r="T245">
        <v>0</v>
      </c>
      <c r="U245">
        <v>0</v>
      </c>
      <c r="V245">
        <v>0</v>
      </c>
      <c r="W245" t="s">
        <v>39</v>
      </c>
      <c r="X245" t="s">
        <v>39</v>
      </c>
      <c r="Y245" s="3">
        <v>1.2520833333333334</v>
      </c>
      <c r="Z245" s="4">
        <v>0</v>
      </c>
      <c r="AA245">
        <v>0</v>
      </c>
      <c r="AB245" s="4">
        <v>0</v>
      </c>
      <c r="AC245" t="s">
        <v>40</v>
      </c>
      <c r="AD245" t="s">
        <v>268</v>
      </c>
      <c r="AE245">
        <v>6</v>
      </c>
      <c r="AF245">
        <v>0</v>
      </c>
      <c r="AG245" s="2">
        <v>2.0856481481481479E-2</v>
      </c>
      <c r="AH245" s="2">
        <v>2.0868055555555556E-2</v>
      </c>
      <c r="AI245">
        <v>10</v>
      </c>
      <c r="AJ245">
        <v>13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123825</xdr:colOff>
                    <xdr:row>2</xdr:row>
                    <xdr:rowOff>66675</xdr:rowOff>
                  </from>
                  <to>
                    <xdr:col>0</xdr:col>
                    <xdr:colOff>1085850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1AC05-97EF-4FF0-A71F-F710E26F6D74}">
  <sheetPr codeName="Planilha15"/>
  <dimension ref="A1:B5"/>
  <sheetViews>
    <sheetView workbookViewId="0">
      <selection activeCell="B4" sqref="B4"/>
    </sheetView>
  </sheetViews>
  <sheetFormatPr defaultRowHeight="15" x14ac:dyDescent="0.25"/>
  <cols>
    <col min="1" max="1" width="18" bestFit="1" customWidth="1"/>
    <col min="2" max="2" width="15.28515625" bestFit="1" customWidth="1"/>
  </cols>
  <sheetData>
    <row r="1" spans="1:2" x14ac:dyDescent="0.25">
      <c r="A1" s="72" t="s">
        <v>286</v>
      </c>
      <c r="B1" t="s">
        <v>278</v>
      </c>
    </row>
    <row r="2" spans="1:2" x14ac:dyDescent="0.25">
      <c r="A2" s="75" t="s">
        <v>285</v>
      </c>
      <c r="B2" s="74">
        <v>0.17719907407407404</v>
      </c>
    </row>
    <row r="3" spans="1:2" x14ac:dyDescent="0.25">
      <c r="A3" s="75" t="s">
        <v>283</v>
      </c>
      <c r="B3" s="74">
        <v>4.3707870370370374</v>
      </c>
    </row>
    <row r="4" spans="1:2" x14ac:dyDescent="0.25">
      <c r="A4" s="75" t="s">
        <v>284</v>
      </c>
      <c r="B4" s="74">
        <v>3.6214351851851845</v>
      </c>
    </row>
    <row r="5" spans="1:2" x14ac:dyDescent="0.25">
      <c r="A5" s="75" t="s">
        <v>287</v>
      </c>
      <c r="B5" s="74">
        <v>8.1694212962962958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959D-114A-4A2E-8911-D12A8D283F1E}">
  <sheetPr codeName="Planilha14"/>
  <dimension ref="A1:B5"/>
  <sheetViews>
    <sheetView workbookViewId="0">
      <selection activeCell="A3" sqref="A3"/>
    </sheetView>
  </sheetViews>
  <sheetFormatPr defaultRowHeight="15" x14ac:dyDescent="0.25"/>
  <cols>
    <col min="1" max="1" width="18" bestFit="1" customWidth="1"/>
    <col min="2" max="2" width="17.28515625" bestFit="1" customWidth="1"/>
  </cols>
  <sheetData>
    <row r="1" spans="1:2" x14ac:dyDescent="0.25">
      <c r="A1" s="72" t="s">
        <v>286</v>
      </c>
      <c r="B1" t="s">
        <v>276</v>
      </c>
    </row>
    <row r="2" spans="1:2" x14ac:dyDescent="0.25">
      <c r="A2" s="75" t="s">
        <v>285</v>
      </c>
      <c r="B2" s="73">
        <v>35.289999999999992</v>
      </c>
    </row>
    <row r="3" spans="1:2" x14ac:dyDescent="0.25">
      <c r="A3" s="75" t="s">
        <v>283</v>
      </c>
      <c r="B3" s="73">
        <v>850.03999999999962</v>
      </c>
    </row>
    <row r="4" spans="1:2" x14ac:dyDescent="0.25">
      <c r="A4" s="75" t="s">
        <v>284</v>
      </c>
      <c r="B4" s="73">
        <v>668.12999999999977</v>
      </c>
    </row>
    <row r="5" spans="1:2" x14ac:dyDescent="0.25">
      <c r="A5" s="75" t="s">
        <v>287</v>
      </c>
      <c r="B5" s="73">
        <v>1553.4599999999994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2052C-4CB0-459F-8F6B-628869B27E08}">
  <sheetPr codeName="Planilha13"/>
  <dimension ref="A1:B5"/>
  <sheetViews>
    <sheetView workbookViewId="0">
      <selection activeCell="B3" sqref="B3"/>
    </sheetView>
  </sheetViews>
  <sheetFormatPr defaultRowHeight="15" x14ac:dyDescent="0.25"/>
  <cols>
    <col min="1" max="1" width="18" bestFit="1" customWidth="1"/>
    <col min="2" max="2" width="16.140625" bestFit="1" customWidth="1"/>
  </cols>
  <sheetData>
    <row r="1" spans="1:2" x14ac:dyDescent="0.25">
      <c r="A1" s="72" t="s">
        <v>286</v>
      </c>
      <c r="B1" t="s">
        <v>277</v>
      </c>
    </row>
    <row r="2" spans="1:2" x14ac:dyDescent="0.25">
      <c r="A2" s="75" t="s">
        <v>285</v>
      </c>
      <c r="B2" s="73">
        <v>2245</v>
      </c>
    </row>
    <row r="3" spans="1:2" x14ac:dyDescent="0.25">
      <c r="A3" s="75" t="s">
        <v>283</v>
      </c>
      <c r="B3" s="73">
        <v>68134</v>
      </c>
    </row>
    <row r="4" spans="1:2" x14ac:dyDescent="0.25">
      <c r="A4" s="75" t="s">
        <v>284</v>
      </c>
      <c r="B4" s="73">
        <v>51256</v>
      </c>
    </row>
    <row r="5" spans="1:2" x14ac:dyDescent="0.25">
      <c r="A5" s="75" t="s">
        <v>287</v>
      </c>
      <c r="B5" s="73">
        <v>121635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2DA44-74D0-4284-A949-E96CB7C6535D}">
  <sheetPr codeName="Planilha12"/>
  <dimension ref="A1:B5"/>
  <sheetViews>
    <sheetView workbookViewId="0">
      <selection activeCell="B4" sqref="B4"/>
    </sheetView>
  </sheetViews>
  <sheetFormatPr defaultRowHeight="15" x14ac:dyDescent="0.25"/>
  <cols>
    <col min="1" max="1" width="18" bestFit="1" customWidth="1"/>
    <col min="2" max="2" width="18.42578125" bestFit="1" customWidth="1"/>
  </cols>
  <sheetData>
    <row r="1" spans="1:2" x14ac:dyDescent="0.25">
      <c r="A1" s="72" t="s">
        <v>286</v>
      </c>
      <c r="B1" t="s">
        <v>279</v>
      </c>
    </row>
    <row r="2" spans="1:2" x14ac:dyDescent="0.25">
      <c r="A2" s="75" t="s">
        <v>285</v>
      </c>
      <c r="B2" s="73" t="e">
        <v>#DIV/0!</v>
      </c>
    </row>
    <row r="3" spans="1:2" x14ac:dyDescent="0.25">
      <c r="A3" s="75" t="s">
        <v>283</v>
      </c>
      <c r="B3" s="73">
        <v>157.2741935483871</v>
      </c>
    </row>
    <row r="4" spans="1:2" x14ac:dyDescent="0.25">
      <c r="A4" s="75" t="s">
        <v>284</v>
      </c>
      <c r="B4" s="73">
        <v>156.0632911392405</v>
      </c>
    </row>
    <row r="5" spans="1:2" x14ac:dyDescent="0.25">
      <c r="A5" s="75" t="s">
        <v>287</v>
      </c>
      <c r="B5" s="73">
        <v>156.59574468085106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BB2E0-4913-4FD7-8530-74F9977C29E1}">
  <sheetPr codeName="Planilha10"/>
  <dimension ref="A1:B4"/>
  <sheetViews>
    <sheetView workbookViewId="0">
      <selection activeCell="B3" sqref="B3"/>
    </sheetView>
  </sheetViews>
  <sheetFormatPr defaultRowHeight="15" x14ac:dyDescent="0.25"/>
  <cols>
    <col min="1" max="1" width="7.7109375" bestFit="1" customWidth="1"/>
    <col min="2" max="5" width="29" bestFit="1" customWidth="1"/>
  </cols>
  <sheetData>
    <row r="1" spans="1:2" x14ac:dyDescent="0.25">
      <c r="A1" s="72" t="s">
        <v>282</v>
      </c>
      <c r="B1" t="s">
        <v>275</v>
      </c>
    </row>
    <row r="2" spans="1:2" x14ac:dyDescent="0.25">
      <c r="A2" t="s">
        <v>285</v>
      </c>
      <c r="B2" s="73">
        <v>12</v>
      </c>
    </row>
    <row r="3" spans="1:2" x14ac:dyDescent="0.25">
      <c r="A3" t="s">
        <v>283</v>
      </c>
      <c r="B3" s="73">
        <v>148</v>
      </c>
    </row>
    <row r="4" spans="1:2" x14ac:dyDescent="0.25">
      <c r="A4" t="s">
        <v>284</v>
      </c>
      <c r="B4" s="73">
        <v>80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6FD1-1EB8-413D-BCEA-CDDF017B595D}">
  <sheetPr codeName="Planilha5"/>
  <dimension ref="A1:B5"/>
  <sheetViews>
    <sheetView workbookViewId="0">
      <selection activeCell="B4" sqref="B4"/>
    </sheetView>
  </sheetViews>
  <sheetFormatPr defaultRowHeight="15" x14ac:dyDescent="0.25"/>
  <cols>
    <col min="1" max="1" width="18.7109375" bestFit="1" customWidth="1"/>
    <col min="2" max="2" width="29" bestFit="1" customWidth="1"/>
  </cols>
  <sheetData>
    <row r="1" spans="1:2" x14ac:dyDescent="0.25">
      <c r="A1" s="72" t="s">
        <v>0</v>
      </c>
      <c r="B1" t="s">
        <v>275</v>
      </c>
    </row>
    <row r="2" spans="1:2" x14ac:dyDescent="0.25">
      <c r="A2" t="s">
        <v>42</v>
      </c>
      <c r="B2" s="73">
        <v>2</v>
      </c>
    </row>
    <row r="3" spans="1:2" x14ac:dyDescent="0.25">
      <c r="A3" t="s">
        <v>45</v>
      </c>
      <c r="B3" s="73">
        <v>208</v>
      </c>
    </row>
    <row r="4" spans="1:2" x14ac:dyDescent="0.25">
      <c r="A4" t="s">
        <v>57</v>
      </c>
      <c r="B4" s="73">
        <v>12</v>
      </c>
    </row>
    <row r="5" spans="1:2" x14ac:dyDescent="0.25">
      <c r="A5" t="s">
        <v>36</v>
      </c>
      <c r="B5" s="73">
        <v>18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9DF3E-8E2D-478F-B3F6-9C22589B3F67}">
  <sheetPr codeName="Planilha6"/>
  <dimension ref="A1:B5"/>
  <sheetViews>
    <sheetView workbookViewId="0">
      <selection activeCell="B4" sqref="B4"/>
    </sheetView>
  </sheetViews>
  <sheetFormatPr defaultRowHeight="15" x14ac:dyDescent="0.25"/>
  <cols>
    <col min="1" max="1" width="18.7109375" bestFit="1" customWidth="1"/>
    <col min="2" max="2" width="17.28515625" bestFit="1" customWidth="1"/>
  </cols>
  <sheetData>
    <row r="1" spans="1:2" x14ac:dyDescent="0.25">
      <c r="A1" s="72" t="s">
        <v>0</v>
      </c>
      <c r="B1" t="s">
        <v>276</v>
      </c>
    </row>
    <row r="2" spans="1:2" x14ac:dyDescent="0.25">
      <c r="A2" t="s">
        <v>42</v>
      </c>
      <c r="B2" s="73">
        <v>29.57</v>
      </c>
    </row>
    <row r="3" spans="1:2" x14ac:dyDescent="0.25">
      <c r="A3" t="s">
        <v>45</v>
      </c>
      <c r="B3" s="73">
        <v>1459.3400000000001</v>
      </c>
    </row>
    <row r="4" spans="1:2" x14ac:dyDescent="0.25">
      <c r="A4" t="s">
        <v>57</v>
      </c>
      <c r="B4" s="73">
        <v>64.55</v>
      </c>
    </row>
    <row r="5" spans="1:2" x14ac:dyDescent="0.25">
      <c r="A5" t="s">
        <v>36</v>
      </c>
      <c r="B5" s="73">
        <v>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E77EC-5700-4AA3-9A68-DA0482526FA7}">
  <sheetPr codeName="Planilha7"/>
  <dimension ref="A1:B5"/>
  <sheetViews>
    <sheetView workbookViewId="0">
      <selection activeCell="A3" sqref="A3"/>
    </sheetView>
  </sheetViews>
  <sheetFormatPr defaultRowHeight="15" x14ac:dyDescent="0.25"/>
  <cols>
    <col min="1" max="1" width="18.7109375" bestFit="1" customWidth="1"/>
    <col min="2" max="2" width="16.140625" bestFit="1" customWidth="1"/>
  </cols>
  <sheetData>
    <row r="1" spans="1:2" x14ac:dyDescent="0.25">
      <c r="A1" s="72" t="s">
        <v>0</v>
      </c>
      <c r="B1" t="s">
        <v>277</v>
      </c>
    </row>
    <row r="2" spans="1:2" x14ac:dyDescent="0.25">
      <c r="A2" t="s">
        <v>42</v>
      </c>
      <c r="B2" s="73">
        <v>1190</v>
      </c>
    </row>
    <row r="3" spans="1:2" x14ac:dyDescent="0.25">
      <c r="A3" t="s">
        <v>45</v>
      </c>
      <c r="B3" s="73">
        <v>108554</v>
      </c>
    </row>
    <row r="4" spans="1:2" x14ac:dyDescent="0.25">
      <c r="A4" t="s">
        <v>57</v>
      </c>
      <c r="B4" s="73">
        <v>7000</v>
      </c>
    </row>
    <row r="5" spans="1:2" x14ac:dyDescent="0.25">
      <c r="A5" t="s">
        <v>36</v>
      </c>
      <c r="B5" s="73">
        <v>4891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FF1B6-5343-4085-82AB-1C2074254A41}">
  <sheetPr codeName="Planilha8"/>
  <dimension ref="A1:B5"/>
  <sheetViews>
    <sheetView workbookViewId="0">
      <selection activeCell="A4" sqref="A4"/>
    </sheetView>
  </sheetViews>
  <sheetFormatPr defaultRowHeight="15" x14ac:dyDescent="0.25"/>
  <cols>
    <col min="1" max="1" width="18.7109375" bestFit="1" customWidth="1"/>
    <col min="2" max="2" width="15.28515625" bestFit="1" customWidth="1"/>
    <col min="3" max="4" width="9.42578125" bestFit="1" customWidth="1"/>
  </cols>
  <sheetData>
    <row r="1" spans="1:2" x14ac:dyDescent="0.25">
      <c r="A1" s="72" t="s">
        <v>0</v>
      </c>
      <c r="B1" t="s">
        <v>278</v>
      </c>
    </row>
    <row r="2" spans="1:2" x14ac:dyDescent="0.25">
      <c r="A2" t="s">
        <v>42</v>
      </c>
      <c r="B2" s="74">
        <v>0.11715277777777777</v>
      </c>
    </row>
    <row r="3" spans="1:2" x14ac:dyDescent="0.25">
      <c r="A3" t="s">
        <v>45</v>
      </c>
      <c r="B3" s="74">
        <v>6.9681828703703701</v>
      </c>
    </row>
    <row r="4" spans="1:2" x14ac:dyDescent="0.25">
      <c r="A4" t="s">
        <v>57</v>
      </c>
      <c r="B4" s="74">
        <v>0.42593749999999997</v>
      </c>
    </row>
    <row r="5" spans="1:2" x14ac:dyDescent="0.25">
      <c r="A5" t="s">
        <v>36</v>
      </c>
      <c r="B5" s="74">
        <v>0.65814814814814815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CCAD-2211-4E6C-B888-93579D85607A}">
  <sheetPr codeName="Planilha9"/>
  <dimension ref="A1:B5"/>
  <sheetViews>
    <sheetView workbookViewId="0">
      <selection activeCell="B4" sqref="B4"/>
    </sheetView>
  </sheetViews>
  <sheetFormatPr defaultRowHeight="15" x14ac:dyDescent="0.25"/>
  <cols>
    <col min="1" max="1" width="18.7109375" bestFit="1" customWidth="1"/>
    <col min="2" max="2" width="18.42578125" bestFit="1" customWidth="1"/>
  </cols>
  <sheetData>
    <row r="1" spans="1:2" x14ac:dyDescent="0.25">
      <c r="A1" s="72" t="s">
        <v>0</v>
      </c>
      <c r="B1" t="s">
        <v>279</v>
      </c>
    </row>
    <row r="2" spans="1:2" x14ac:dyDescent="0.25">
      <c r="A2" t="s">
        <v>42</v>
      </c>
      <c r="B2" s="73">
        <v>141.5</v>
      </c>
    </row>
    <row r="3" spans="1:2" x14ac:dyDescent="0.25">
      <c r="A3" t="s">
        <v>45</v>
      </c>
      <c r="B3" s="73">
        <v>163.47706422018348</v>
      </c>
    </row>
    <row r="4" spans="1:2" x14ac:dyDescent="0.25">
      <c r="A4" t="s">
        <v>57</v>
      </c>
      <c r="B4" s="73">
        <v>159.66666666666666</v>
      </c>
    </row>
    <row r="5" spans="1:2" x14ac:dyDescent="0.25">
      <c r="A5" t="s">
        <v>36</v>
      </c>
      <c r="B5" s="73">
        <v>114.55555555555556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3</vt:i4>
      </vt:variant>
    </vt:vector>
  </HeadingPairs>
  <TitlesOfParts>
    <vt:vector size="16" baseType="lpstr">
      <vt:lpstr>Atividades</vt:lpstr>
      <vt:lpstr>Dashboard</vt:lpstr>
      <vt:lpstr>Atividades Filtradas</vt:lpstr>
      <vt:lpstr>Tempo por ano</vt:lpstr>
      <vt:lpstr>Distância por ano</vt:lpstr>
      <vt:lpstr>Calorias por ano</vt:lpstr>
      <vt:lpstr>FC média por ano</vt:lpstr>
      <vt:lpstr>Atividades por ano</vt:lpstr>
      <vt:lpstr>Contagem de atividades</vt:lpstr>
      <vt:lpstr>Distância por atividade</vt:lpstr>
      <vt:lpstr>Calorias por atividade</vt:lpstr>
      <vt:lpstr>Tempo por atividade</vt:lpstr>
      <vt:lpstr>FC média por atividade</vt:lpstr>
      <vt:lpstr>Atividades!Activities</vt:lpstr>
      <vt:lpstr>'Atividades Filtradas'!Area_de_extracao</vt:lpstr>
      <vt:lpstr>'Atividades Filtradas'!Criterios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Marta.Cristina</dc:creator>
  <cp:lastModifiedBy>Marta.Cristina</cp:lastModifiedBy>
  <dcterms:created xsi:type="dcterms:W3CDTF">2015-06-05T18:19:34Z</dcterms:created>
  <dcterms:modified xsi:type="dcterms:W3CDTF">2021-07-20T21:03:45Z</dcterms:modified>
</cp:coreProperties>
</file>
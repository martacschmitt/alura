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8 - Personalizando e automatizando tarefas com VBA\"/>
    </mc:Choice>
  </mc:AlternateContent>
  <xr:revisionPtr revIDLastSave="0" documentId="13_ncr:1_{58F74937-42AB-436A-B0F1-01AE056A6E56}" xr6:coauthVersionLast="44" xr6:coauthVersionMax="45" xr10:uidLastSave="{00000000-0000-0000-0000-000000000000}"/>
  <bookViews>
    <workbookView xWindow="-120" yWindow="-120" windowWidth="29040" windowHeight="158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BB4" i="15"/>
  <c r="AJ4" i="15"/>
  <c r="AS4" i="15"/>
  <c r="AA10" i="15"/>
  <c r="AS10" i="15"/>
  <c r="AA4" i="15"/>
  <c r="AA16" i="15"/>
  <c r="AS16" i="15" l="1"/>
  <c r="R16" i="15"/>
  <c r="R10" i="15"/>
  <c r="R4" i="15"/>
  <c r="I4" i="15"/>
  <c r="I10" i="15"/>
  <c r="I16" i="15" l="1"/>
  <c r="B2" i="15" s="1"/>
</calcChain>
</file>

<file path=xl/sharedStrings.xml><?xml version="1.0" encoding="utf-8"?>
<sst xmlns="http://schemas.openxmlformats.org/spreadsheetml/2006/main" count="562" uniqueCount="58">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</sst>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495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_-"R$"\ * #,##0.00_-;\-"R$"\ * #,##0.00_-;_-"R$"\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_-"R$"\ * #,##0.00_-;\-"R$"\ * #,##0.00_-;_-"R$"\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628650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31.786053819444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2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2"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475">
      <pivotArea outline="0" collapsedLevelsAreSubtotals="1" fieldPosition="0"/>
    </format>
    <format dxfId="474">
      <pivotArea type="all" dataOnly="0" outline="0" fieldPosition="0"/>
    </format>
    <format dxfId="473">
      <pivotArea outline="0" collapsedLevelsAreSubtotals="1" fieldPosition="0"/>
    </format>
    <format dxfId="472">
      <pivotArea field="7" type="button" dataOnly="0" labelOnly="1" outline="0"/>
    </format>
    <format dxfId="471">
      <pivotArea dataOnly="0" labelOnly="1" grandRow="1" outline="0" fieldPosition="0"/>
    </format>
    <format dxfId="470">
      <pivotArea dataOnly="0" labelOnly="1" outline="0" axis="axisValues" fieldPosition="0"/>
    </format>
    <format dxfId="469">
      <pivotArea type="all" dataOnly="0" outline="0" fieldPosition="0"/>
    </format>
    <format dxfId="468">
      <pivotArea outline="0" collapsedLevelsAreSubtotals="1" fieldPosition="0"/>
    </format>
    <format dxfId="467">
      <pivotArea outline="0" fieldPosition="0">
        <references count="1">
          <reference field="4294967294" count="1">
            <x v="0"/>
          </reference>
        </references>
      </pivotArea>
    </format>
    <format dxfId="466">
      <pivotArea outline="0" collapsedLevelsAreSubtotals="1" fieldPosition="0"/>
    </format>
    <format dxfId="465">
      <pivotArea type="all" dataOnly="0" outline="0" fieldPosition="0"/>
    </format>
    <format dxfId="464">
      <pivotArea outline="0" collapsedLevelsAreSubtotals="1" fieldPosition="0"/>
    </format>
    <format dxfId="463">
      <pivotArea field="7" type="button" dataOnly="0" labelOnly="1" outline="0"/>
    </format>
    <format dxfId="462">
      <pivotArea dataOnly="0" labelOnly="1" grandRow="1" outline="0" fieldPosition="0"/>
    </format>
    <format dxfId="461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4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4">
    <i>
      <x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487">
      <pivotArea type="all" dataOnly="0" outline="0" fieldPosition="0"/>
    </format>
    <format dxfId="486">
      <pivotArea outline="0" collapsedLevelsAreSubtotals="1" fieldPosition="0"/>
    </format>
    <format dxfId="485">
      <pivotArea field="4" type="button" dataOnly="0" labelOnly="1" outline="0" axis="axisRow" fieldPosition="0"/>
    </format>
    <format dxfId="484">
      <pivotArea dataOnly="0" labelOnly="1" fieldPosition="0">
        <references count="1">
          <reference field="4" count="0"/>
        </references>
      </pivotArea>
    </format>
    <format dxfId="483">
      <pivotArea dataOnly="0" labelOnly="1" grandRow="1" outline="0" fieldPosition="0"/>
    </format>
    <format dxfId="4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81">
      <pivotArea type="all" dataOnly="0" outline="0" fieldPosition="0"/>
    </format>
    <format dxfId="480">
      <pivotArea outline="0" collapsedLevelsAreSubtotals="1" fieldPosition="0"/>
    </format>
    <format dxfId="479">
      <pivotArea field="4" type="button" dataOnly="0" labelOnly="1" outline="0" axis="axisRow" fieldPosition="0"/>
    </format>
    <format dxfId="478">
      <pivotArea dataOnly="0" labelOnly="1" outline="0" fieldPosition="0">
        <references count="1">
          <reference field="4" count="0"/>
        </references>
      </pivotArea>
    </format>
    <format dxfId="477">
      <pivotArea dataOnly="0" labelOnly="1" grandRow="1" outline="0" fieldPosition="0"/>
    </format>
    <format dxfId="4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164"/>
  </dataFields>
  <formats count="2">
    <format dxfId="460">
      <pivotArea outline="0" collapsedLevelsAreSubtotals="1" fieldPosition="0"/>
    </format>
    <format dxfId="459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20-01-01T00:00:00" endDate="2020-01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A21" sqref="AA21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29" t="s">
        <v>46</v>
      </c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1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>Média de peso abaixo do normal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275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1488.6734693877552</v>
      </c>
      <c r="S4" s="46"/>
      <c r="T4" s="35"/>
      <c r="U4" s="36"/>
      <c r="V4" s="36"/>
      <c r="W4" s="36"/>
      <c r="X4" s="36"/>
      <c r="Y4" s="36"/>
      <c r="Z4" s="37"/>
      <c r="AA4" s="41">
        <f>GETPIVOTDATA("Soma de Peso (Kg)",'Tabelas Dinamicas'!$D$10)</f>
        <v>275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1488.6734693877552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275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1488.6734693877552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6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GETPIVOTDATA("Contagem de Destino",'Tabelas Dinamicas'!$D$10)</f>
        <v>6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6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45.833333333333336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>
        <f>fnCalculaMediaPeso(AA4,AA10)</f>
        <v>45.833333333333336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45.833333333333336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494" priority="14">
      <formula>$R$10=$R$16</formula>
    </cfRule>
    <cfRule type="expression" dxfId="493" priority="15">
      <formula>$R$10&gt;=($R$16/2)</formula>
    </cfRule>
  </conditionalFormatting>
  <conditionalFormatting sqref="AJ10:AJ14">
    <cfRule type="expression" dxfId="492" priority="4">
      <formula>$R$10=$R$16</formula>
    </cfRule>
    <cfRule type="expression" dxfId="491" priority="5">
      <formula>$R$10&gt;=($R$16/2)</formula>
    </cfRule>
  </conditionalFormatting>
  <conditionalFormatting sqref="BB10:BB14">
    <cfRule type="expression" dxfId="490" priority="2">
      <formula>$R$10=$R$16</formula>
    </cfRule>
    <cfRule type="expression" dxfId="489" priority="3">
      <formula>$R$10&gt;=($R$16/2)</formula>
    </cfRule>
  </conditionalFormatting>
  <conditionalFormatting sqref="B2:R2">
    <cfRule type="containsText" dxfId="488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8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22</v>
      </c>
      <c r="B11" s="8">
        <v>1488.6734693877552</v>
      </c>
      <c r="D11" s="6" t="s">
        <v>39</v>
      </c>
      <c r="E11" s="9">
        <v>261</v>
      </c>
      <c r="F11" s="9">
        <v>4</v>
      </c>
      <c r="G11"/>
      <c r="H11"/>
      <c r="I11"/>
      <c r="J11"/>
    </row>
    <row r="12" spans="1:10" x14ac:dyDescent="0.25">
      <c r="A12" s="7" t="s">
        <v>42</v>
      </c>
      <c r="B12" s="8">
        <v>1488.6734693877552</v>
      </c>
      <c r="D12" s="6" t="s">
        <v>34</v>
      </c>
      <c r="E12" s="9">
        <v>2</v>
      </c>
      <c r="F12" s="9">
        <v>1</v>
      </c>
      <c r="G12"/>
      <c r="H12"/>
      <c r="I12"/>
      <c r="J12"/>
    </row>
    <row r="13" spans="1:10" x14ac:dyDescent="0.25">
      <c r="A13"/>
      <c r="B13"/>
      <c r="D13" s="6" t="s">
        <v>32</v>
      </c>
      <c r="E13" s="9">
        <v>12</v>
      </c>
      <c r="F13" s="9">
        <v>1</v>
      </c>
      <c r="G13"/>
      <c r="H13"/>
      <c r="I13"/>
      <c r="J13"/>
    </row>
    <row r="14" spans="1:10" x14ac:dyDescent="0.25">
      <c r="A14"/>
      <c r="B14"/>
      <c r="D14" s="6" t="s">
        <v>42</v>
      </c>
      <c r="E14" s="9">
        <v>275</v>
      </c>
      <c r="F14" s="9">
        <v>6</v>
      </c>
      <c r="G14"/>
      <c r="H14"/>
      <c r="I14"/>
      <c r="J14"/>
    </row>
    <row r="15" spans="1:10" x14ac:dyDescent="0.25">
      <c r="A15"/>
      <c r="B15"/>
      <c r="D15"/>
      <c r="E15"/>
      <c r="F15"/>
      <c r="G15"/>
      <c r="H15"/>
      <c r="I15"/>
      <c r="J15"/>
    </row>
    <row r="16" spans="1:10" x14ac:dyDescent="0.25">
      <c r="A16"/>
      <c r="B16"/>
      <c r="D16"/>
      <c r="E16"/>
      <c r="F16"/>
      <c r="G16"/>
      <c r="H16"/>
    </row>
    <row r="17" spans="1:8" x14ac:dyDescent="0.25">
      <c r="A17"/>
      <c r="B17"/>
      <c r="D17"/>
      <c r="E17"/>
      <c r="F17"/>
      <c r="G17"/>
      <c r="H17"/>
    </row>
    <row r="18" spans="1:8" x14ac:dyDescent="0.25">
      <c r="A18"/>
      <c r="B18"/>
      <c r="D18"/>
      <c r="E18"/>
      <c r="F18"/>
      <c r="G18"/>
      <c r="H18"/>
    </row>
    <row r="19" spans="1:8" x14ac:dyDescent="0.25">
      <c r="A19"/>
      <c r="B19"/>
      <c r="D19"/>
      <c r="E19"/>
      <c r="F19"/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G2" sqref="G2:J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2021-07-15T11:59:33Z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